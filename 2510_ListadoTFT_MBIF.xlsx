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updateLinks="always"/>
  <mc:AlternateContent xmlns:mc="http://schemas.openxmlformats.org/markup-compatibility/2006">
    <mc:Choice Requires="x15">
      <x15ac:absPath xmlns:x15ac="http://schemas.microsoft.com/office/spreadsheetml/2010/11/ac" url="https://gplaneta-my.sharepoint.com/personal/ugy946_psoplaneta_com/Documents/Facultad Ciencias de la Salud/DOCENTES/BBDD/CIENCIAS BIOSANITARIAS/TÍTULOS/MBIF/REGISTRO TFT/"/>
    </mc:Choice>
  </mc:AlternateContent>
  <xr:revisionPtr revIDLastSave="0" documentId="8_{DF3AC519-2EFD-4A21-A71A-45DFFEE9430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LISTADOS TFM" sheetId="1" r:id="rId1"/>
    <sheet name="DATOS ASIGNACIÓN" sheetId="3" r:id="rId2"/>
    <sheet name="Hoja 2" sheetId="2" state="hidden" r:id="rId3"/>
    <sheet name="Pagos" sheetId="4" r:id="rId4"/>
  </sheets>
  <externalReferences>
    <externalReference r:id="rId5"/>
    <externalReference r:id="rId6"/>
  </externalReferences>
  <definedNames>
    <definedName name="_xlnm._FilterDatabase" localSheetId="1" hidden="1">'DATOS ASIGNACIÓN'!$B$4:$I$23</definedName>
    <definedName name="_xlnm._FilterDatabase" localSheetId="3" hidden="1">Pagos!$A$20:$AJ$20</definedName>
    <definedName name="_xlnm._FilterDatabase" localSheetId="0" hidden="1">'LISTADOS TFM'!$A$8:$Y$8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3" l="1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1192" i="3"/>
  <c r="S1193" i="3"/>
  <c r="S1194" i="3"/>
  <c r="S1195" i="3"/>
  <c r="S1196" i="3"/>
  <c r="S1197" i="3"/>
  <c r="S1198" i="3"/>
  <c r="S1199" i="3"/>
  <c r="S1200" i="3"/>
  <c r="S1201" i="3"/>
  <c r="S1202" i="3"/>
  <c r="S1203" i="3"/>
  <c r="S1204" i="3"/>
  <c r="S1205" i="3"/>
  <c r="S1206" i="3"/>
  <c r="S1207" i="3"/>
  <c r="S1208" i="3"/>
  <c r="S1209" i="3"/>
  <c r="S1210" i="3"/>
  <c r="S1211" i="3"/>
  <c r="S1212" i="3"/>
  <c r="S1213" i="3"/>
  <c r="S1214" i="3"/>
  <c r="S1215" i="3"/>
  <c r="S1216" i="3"/>
  <c r="S1217" i="3"/>
  <c r="S1218" i="3"/>
  <c r="S1219" i="3"/>
  <c r="S1220" i="3"/>
  <c r="S1221" i="3"/>
  <c r="S1222" i="3"/>
  <c r="S1223" i="3"/>
  <c r="S1224" i="3"/>
  <c r="S1225" i="3"/>
  <c r="S1226" i="3"/>
  <c r="S1227" i="3"/>
  <c r="S1228" i="3"/>
  <c r="S1229" i="3"/>
  <c r="S1230" i="3"/>
  <c r="S1231" i="3"/>
  <c r="S1232" i="3"/>
  <c r="S1233" i="3"/>
  <c r="S1234" i="3"/>
  <c r="S1235" i="3"/>
  <c r="S1236" i="3"/>
  <c r="S1237" i="3"/>
  <c r="S1238" i="3"/>
  <c r="S1239" i="3"/>
  <c r="S1240" i="3"/>
  <c r="S1241" i="3"/>
  <c r="S1242" i="3"/>
  <c r="S1243" i="3"/>
  <c r="S1244" i="3"/>
  <c r="S1245" i="3"/>
  <c r="S1246" i="3"/>
  <c r="S1247" i="3"/>
  <c r="S1248" i="3"/>
  <c r="S1249" i="3"/>
  <c r="S1250" i="3"/>
  <c r="S1251" i="3"/>
  <c r="S1252" i="3"/>
  <c r="S1253" i="3"/>
  <c r="S1254" i="3"/>
  <c r="S1255" i="3"/>
  <c r="S1256" i="3"/>
  <c r="S1257" i="3"/>
  <c r="S1258" i="3"/>
  <c r="S1259" i="3"/>
  <c r="S1260" i="3"/>
  <c r="S1261" i="3"/>
  <c r="S1262" i="3"/>
  <c r="S1263" i="3"/>
  <c r="S1264" i="3"/>
  <c r="S1265" i="3"/>
  <c r="S1266" i="3"/>
  <c r="S1267" i="3"/>
  <c r="S1268" i="3"/>
  <c r="S1269" i="3"/>
  <c r="S1270" i="3"/>
  <c r="S1271" i="3"/>
  <c r="S1272" i="3"/>
  <c r="S1273" i="3"/>
  <c r="S1274" i="3"/>
  <c r="S1275" i="3"/>
  <c r="S1276" i="3"/>
  <c r="S1277" i="3"/>
  <c r="S1278" i="3"/>
  <c r="S1279" i="3"/>
  <c r="S1280" i="3"/>
  <c r="S1281" i="3"/>
  <c r="S1282" i="3"/>
  <c r="S1283" i="3"/>
  <c r="S1284" i="3"/>
  <c r="S1285" i="3"/>
  <c r="S1286" i="3"/>
  <c r="S1287" i="3"/>
  <c r="S1288" i="3"/>
  <c r="S1289" i="3"/>
  <c r="S1290" i="3"/>
  <c r="S1291" i="3"/>
  <c r="S1292" i="3"/>
  <c r="S1293" i="3"/>
  <c r="S1294" i="3"/>
  <c r="S1295" i="3"/>
  <c r="S1296" i="3"/>
  <c r="S1297" i="3"/>
  <c r="S1298" i="3"/>
  <c r="S1299" i="3"/>
  <c r="S1300" i="3"/>
  <c r="S5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5" i="3"/>
  <c r="E200" i="4"/>
  <c r="H200" i="4" s="1"/>
  <c r="D200" i="4"/>
  <c r="E199" i="4"/>
  <c r="H199" i="4" s="1"/>
  <c r="D199" i="4"/>
  <c r="E198" i="4"/>
  <c r="H198" i="4" s="1"/>
  <c r="D198" i="4"/>
  <c r="E197" i="4"/>
  <c r="H197" i="4" s="1"/>
  <c r="N197" i="4" s="1"/>
  <c r="D197" i="4"/>
  <c r="E196" i="4"/>
  <c r="H196" i="4" s="1"/>
  <c r="D196" i="4"/>
  <c r="E195" i="4"/>
  <c r="H195" i="4" s="1"/>
  <c r="D195" i="4"/>
  <c r="E194" i="4"/>
  <c r="H194" i="4" s="1"/>
  <c r="D194" i="4"/>
  <c r="E193" i="4"/>
  <c r="H193" i="4" s="1"/>
  <c r="N193" i="4" s="1"/>
  <c r="D193" i="4"/>
  <c r="E192" i="4"/>
  <c r="H192" i="4" s="1"/>
  <c r="D192" i="4"/>
  <c r="E191" i="4"/>
  <c r="H191" i="4" s="1"/>
  <c r="D191" i="4"/>
  <c r="E190" i="4"/>
  <c r="H190" i="4" s="1"/>
  <c r="D190" i="4"/>
  <c r="E189" i="4"/>
  <c r="H189" i="4" s="1"/>
  <c r="N189" i="4" s="1"/>
  <c r="D189" i="4"/>
  <c r="E188" i="4"/>
  <c r="H188" i="4" s="1"/>
  <c r="D188" i="4"/>
  <c r="E187" i="4"/>
  <c r="H187" i="4" s="1"/>
  <c r="D187" i="4"/>
  <c r="E186" i="4"/>
  <c r="H186" i="4" s="1"/>
  <c r="D186" i="4"/>
  <c r="E185" i="4"/>
  <c r="H185" i="4" s="1"/>
  <c r="N185" i="4" s="1"/>
  <c r="D185" i="4"/>
  <c r="E184" i="4"/>
  <c r="H184" i="4" s="1"/>
  <c r="D184" i="4"/>
  <c r="E183" i="4"/>
  <c r="H183" i="4" s="1"/>
  <c r="D183" i="4"/>
  <c r="E182" i="4"/>
  <c r="H182" i="4" s="1"/>
  <c r="D182" i="4"/>
  <c r="E181" i="4"/>
  <c r="H181" i="4" s="1"/>
  <c r="N181" i="4" s="1"/>
  <c r="D181" i="4"/>
  <c r="E180" i="4"/>
  <c r="H180" i="4" s="1"/>
  <c r="D180" i="4"/>
  <c r="E179" i="4"/>
  <c r="H179" i="4" s="1"/>
  <c r="D179" i="4"/>
  <c r="E178" i="4"/>
  <c r="H178" i="4" s="1"/>
  <c r="D178" i="4"/>
  <c r="E177" i="4"/>
  <c r="H177" i="4" s="1"/>
  <c r="N177" i="4" s="1"/>
  <c r="D177" i="4"/>
  <c r="E176" i="4"/>
  <c r="H176" i="4" s="1"/>
  <c r="D176" i="4"/>
  <c r="E175" i="4"/>
  <c r="H175" i="4" s="1"/>
  <c r="D175" i="4"/>
  <c r="E174" i="4"/>
  <c r="H174" i="4" s="1"/>
  <c r="D174" i="4"/>
  <c r="E173" i="4"/>
  <c r="H173" i="4" s="1"/>
  <c r="N173" i="4" s="1"/>
  <c r="D173" i="4"/>
  <c r="E172" i="4"/>
  <c r="H172" i="4" s="1"/>
  <c r="D172" i="4"/>
  <c r="E171" i="4"/>
  <c r="H171" i="4" s="1"/>
  <c r="D171" i="4"/>
  <c r="E170" i="4"/>
  <c r="H170" i="4" s="1"/>
  <c r="D170" i="4"/>
  <c r="E169" i="4"/>
  <c r="H169" i="4" s="1"/>
  <c r="N169" i="4" s="1"/>
  <c r="D169" i="4"/>
  <c r="E168" i="4"/>
  <c r="H168" i="4" s="1"/>
  <c r="D168" i="4"/>
  <c r="E167" i="4"/>
  <c r="H167" i="4" s="1"/>
  <c r="D167" i="4"/>
  <c r="E166" i="4"/>
  <c r="H166" i="4" s="1"/>
  <c r="D166" i="4"/>
  <c r="E165" i="4"/>
  <c r="H165" i="4" s="1"/>
  <c r="N165" i="4" s="1"/>
  <c r="D165" i="4"/>
  <c r="E164" i="4"/>
  <c r="H164" i="4" s="1"/>
  <c r="D164" i="4"/>
  <c r="E163" i="4"/>
  <c r="H163" i="4" s="1"/>
  <c r="D163" i="4"/>
  <c r="E162" i="4"/>
  <c r="H162" i="4" s="1"/>
  <c r="D162" i="4"/>
  <c r="E161" i="4"/>
  <c r="H161" i="4" s="1"/>
  <c r="N161" i="4" s="1"/>
  <c r="D161" i="4"/>
  <c r="E160" i="4"/>
  <c r="H160" i="4" s="1"/>
  <c r="D160" i="4"/>
  <c r="E159" i="4"/>
  <c r="H159" i="4" s="1"/>
  <c r="D159" i="4"/>
  <c r="E158" i="4"/>
  <c r="H158" i="4" s="1"/>
  <c r="D158" i="4"/>
  <c r="E157" i="4"/>
  <c r="H157" i="4" s="1"/>
  <c r="D157" i="4"/>
  <c r="E156" i="4"/>
  <c r="H156" i="4" s="1"/>
  <c r="D156" i="4"/>
  <c r="E155" i="4"/>
  <c r="H155" i="4" s="1"/>
  <c r="D155" i="4"/>
  <c r="E154" i="4"/>
  <c r="H154" i="4" s="1"/>
  <c r="D154" i="4"/>
  <c r="E153" i="4"/>
  <c r="H153" i="4" s="1"/>
  <c r="D153" i="4"/>
  <c r="E152" i="4"/>
  <c r="H152" i="4" s="1"/>
  <c r="D152" i="4"/>
  <c r="E151" i="4"/>
  <c r="H151" i="4" s="1"/>
  <c r="D151" i="4"/>
  <c r="E150" i="4"/>
  <c r="H150" i="4" s="1"/>
  <c r="D150" i="4"/>
  <c r="E149" i="4"/>
  <c r="H149" i="4" s="1"/>
  <c r="D149" i="4"/>
  <c r="E148" i="4"/>
  <c r="H148" i="4" s="1"/>
  <c r="D148" i="4"/>
  <c r="E147" i="4"/>
  <c r="H147" i="4" s="1"/>
  <c r="D147" i="4"/>
  <c r="E146" i="4"/>
  <c r="H146" i="4" s="1"/>
  <c r="D146" i="4"/>
  <c r="E145" i="4"/>
  <c r="H145" i="4" s="1"/>
  <c r="D145" i="4"/>
  <c r="E144" i="4"/>
  <c r="H144" i="4" s="1"/>
  <c r="D144" i="4"/>
  <c r="E143" i="4"/>
  <c r="H143" i="4" s="1"/>
  <c r="D143" i="4"/>
  <c r="E142" i="4"/>
  <c r="H142" i="4" s="1"/>
  <c r="D142" i="4"/>
  <c r="E141" i="4"/>
  <c r="H141" i="4" s="1"/>
  <c r="D141" i="4"/>
  <c r="E140" i="4"/>
  <c r="H140" i="4" s="1"/>
  <c r="D140" i="4"/>
  <c r="E139" i="4"/>
  <c r="H139" i="4" s="1"/>
  <c r="D139" i="4"/>
  <c r="E138" i="4"/>
  <c r="H138" i="4" s="1"/>
  <c r="D138" i="4"/>
  <c r="E137" i="4"/>
  <c r="H137" i="4" s="1"/>
  <c r="D137" i="4"/>
  <c r="E136" i="4"/>
  <c r="H136" i="4" s="1"/>
  <c r="D136" i="4"/>
  <c r="E135" i="4"/>
  <c r="H135" i="4" s="1"/>
  <c r="D135" i="4"/>
  <c r="E134" i="4"/>
  <c r="H134" i="4" s="1"/>
  <c r="D134" i="4"/>
  <c r="E133" i="4"/>
  <c r="H133" i="4" s="1"/>
  <c r="D133" i="4"/>
  <c r="E132" i="4"/>
  <c r="H132" i="4" s="1"/>
  <c r="D132" i="4"/>
  <c r="E131" i="4"/>
  <c r="H131" i="4" s="1"/>
  <c r="D131" i="4"/>
  <c r="E130" i="4"/>
  <c r="H130" i="4" s="1"/>
  <c r="D130" i="4"/>
  <c r="E129" i="4"/>
  <c r="H129" i="4" s="1"/>
  <c r="D129" i="4"/>
  <c r="E128" i="4"/>
  <c r="H128" i="4" s="1"/>
  <c r="D128" i="4"/>
  <c r="E127" i="4"/>
  <c r="H127" i="4" s="1"/>
  <c r="D127" i="4"/>
  <c r="E126" i="4"/>
  <c r="H126" i="4" s="1"/>
  <c r="D126" i="4"/>
  <c r="E125" i="4"/>
  <c r="H125" i="4" s="1"/>
  <c r="D125" i="4"/>
  <c r="E124" i="4"/>
  <c r="H124" i="4" s="1"/>
  <c r="D124" i="4"/>
  <c r="E123" i="4"/>
  <c r="H123" i="4" s="1"/>
  <c r="D123" i="4"/>
  <c r="E122" i="4"/>
  <c r="H122" i="4" s="1"/>
  <c r="D122" i="4"/>
  <c r="E121" i="4"/>
  <c r="H121" i="4" s="1"/>
  <c r="D121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M22" i="4" s="1"/>
  <c r="O22" i="4" s="1"/>
  <c r="E21" i="4"/>
  <c r="D2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E54" i="3"/>
  <c r="H54" i="3" s="1"/>
  <c r="E53" i="3"/>
  <c r="G53" i="3" s="1"/>
  <c r="E52" i="3"/>
  <c r="I52" i="3" s="1"/>
  <c r="E51" i="3"/>
  <c r="H51" i="3" s="1"/>
  <c r="E50" i="3"/>
  <c r="G50" i="3" s="1"/>
  <c r="E49" i="3"/>
  <c r="I49" i="3" s="1"/>
  <c r="A798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H43" i="4" l="1"/>
  <c r="N43" i="4"/>
  <c r="H44" i="4"/>
  <c r="N44" i="4"/>
  <c r="H45" i="4"/>
  <c r="N45" i="4"/>
  <c r="H46" i="4"/>
  <c r="N46" i="4"/>
  <c r="H47" i="4"/>
  <c r="N47" i="4"/>
  <c r="H48" i="4"/>
  <c r="N48" i="4"/>
  <c r="H49" i="4"/>
  <c r="N49" i="4"/>
  <c r="H50" i="4"/>
  <c r="N50" i="4"/>
  <c r="H51" i="4"/>
  <c r="N51" i="4"/>
  <c r="H52" i="4"/>
  <c r="N52" i="4"/>
  <c r="H53" i="4"/>
  <c r="N53" i="4"/>
  <c r="H54" i="4"/>
  <c r="N54" i="4"/>
  <c r="H55" i="4"/>
  <c r="N55" i="4"/>
  <c r="H56" i="4"/>
  <c r="N56" i="4"/>
  <c r="H57" i="4"/>
  <c r="N57" i="4"/>
  <c r="H58" i="4"/>
  <c r="N58" i="4"/>
  <c r="H59" i="4"/>
  <c r="N59" i="4"/>
  <c r="H60" i="4"/>
  <c r="N60" i="4"/>
  <c r="H61" i="4"/>
  <c r="N61" i="4"/>
  <c r="H62" i="4"/>
  <c r="N62" i="4"/>
  <c r="H63" i="4"/>
  <c r="N63" i="4"/>
  <c r="H64" i="4"/>
  <c r="N64" i="4"/>
  <c r="H65" i="4"/>
  <c r="N65" i="4"/>
  <c r="H66" i="4"/>
  <c r="N66" i="4"/>
  <c r="H67" i="4"/>
  <c r="N67" i="4"/>
  <c r="H68" i="4"/>
  <c r="N68" i="4"/>
  <c r="H69" i="4"/>
  <c r="N69" i="4"/>
  <c r="H70" i="4"/>
  <c r="N70" i="4"/>
  <c r="H71" i="4"/>
  <c r="N71" i="4"/>
  <c r="H72" i="4"/>
  <c r="N72" i="4"/>
  <c r="H73" i="4"/>
  <c r="N73" i="4"/>
  <c r="H74" i="4"/>
  <c r="N74" i="4"/>
  <c r="H75" i="4"/>
  <c r="N75" i="4"/>
  <c r="H76" i="4"/>
  <c r="N76" i="4"/>
  <c r="H77" i="4"/>
  <c r="N77" i="4"/>
  <c r="H78" i="4"/>
  <c r="N78" i="4"/>
  <c r="H79" i="4"/>
  <c r="N79" i="4"/>
  <c r="H80" i="4"/>
  <c r="N80" i="4"/>
  <c r="H81" i="4"/>
  <c r="N81" i="4"/>
  <c r="H82" i="4"/>
  <c r="N82" i="4"/>
  <c r="H83" i="4"/>
  <c r="N83" i="4"/>
  <c r="H84" i="4"/>
  <c r="N84" i="4"/>
  <c r="H85" i="4"/>
  <c r="N85" i="4"/>
  <c r="H86" i="4"/>
  <c r="N86" i="4"/>
  <c r="H87" i="4"/>
  <c r="N87" i="4"/>
  <c r="H88" i="4"/>
  <c r="N88" i="4"/>
  <c r="H89" i="4"/>
  <c r="N89" i="4"/>
  <c r="H90" i="4"/>
  <c r="N90" i="4"/>
  <c r="H91" i="4"/>
  <c r="N91" i="4"/>
  <c r="H92" i="4"/>
  <c r="N92" i="4"/>
  <c r="H93" i="4"/>
  <c r="N93" i="4"/>
  <c r="H94" i="4"/>
  <c r="N94" i="4"/>
  <c r="H95" i="4"/>
  <c r="N95" i="4"/>
  <c r="H96" i="4"/>
  <c r="N96" i="4"/>
  <c r="H97" i="4"/>
  <c r="N97" i="4"/>
  <c r="H98" i="4"/>
  <c r="N98" i="4"/>
  <c r="H99" i="4"/>
  <c r="N99" i="4"/>
  <c r="H100" i="4"/>
  <c r="N100" i="4"/>
  <c r="H101" i="4"/>
  <c r="N101" i="4"/>
  <c r="H102" i="4"/>
  <c r="N102" i="4"/>
  <c r="H103" i="4"/>
  <c r="N103" i="4"/>
  <c r="H104" i="4"/>
  <c r="N104" i="4"/>
  <c r="H105" i="4"/>
  <c r="N105" i="4"/>
  <c r="H106" i="4"/>
  <c r="N106" i="4"/>
  <c r="H107" i="4"/>
  <c r="N107" i="4"/>
  <c r="H108" i="4"/>
  <c r="N108" i="4"/>
  <c r="H109" i="4"/>
  <c r="N109" i="4"/>
  <c r="H110" i="4"/>
  <c r="N110" i="4"/>
  <c r="H111" i="4"/>
  <c r="N111" i="4"/>
  <c r="H112" i="4"/>
  <c r="N112" i="4"/>
  <c r="H113" i="4"/>
  <c r="N113" i="4"/>
  <c r="H114" i="4"/>
  <c r="N114" i="4"/>
  <c r="H115" i="4"/>
  <c r="N115" i="4"/>
  <c r="H116" i="4"/>
  <c r="N116" i="4"/>
  <c r="G43" i="4"/>
  <c r="M43" i="4"/>
  <c r="O43" i="4" s="1"/>
  <c r="G44" i="4"/>
  <c r="M44" i="4"/>
  <c r="O44" i="4" s="1"/>
  <c r="G45" i="4"/>
  <c r="M45" i="4"/>
  <c r="O45" i="4" s="1"/>
  <c r="G46" i="4"/>
  <c r="M46" i="4"/>
  <c r="O46" i="4" s="1"/>
  <c r="G47" i="4"/>
  <c r="M47" i="4"/>
  <c r="O47" i="4" s="1"/>
  <c r="G48" i="4"/>
  <c r="M48" i="4"/>
  <c r="O48" i="4" s="1"/>
  <c r="G49" i="4"/>
  <c r="M49" i="4"/>
  <c r="O49" i="4" s="1"/>
  <c r="G50" i="4"/>
  <c r="M50" i="4"/>
  <c r="O50" i="4" s="1"/>
  <c r="G51" i="4"/>
  <c r="M51" i="4"/>
  <c r="O51" i="4" s="1"/>
  <c r="G52" i="4"/>
  <c r="M52" i="4"/>
  <c r="O52" i="4" s="1"/>
  <c r="G53" i="4"/>
  <c r="M53" i="4"/>
  <c r="O53" i="4" s="1"/>
  <c r="G54" i="4"/>
  <c r="M54" i="4"/>
  <c r="O54" i="4" s="1"/>
  <c r="G55" i="4"/>
  <c r="M55" i="4"/>
  <c r="O55" i="4" s="1"/>
  <c r="G56" i="4"/>
  <c r="M56" i="4"/>
  <c r="O56" i="4" s="1"/>
  <c r="G57" i="4"/>
  <c r="M57" i="4"/>
  <c r="O57" i="4" s="1"/>
  <c r="G58" i="4"/>
  <c r="M58" i="4"/>
  <c r="O58" i="4" s="1"/>
  <c r="G59" i="4"/>
  <c r="M59" i="4"/>
  <c r="O59" i="4" s="1"/>
  <c r="G60" i="4"/>
  <c r="M60" i="4"/>
  <c r="O60" i="4" s="1"/>
  <c r="G61" i="4"/>
  <c r="M61" i="4"/>
  <c r="O61" i="4" s="1"/>
  <c r="G62" i="4"/>
  <c r="M62" i="4"/>
  <c r="O62" i="4" s="1"/>
  <c r="G63" i="4"/>
  <c r="M63" i="4"/>
  <c r="O63" i="4" s="1"/>
  <c r="G64" i="4"/>
  <c r="M64" i="4"/>
  <c r="O64" i="4" s="1"/>
  <c r="G65" i="4"/>
  <c r="M65" i="4"/>
  <c r="O65" i="4" s="1"/>
  <c r="G66" i="4"/>
  <c r="M66" i="4"/>
  <c r="O66" i="4" s="1"/>
  <c r="G67" i="4"/>
  <c r="M67" i="4"/>
  <c r="O67" i="4" s="1"/>
  <c r="G68" i="4"/>
  <c r="M68" i="4"/>
  <c r="O68" i="4" s="1"/>
  <c r="G69" i="4"/>
  <c r="M69" i="4"/>
  <c r="O69" i="4" s="1"/>
  <c r="G70" i="4"/>
  <c r="M70" i="4"/>
  <c r="O70" i="4" s="1"/>
  <c r="G71" i="4"/>
  <c r="M71" i="4"/>
  <c r="O71" i="4" s="1"/>
  <c r="G72" i="4"/>
  <c r="M72" i="4"/>
  <c r="O72" i="4" s="1"/>
  <c r="G73" i="4"/>
  <c r="M73" i="4"/>
  <c r="O73" i="4" s="1"/>
  <c r="G74" i="4"/>
  <c r="M74" i="4"/>
  <c r="O74" i="4" s="1"/>
  <c r="G75" i="4"/>
  <c r="M75" i="4"/>
  <c r="O75" i="4" s="1"/>
  <c r="G76" i="4"/>
  <c r="M76" i="4"/>
  <c r="O76" i="4" s="1"/>
  <c r="G77" i="4"/>
  <c r="M77" i="4"/>
  <c r="O77" i="4" s="1"/>
  <c r="G78" i="4"/>
  <c r="M78" i="4"/>
  <c r="O78" i="4" s="1"/>
  <c r="G79" i="4"/>
  <c r="M79" i="4"/>
  <c r="O79" i="4" s="1"/>
  <c r="G80" i="4"/>
  <c r="M80" i="4"/>
  <c r="O80" i="4" s="1"/>
  <c r="G81" i="4"/>
  <c r="M81" i="4"/>
  <c r="O81" i="4" s="1"/>
  <c r="G82" i="4"/>
  <c r="M82" i="4"/>
  <c r="O82" i="4" s="1"/>
  <c r="G83" i="4"/>
  <c r="M83" i="4"/>
  <c r="O83" i="4" s="1"/>
  <c r="G84" i="4"/>
  <c r="M84" i="4"/>
  <c r="O84" i="4" s="1"/>
  <c r="G85" i="4"/>
  <c r="M85" i="4"/>
  <c r="O85" i="4" s="1"/>
  <c r="G86" i="4"/>
  <c r="M86" i="4"/>
  <c r="O86" i="4" s="1"/>
  <c r="G87" i="4"/>
  <c r="M87" i="4"/>
  <c r="O87" i="4" s="1"/>
  <c r="G88" i="4"/>
  <c r="M88" i="4"/>
  <c r="O88" i="4" s="1"/>
  <c r="G89" i="4"/>
  <c r="M89" i="4"/>
  <c r="O89" i="4" s="1"/>
  <c r="G90" i="4"/>
  <c r="M90" i="4"/>
  <c r="O90" i="4" s="1"/>
  <c r="G91" i="4"/>
  <c r="M91" i="4"/>
  <c r="O91" i="4" s="1"/>
  <c r="G92" i="4"/>
  <c r="M92" i="4"/>
  <c r="O92" i="4" s="1"/>
  <c r="G93" i="4"/>
  <c r="M93" i="4"/>
  <c r="O93" i="4" s="1"/>
  <c r="G94" i="4"/>
  <c r="M94" i="4"/>
  <c r="O94" i="4" s="1"/>
  <c r="G95" i="4"/>
  <c r="M95" i="4"/>
  <c r="O95" i="4" s="1"/>
  <c r="G96" i="4"/>
  <c r="M96" i="4"/>
  <c r="O96" i="4" s="1"/>
  <c r="G97" i="4"/>
  <c r="M97" i="4"/>
  <c r="O97" i="4" s="1"/>
  <c r="G98" i="4"/>
  <c r="M98" i="4"/>
  <c r="O98" i="4" s="1"/>
  <c r="G99" i="4"/>
  <c r="M99" i="4"/>
  <c r="O99" i="4" s="1"/>
  <c r="G100" i="4"/>
  <c r="M100" i="4"/>
  <c r="O100" i="4" s="1"/>
  <c r="G101" i="4"/>
  <c r="M101" i="4"/>
  <c r="O101" i="4" s="1"/>
  <c r="G102" i="4"/>
  <c r="M102" i="4"/>
  <c r="O102" i="4" s="1"/>
  <c r="G103" i="4"/>
  <c r="M103" i="4"/>
  <c r="O103" i="4" s="1"/>
  <c r="G104" i="4"/>
  <c r="M104" i="4"/>
  <c r="O104" i="4" s="1"/>
  <c r="G105" i="4"/>
  <c r="M105" i="4"/>
  <c r="O105" i="4" s="1"/>
  <c r="G106" i="4"/>
  <c r="M106" i="4"/>
  <c r="O106" i="4" s="1"/>
  <c r="G107" i="4"/>
  <c r="M107" i="4"/>
  <c r="O107" i="4" s="1"/>
  <c r="G108" i="4"/>
  <c r="M108" i="4"/>
  <c r="O108" i="4" s="1"/>
  <c r="G109" i="4"/>
  <c r="M109" i="4"/>
  <c r="O109" i="4" s="1"/>
  <c r="G110" i="4"/>
  <c r="M110" i="4"/>
  <c r="O110" i="4" s="1"/>
  <c r="G111" i="4"/>
  <c r="M111" i="4"/>
  <c r="O111" i="4" s="1"/>
  <c r="G112" i="4"/>
  <c r="M112" i="4"/>
  <c r="O112" i="4" s="1"/>
  <c r="G113" i="4"/>
  <c r="M113" i="4"/>
  <c r="O113" i="4" s="1"/>
  <c r="G114" i="4"/>
  <c r="M114" i="4"/>
  <c r="O114" i="4" s="1"/>
  <c r="G115" i="4"/>
  <c r="M115" i="4"/>
  <c r="O115" i="4" s="1"/>
  <c r="G116" i="4"/>
  <c r="M116" i="4"/>
  <c r="O116" i="4" s="1"/>
  <c r="G21" i="4"/>
  <c r="M21" i="4"/>
  <c r="O21" i="4" s="1"/>
  <c r="H21" i="4"/>
  <c r="N21" i="4"/>
  <c r="H22" i="4"/>
  <c r="N22" i="4"/>
  <c r="G23" i="4"/>
  <c r="M23" i="4"/>
  <c r="O23" i="4" s="1"/>
  <c r="H23" i="4"/>
  <c r="N23" i="4"/>
  <c r="G24" i="4"/>
  <c r="M24" i="4"/>
  <c r="O24" i="4" s="1"/>
  <c r="H24" i="4"/>
  <c r="N24" i="4"/>
  <c r="G25" i="4"/>
  <c r="M25" i="4"/>
  <c r="O25" i="4" s="1"/>
  <c r="H25" i="4"/>
  <c r="N25" i="4"/>
  <c r="G26" i="4"/>
  <c r="M26" i="4"/>
  <c r="O26" i="4" s="1"/>
  <c r="H26" i="4"/>
  <c r="N26" i="4"/>
  <c r="G27" i="4"/>
  <c r="M27" i="4"/>
  <c r="O27" i="4" s="1"/>
  <c r="H27" i="4"/>
  <c r="N27" i="4"/>
  <c r="G28" i="4"/>
  <c r="M28" i="4"/>
  <c r="O28" i="4" s="1"/>
  <c r="H28" i="4"/>
  <c r="N28" i="4"/>
  <c r="G29" i="4"/>
  <c r="M29" i="4"/>
  <c r="O29" i="4" s="1"/>
  <c r="H29" i="4"/>
  <c r="N29" i="4"/>
  <c r="G30" i="4"/>
  <c r="M30" i="4"/>
  <c r="O30" i="4" s="1"/>
  <c r="H30" i="4"/>
  <c r="N30" i="4"/>
  <c r="G31" i="4"/>
  <c r="M31" i="4"/>
  <c r="O31" i="4" s="1"/>
  <c r="H31" i="4"/>
  <c r="N31" i="4"/>
  <c r="G32" i="4"/>
  <c r="M32" i="4"/>
  <c r="O32" i="4" s="1"/>
  <c r="H32" i="4"/>
  <c r="N32" i="4"/>
  <c r="G33" i="4"/>
  <c r="M33" i="4"/>
  <c r="O33" i="4" s="1"/>
  <c r="H33" i="4"/>
  <c r="N33" i="4"/>
  <c r="G34" i="4"/>
  <c r="M34" i="4"/>
  <c r="O34" i="4" s="1"/>
  <c r="H34" i="4"/>
  <c r="N34" i="4"/>
  <c r="G35" i="4"/>
  <c r="M35" i="4"/>
  <c r="O35" i="4" s="1"/>
  <c r="H35" i="4"/>
  <c r="N35" i="4"/>
  <c r="G36" i="4"/>
  <c r="M36" i="4"/>
  <c r="O36" i="4" s="1"/>
  <c r="H36" i="4"/>
  <c r="N36" i="4"/>
  <c r="G37" i="4"/>
  <c r="M37" i="4"/>
  <c r="O37" i="4" s="1"/>
  <c r="H37" i="4"/>
  <c r="N37" i="4"/>
  <c r="G38" i="4"/>
  <c r="M38" i="4"/>
  <c r="O38" i="4" s="1"/>
  <c r="H38" i="4"/>
  <c r="N38" i="4"/>
  <c r="G39" i="4"/>
  <c r="M39" i="4"/>
  <c r="O39" i="4" s="1"/>
  <c r="H39" i="4"/>
  <c r="N39" i="4"/>
  <c r="G40" i="4"/>
  <c r="M40" i="4"/>
  <c r="O40" i="4" s="1"/>
  <c r="H40" i="4"/>
  <c r="N40" i="4"/>
  <c r="G41" i="4"/>
  <c r="M41" i="4"/>
  <c r="O41" i="4" s="1"/>
  <c r="H41" i="4"/>
  <c r="N41" i="4"/>
  <c r="G42" i="4"/>
  <c r="M42" i="4"/>
  <c r="O42" i="4" s="1"/>
  <c r="H42" i="4"/>
  <c r="N42" i="4"/>
  <c r="S21" i="4"/>
  <c r="U21" i="4" s="1"/>
  <c r="T21" i="4"/>
  <c r="P21" i="4"/>
  <c r="S22" i="4"/>
  <c r="U22" i="4" s="1"/>
  <c r="T22" i="4"/>
  <c r="P22" i="4"/>
  <c r="S23" i="4"/>
  <c r="U23" i="4" s="1"/>
  <c r="T23" i="4"/>
  <c r="P23" i="4"/>
  <c r="S24" i="4"/>
  <c r="U24" i="4" s="1"/>
  <c r="T24" i="4"/>
  <c r="P24" i="4"/>
  <c r="S25" i="4"/>
  <c r="U25" i="4" s="1"/>
  <c r="T25" i="4"/>
  <c r="P25" i="4"/>
  <c r="S26" i="4"/>
  <c r="U26" i="4" s="1"/>
  <c r="T26" i="4"/>
  <c r="P26" i="4"/>
  <c r="S27" i="4"/>
  <c r="U27" i="4" s="1"/>
  <c r="T27" i="4"/>
  <c r="P27" i="4"/>
  <c r="S28" i="4"/>
  <c r="U28" i="4" s="1"/>
  <c r="T28" i="4"/>
  <c r="P28" i="4"/>
  <c r="S29" i="4"/>
  <c r="U29" i="4" s="1"/>
  <c r="T29" i="4"/>
  <c r="P29" i="4"/>
  <c r="S30" i="4"/>
  <c r="U30" i="4" s="1"/>
  <c r="T30" i="4"/>
  <c r="P30" i="4"/>
  <c r="S31" i="4"/>
  <c r="U31" i="4" s="1"/>
  <c r="T31" i="4"/>
  <c r="P31" i="4"/>
  <c r="S32" i="4"/>
  <c r="U32" i="4" s="1"/>
  <c r="T32" i="4"/>
  <c r="P32" i="4"/>
  <c r="S33" i="4"/>
  <c r="U33" i="4" s="1"/>
  <c r="T33" i="4"/>
  <c r="P33" i="4"/>
  <c r="S34" i="4"/>
  <c r="U34" i="4" s="1"/>
  <c r="T34" i="4"/>
  <c r="P34" i="4"/>
  <c r="S35" i="4"/>
  <c r="U35" i="4" s="1"/>
  <c r="T35" i="4"/>
  <c r="P35" i="4"/>
  <c r="S36" i="4"/>
  <c r="U36" i="4" s="1"/>
  <c r="T36" i="4"/>
  <c r="P36" i="4"/>
  <c r="S37" i="4"/>
  <c r="U37" i="4" s="1"/>
  <c r="T37" i="4"/>
  <c r="P37" i="4"/>
  <c r="S38" i="4"/>
  <c r="U38" i="4" s="1"/>
  <c r="T38" i="4"/>
  <c r="P38" i="4"/>
  <c r="S39" i="4"/>
  <c r="U39" i="4" s="1"/>
  <c r="T39" i="4"/>
  <c r="P39" i="4"/>
  <c r="S40" i="4"/>
  <c r="U40" i="4" s="1"/>
  <c r="T40" i="4"/>
  <c r="P40" i="4"/>
  <c r="S41" i="4"/>
  <c r="U41" i="4" s="1"/>
  <c r="T41" i="4"/>
  <c r="P41" i="4"/>
  <c r="S42" i="4"/>
  <c r="U42" i="4" s="1"/>
  <c r="T42" i="4"/>
  <c r="P42" i="4"/>
  <c r="S43" i="4"/>
  <c r="U43" i="4" s="1"/>
  <c r="T43" i="4"/>
  <c r="P43" i="4"/>
  <c r="S44" i="4"/>
  <c r="U44" i="4" s="1"/>
  <c r="T44" i="4"/>
  <c r="P44" i="4"/>
  <c r="S45" i="4"/>
  <c r="U45" i="4" s="1"/>
  <c r="T45" i="4"/>
  <c r="P45" i="4"/>
  <c r="S46" i="4"/>
  <c r="U46" i="4" s="1"/>
  <c r="T46" i="4"/>
  <c r="P46" i="4"/>
  <c r="S47" i="4"/>
  <c r="U47" i="4" s="1"/>
  <c r="T47" i="4"/>
  <c r="P47" i="4"/>
  <c r="S48" i="4"/>
  <c r="U48" i="4" s="1"/>
  <c r="T48" i="4"/>
  <c r="P48" i="4"/>
  <c r="S49" i="4"/>
  <c r="U49" i="4" s="1"/>
  <c r="T49" i="4"/>
  <c r="P49" i="4"/>
  <c r="S50" i="4"/>
  <c r="U50" i="4" s="1"/>
  <c r="T50" i="4"/>
  <c r="P50" i="4"/>
  <c r="S51" i="4"/>
  <c r="U51" i="4" s="1"/>
  <c r="T51" i="4"/>
  <c r="P51" i="4"/>
  <c r="S52" i="4"/>
  <c r="U52" i="4" s="1"/>
  <c r="T52" i="4"/>
  <c r="P52" i="4"/>
  <c r="S53" i="4"/>
  <c r="U53" i="4" s="1"/>
  <c r="T53" i="4"/>
  <c r="P53" i="4"/>
  <c r="S54" i="4"/>
  <c r="U54" i="4" s="1"/>
  <c r="T54" i="4"/>
  <c r="P54" i="4"/>
  <c r="S55" i="4"/>
  <c r="U55" i="4" s="1"/>
  <c r="T55" i="4"/>
  <c r="P55" i="4"/>
  <c r="S56" i="4"/>
  <c r="U56" i="4" s="1"/>
  <c r="T56" i="4"/>
  <c r="P56" i="4"/>
  <c r="S57" i="4"/>
  <c r="U57" i="4" s="1"/>
  <c r="T57" i="4"/>
  <c r="P57" i="4"/>
  <c r="S58" i="4"/>
  <c r="U58" i="4" s="1"/>
  <c r="T58" i="4"/>
  <c r="P58" i="4"/>
  <c r="S59" i="4"/>
  <c r="U59" i="4" s="1"/>
  <c r="T59" i="4"/>
  <c r="P59" i="4"/>
  <c r="S60" i="4"/>
  <c r="U60" i="4" s="1"/>
  <c r="T60" i="4"/>
  <c r="P60" i="4"/>
  <c r="S61" i="4"/>
  <c r="U61" i="4" s="1"/>
  <c r="T61" i="4"/>
  <c r="P61" i="4"/>
  <c r="S62" i="4"/>
  <c r="U62" i="4" s="1"/>
  <c r="T62" i="4"/>
  <c r="P62" i="4"/>
  <c r="S63" i="4"/>
  <c r="U63" i="4" s="1"/>
  <c r="T63" i="4"/>
  <c r="P63" i="4"/>
  <c r="S64" i="4"/>
  <c r="U64" i="4" s="1"/>
  <c r="T64" i="4"/>
  <c r="P64" i="4"/>
  <c r="S65" i="4"/>
  <c r="U65" i="4" s="1"/>
  <c r="T65" i="4"/>
  <c r="P65" i="4"/>
  <c r="S66" i="4"/>
  <c r="U66" i="4" s="1"/>
  <c r="T66" i="4"/>
  <c r="P66" i="4"/>
  <c r="S67" i="4"/>
  <c r="U67" i="4" s="1"/>
  <c r="T67" i="4"/>
  <c r="P67" i="4"/>
  <c r="S68" i="4"/>
  <c r="U68" i="4" s="1"/>
  <c r="T68" i="4"/>
  <c r="P68" i="4"/>
  <c r="S69" i="4"/>
  <c r="U69" i="4" s="1"/>
  <c r="T69" i="4"/>
  <c r="P69" i="4"/>
  <c r="S70" i="4"/>
  <c r="U70" i="4" s="1"/>
  <c r="T70" i="4"/>
  <c r="P70" i="4"/>
  <c r="S71" i="4"/>
  <c r="U71" i="4" s="1"/>
  <c r="T71" i="4"/>
  <c r="P71" i="4"/>
  <c r="S72" i="4"/>
  <c r="U72" i="4" s="1"/>
  <c r="T72" i="4"/>
  <c r="P72" i="4"/>
  <c r="S73" i="4"/>
  <c r="U73" i="4" s="1"/>
  <c r="T73" i="4"/>
  <c r="P73" i="4"/>
  <c r="S74" i="4"/>
  <c r="U74" i="4" s="1"/>
  <c r="T74" i="4"/>
  <c r="P74" i="4"/>
  <c r="S75" i="4"/>
  <c r="U75" i="4" s="1"/>
  <c r="T75" i="4"/>
  <c r="P75" i="4"/>
  <c r="S76" i="4"/>
  <c r="U76" i="4" s="1"/>
  <c r="T76" i="4"/>
  <c r="P76" i="4"/>
  <c r="S77" i="4"/>
  <c r="U77" i="4" s="1"/>
  <c r="T77" i="4"/>
  <c r="P77" i="4"/>
  <c r="S78" i="4"/>
  <c r="U78" i="4" s="1"/>
  <c r="T78" i="4"/>
  <c r="P78" i="4"/>
  <c r="S79" i="4"/>
  <c r="U79" i="4" s="1"/>
  <c r="T79" i="4"/>
  <c r="P79" i="4"/>
  <c r="S80" i="4"/>
  <c r="U80" i="4" s="1"/>
  <c r="T80" i="4"/>
  <c r="P80" i="4"/>
  <c r="S81" i="4"/>
  <c r="U81" i="4" s="1"/>
  <c r="T81" i="4"/>
  <c r="P81" i="4"/>
  <c r="S82" i="4"/>
  <c r="U82" i="4" s="1"/>
  <c r="T82" i="4"/>
  <c r="P82" i="4"/>
  <c r="S83" i="4"/>
  <c r="U83" i="4" s="1"/>
  <c r="T83" i="4"/>
  <c r="P83" i="4"/>
  <c r="S84" i="4"/>
  <c r="U84" i="4" s="1"/>
  <c r="T84" i="4"/>
  <c r="P84" i="4"/>
  <c r="S85" i="4"/>
  <c r="U85" i="4" s="1"/>
  <c r="T85" i="4"/>
  <c r="P85" i="4"/>
  <c r="S86" i="4"/>
  <c r="U86" i="4" s="1"/>
  <c r="T86" i="4"/>
  <c r="P86" i="4"/>
  <c r="S87" i="4"/>
  <c r="U87" i="4" s="1"/>
  <c r="T87" i="4"/>
  <c r="P87" i="4"/>
  <c r="S88" i="4"/>
  <c r="U88" i="4" s="1"/>
  <c r="T88" i="4"/>
  <c r="P88" i="4"/>
  <c r="S89" i="4"/>
  <c r="U89" i="4" s="1"/>
  <c r="T89" i="4"/>
  <c r="P89" i="4"/>
  <c r="S90" i="4"/>
  <c r="U90" i="4" s="1"/>
  <c r="T90" i="4"/>
  <c r="P90" i="4"/>
  <c r="S91" i="4"/>
  <c r="U91" i="4" s="1"/>
  <c r="T91" i="4"/>
  <c r="P91" i="4"/>
  <c r="S92" i="4"/>
  <c r="U92" i="4" s="1"/>
  <c r="T92" i="4"/>
  <c r="P92" i="4"/>
  <c r="S93" i="4"/>
  <c r="U93" i="4" s="1"/>
  <c r="T93" i="4"/>
  <c r="P93" i="4"/>
  <c r="S94" i="4"/>
  <c r="U94" i="4" s="1"/>
  <c r="T94" i="4"/>
  <c r="P94" i="4"/>
  <c r="S95" i="4"/>
  <c r="U95" i="4" s="1"/>
  <c r="T95" i="4"/>
  <c r="P95" i="4"/>
  <c r="S96" i="4"/>
  <c r="U96" i="4" s="1"/>
  <c r="T96" i="4"/>
  <c r="P96" i="4"/>
  <c r="S97" i="4"/>
  <c r="U97" i="4" s="1"/>
  <c r="T97" i="4"/>
  <c r="P97" i="4"/>
  <c r="S98" i="4"/>
  <c r="U98" i="4" s="1"/>
  <c r="T98" i="4"/>
  <c r="P98" i="4"/>
  <c r="S99" i="4"/>
  <c r="U99" i="4" s="1"/>
  <c r="T99" i="4"/>
  <c r="P99" i="4"/>
  <c r="S100" i="4"/>
  <c r="U100" i="4" s="1"/>
  <c r="T100" i="4"/>
  <c r="P100" i="4"/>
  <c r="S101" i="4"/>
  <c r="U101" i="4" s="1"/>
  <c r="T101" i="4"/>
  <c r="P101" i="4"/>
  <c r="S102" i="4"/>
  <c r="U102" i="4" s="1"/>
  <c r="T102" i="4"/>
  <c r="P102" i="4"/>
  <c r="S103" i="4"/>
  <c r="U103" i="4" s="1"/>
  <c r="T103" i="4"/>
  <c r="P103" i="4"/>
  <c r="S104" i="4"/>
  <c r="U104" i="4" s="1"/>
  <c r="T104" i="4"/>
  <c r="P104" i="4"/>
  <c r="S105" i="4"/>
  <c r="U105" i="4" s="1"/>
  <c r="T105" i="4"/>
  <c r="P105" i="4"/>
  <c r="S106" i="4"/>
  <c r="U106" i="4" s="1"/>
  <c r="T106" i="4"/>
  <c r="P106" i="4"/>
  <c r="S107" i="4"/>
  <c r="U107" i="4" s="1"/>
  <c r="T107" i="4"/>
  <c r="P107" i="4"/>
  <c r="S108" i="4"/>
  <c r="U108" i="4" s="1"/>
  <c r="T108" i="4"/>
  <c r="P108" i="4"/>
  <c r="S109" i="4"/>
  <c r="U109" i="4" s="1"/>
  <c r="T109" i="4"/>
  <c r="P109" i="4"/>
  <c r="S110" i="4"/>
  <c r="U110" i="4" s="1"/>
  <c r="T110" i="4"/>
  <c r="P110" i="4"/>
  <c r="S111" i="4"/>
  <c r="U111" i="4" s="1"/>
  <c r="T111" i="4"/>
  <c r="P111" i="4"/>
  <c r="S112" i="4"/>
  <c r="U112" i="4" s="1"/>
  <c r="T112" i="4"/>
  <c r="P112" i="4"/>
  <c r="S113" i="4"/>
  <c r="U113" i="4" s="1"/>
  <c r="T113" i="4"/>
  <c r="P113" i="4"/>
  <c r="S114" i="4"/>
  <c r="U114" i="4" s="1"/>
  <c r="T114" i="4"/>
  <c r="P114" i="4"/>
  <c r="S115" i="4"/>
  <c r="U115" i="4" s="1"/>
  <c r="T115" i="4"/>
  <c r="P115" i="4"/>
  <c r="S116" i="4"/>
  <c r="U116" i="4" s="1"/>
  <c r="T116" i="4"/>
  <c r="P116" i="4"/>
  <c r="N149" i="4"/>
  <c r="R149" i="4" s="1"/>
  <c r="V149" i="4" s="1"/>
  <c r="Z149" i="4" s="1"/>
  <c r="N153" i="4"/>
  <c r="R153" i="4" s="1"/>
  <c r="N157" i="4"/>
  <c r="R157" i="4" s="1"/>
  <c r="N179" i="4"/>
  <c r="N155" i="4"/>
  <c r="R155" i="4" s="1"/>
  <c r="N151" i="4"/>
  <c r="R151" i="4" s="1"/>
  <c r="N175" i="4"/>
  <c r="R175" i="4" s="1"/>
  <c r="V175" i="4" s="1"/>
  <c r="Z175" i="4" s="1"/>
  <c r="N150" i="4"/>
  <c r="R150" i="4" s="1"/>
  <c r="V150" i="4" s="1"/>
  <c r="Z150" i="4" s="1"/>
  <c r="N183" i="4"/>
  <c r="R183" i="4" s="1"/>
  <c r="V183" i="4" s="1"/>
  <c r="Z183" i="4" s="1"/>
  <c r="N171" i="4"/>
  <c r="R171" i="4" s="1"/>
  <c r="V171" i="4" s="1"/>
  <c r="Z171" i="4" s="1"/>
  <c r="N167" i="4"/>
  <c r="R167" i="4" s="1"/>
  <c r="N199" i="4"/>
  <c r="R199" i="4" s="1"/>
  <c r="N147" i="4"/>
  <c r="R147" i="4" s="1"/>
  <c r="V147" i="4" s="1"/>
  <c r="Z147" i="4" s="1"/>
  <c r="N163" i="4"/>
  <c r="R163" i="4" s="1"/>
  <c r="V163" i="4" s="1"/>
  <c r="Z163" i="4" s="1"/>
  <c r="N195" i="4"/>
  <c r="R195" i="4" s="1"/>
  <c r="V195" i="4" s="1"/>
  <c r="Z195" i="4" s="1"/>
  <c r="N148" i="4"/>
  <c r="R148" i="4" s="1"/>
  <c r="V148" i="4" s="1"/>
  <c r="Z148" i="4" s="1"/>
  <c r="N152" i="4"/>
  <c r="R152" i="4" s="1"/>
  <c r="V152" i="4" s="1"/>
  <c r="Z152" i="4" s="1"/>
  <c r="N156" i="4"/>
  <c r="R156" i="4" s="1"/>
  <c r="V156" i="4" s="1"/>
  <c r="Z156" i="4" s="1"/>
  <c r="N160" i="4"/>
  <c r="R160" i="4" s="1"/>
  <c r="V160" i="4" s="1"/>
  <c r="Z160" i="4" s="1"/>
  <c r="N164" i="4"/>
  <c r="R164" i="4" s="1"/>
  <c r="V164" i="4" s="1"/>
  <c r="Z164" i="4" s="1"/>
  <c r="N168" i="4"/>
  <c r="R168" i="4" s="1"/>
  <c r="N172" i="4"/>
  <c r="R172" i="4" s="1"/>
  <c r="V172" i="4" s="1"/>
  <c r="Z172" i="4" s="1"/>
  <c r="N176" i="4"/>
  <c r="N180" i="4"/>
  <c r="R180" i="4" s="1"/>
  <c r="V180" i="4" s="1"/>
  <c r="Z180" i="4" s="1"/>
  <c r="N184" i="4"/>
  <c r="R184" i="4" s="1"/>
  <c r="V184" i="4" s="1"/>
  <c r="Z184" i="4" s="1"/>
  <c r="N188" i="4"/>
  <c r="R188" i="4" s="1"/>
  <c r="V188" i="4" s="1"/>
  <c r="Z188" i="4" s="1"/>
  <c r="N192" i="4"/>
  <c r="R192" i="4" s="1"/>
  <c r="V192" i="4" s="1"/>
  <c r="Z192" i="4" s="1"/>
  <c r="N196" i="4"/>
  <c r="R196" i="4" s="1"/>
  <c r="V196" i="4" s="1"/>
  <c r="Z196" i="4" s="1"/>
  <c r="N200" i="4"/>
  <c r="R200" i="4" s="1"/>
  <c r="N159" i="4"/>
  <c r="R159" i="4" s="1"/>
  <c r="N191" i="4"/>
  <c r="R191" i="4" s="1"/>
  <c r="V191" i="4" s="1"/>
  <c r="Z191" i="4" s="1"/>
  <c r="N187" i="4"/>
  <c r="R161" i="4"/>
  <c r="V161" i="4" s="1"/>
  <c r="Z161" i="4" s="1"/>
  <c r="R165" i="4"/>
  <c r="V165" i="4" s="1"/>
  <c r="Z165" i="4" s="1"/>
  <c r="R169" i="4"/>
  <c r="V169" i="4" s="1"/>
  <c r="Z169" i="4" s="1"/>
  <c r="R173" i="4"/>
  <c r="V173" i="4" s="1"/>
  <c r="Z173" i="4" s="1"/>
  <c r="R177" i="4"/>
  <c r="V177" i="4" s="1"/>
  <c r="Z177" i="4" s="1"/>
  <c r="R181" i="4"/>
  <c r="V181" i="4" s="1"/>
  <c r="Z181" i="4" s="1"/>
  <c r="R185" i="4"/>
  <c r="V185" i="4" s="1"/>
  <c r="Z185" i="4" s="1"/>
  <c r="R189" i="4"/>
  <c r="V189" i="4" s="1"/>
  <c r="Z189" i="4" s="1"/>
  <c r="R193" i="4"/>
  <c r="V193" i="4" s="1"/>
  <c r="Z193" i="4" s="1"/>
  <c r="R197" i="4"/>
  <c r="V197" i="4" s="1"/>
  <c r="Z197" i="4" s="1"/>
  <c r="N198" i="4"/>
  <c r="R198" i="4" s="1"/>
  <c r="V198" i="4" s="1"/>
  <c r="Z198" i="4" s="1"/>
  <c r="N194" i="4"/>
  <c r="R194" i="4" s="1"/>
  <c r="V194" i="4" s="1"/>
  <c r="Z194" i="4" s="1"/>
  <c r="N190" i="4"/>
  <c r="R190" i="4" s="1"/>
  <c r="N186" i="4"/>
  <c r="N182" i="4"/>
  <c r="N178" i="4"/>
  <c r="N174" i="4"/>
  <c r="R174" i="4" s="1"/>
  <c r="N170" i="4"/>
  <c r="R170" i="4" s="1"/>
  <c r="V170" i="4" s="1"/>
  <c r="Z170" i="4" s="1"/>
  <c r="N166" i="4"/>
  <c r="R166" i="4" s="1"/>
  <c r="V166" i="4" s="1"/>
  <c r="Z166" i="4" s="1"/>
  <c r="N162" i="4"/>
  <c r="R162" i="4" s="1"/>
  <c r="V162" i="4" s="1"/>
  <c r="Z162" i="4" s="1"/>
  <c r="N158" i="4"/>
  <c r="R158" i="4" s="1"/>
  <c r="N154" i="4"/>
  <c r="K23" i="4"/>
  <c r="K26" i="4"/>
  <c r="K29" i="4"/>
  <c r="K32" i="4"/>
  <c r="K35" i="4"/>
  <c r="K38" i="4"/>
  <c r="K41" i="4"/>
  <c r="K44" i="4"/>
  <c r="K47" i="4"/>
  <c r="K50" i="4"/>
  <c r="K53" i="4"/>
  <c r="K56" i="4"/>
  <c r="K59" i="4"/>
  <c r="K62" i="4"/>
  <c r="K65" i="4"/>
  <c r="K68" i="4"/>
  <c r="K71" i="4"/>
  <c r="K74" i="4"/>
  <c r="K77" i="4"/>
  <c r="K80" i="4"/>
  <c r="K83" i="4"/>
  <c r="K86" i="4"/>
  <c r="K89" i="4"/>
  <c r="K92" i="4"/>
  <c r="K95" i="4"/>
  <c r="K98" i="4"/>
  <c r="K101" i="4"/>
  <c r="K104" i="4"/>
  <c r="K107" i="4"/>
  <c r="K110" i="4"/>
  <c r="K113" i="4"/>
  <c r="K116" i="4"/>
  <c r="K25" i="4"/>
  <c r="K28" i="4"/>
  <c r="K31" i="4"/>
  <c r="K34" i="4"/>
  <c r="K37" i="4"/>
  <c r="K40" i="4"/>
  <c r="K43" i="4"/>
  <c r="K46" i="4"/>
  <c r="K58" i="4"/>
  <c r="K61" i="4"/>
  <c r="K64" i="4"/>
  <c r="K67" i="4"/>
  <c r="K70" i="4"/>
  <c r="K73" i="4"/>
  <c r="K85" i="4"/>
  <c r="K88" i="4"/>
  <c r="K97" i="4"/>
  <c r="K100" i="4"/>
  <c r="K103" i="4"/>
  <c r="K106" i="4"/>
  <c r="K109" i="4"/>
  <c r="K112" i="4"/>
  <c r="K115" i="4"/>
  <c r="B5" i="3" a="1"/>
  <c r="K21" i="4"/>
  <c r="K24" i="4"/>
  <c r="K27" i="4"/>
  <c r="K30" i="4"/>
  <c r="K33" i="4"/>
  <c r="K36" i="4"/>
  <c r="K39" i="4"/>
  <c r="K42" i="4"/>
  <c r="K45" i="4"/>
  <c r="K48" i="4"/>
  <c r="K51" i="4"/>
  <c r="K54" i="4"/>
  <c r="K57" i="4"/>
  <c r="K60" i="4"/>
  <c r="K63" i="4"/>
  <c r="K66" i="4"/>
  <c r="K69" i="4"/>
  <c r="K72" i="4"/>
  <c r="K75" i="4"/>
  <c r="K78" i="4"/>
  <c r="K81" i="4"/>
  <c r="K84" i="4"/>
  <c r="K87" i="4"/>
  <c r="K90" i="4"/>
  <c r="K93" i="4"/>
  <c r="K96" i="4"/>
  <c r="K99" i="4"/>
  <c r="K102" i="4"/>
  <c r="K105" i="4"/>
  <c r="K108" i="4"/>
  <c r="K111" i="4"/>
  <c r="K114" i="4"/>
  <c r="K49" i="4"/>
  <c r="K52" i="4"/>
  <c r="K55" i="4"/>
  <c r="K76" i="4"/>
  <c r="K79" i="4"/>
  <c r="K82" i="4"/>
  <c r="K91" i="4"/>
  <c r="K94" i="4"/>
  <c r="G22" i="4"/>
  <c r="F22" i="4"/>
  <c r="G121" i="4"/>
  <c r="F121" i="4"/>
  <c r="G122" i="4"/>
  <c r="F122" i="4"/>
  <c r="G123" i="4"/>
  <c r="F123" i="4"/>
  <c r="G124" i="4"/>
  <c r="F124" i="4"/>
  <c r="G125" i="4"/>
  <c r="F125" i="4"/>
  <c r="G126" i="4"/>
  <c r="F126" i="4"/>
  <c r="G127" i="4"/>
  <c r="F127" i="4"/>
  <c r="G128" i="4"/>
  <c r="F128" i="4"/>
  <c r="G129" i="4"/>
  <c r="F129" i="4"/>
  <c r="G130" i="4"/>
  <c r="F130" i="4"/>
  <c r="G131" i="4"/>
  <c r="F131" i="4"/>
  <c r="G132" i="4"/>
  <c r="F132" i="4"/>
  <c r="G133" i="4"/>
  <c r="F133" i="4"/>
  <c r="G134" i="4"/>
  <c r="F134" i="4"/>
  <c r="G135" i="4"/>
  <c r="F135" i="4"/>
  <c r="G136" i="4"/>
  <c r="F136" i="4"/>
  <c r="G137" i="4"/>
  <c r="F137" i="4"/>
  <c r="G138" i="4"/>
  <c r="F138" i="4"/>
  <c r="G139" i="4"/>
  <c r="F139" i="4"/>
  <c r="G140" i="4"/>
  <c r="F140" i="4"/>
  <c r="G141" i="4"/>
  <c r="F141" i="4"/>
  <c r="G142" i="4"/>
  <c r="F142" i="4"/>
  <c r="G143" i="4"/>
  <c r="F143" i="4"/>
  <c r="G144" i="4"/>
  <c r="F144" i="4"/>
  <c r="G145" i="4"/>
  <c r="F145" i="4"/>
  <c r="G146" i="4"/>
  <c r="F146" i="4"/>
  <c r="G147" i="4"/>
  <c r="M147" i="4" s="1"/>
  <c r="F147" i="4"/>
  <c r="G148" i="4"/>
  <c r="M148" i="4" s="1"/>
  <c r="F148" i="4"/>
  <c r="G149" i="4"/>
  <c r="M149" i="4" s="1"/>
  <c r="F149" i="4"/>
  <c r="G150" i="4"/>
  <c r="M150" i="4" s="1"/>
  <c r="F150" i="4"/>
  <c r="G151" i="4"/>
  <c r="M151" i="4" s="1"/>
  <c r="F151" i="4"/>
  <c r="G152" i="4"/>
  <c r="M152" i="4" s="1"/>
  <c r="F152" i="4"/>
  <c r="G153" i="4"/>
  <c r="M153" i="4" s="1"/>
  <c r="F153" i="4"/>
  <c r="G154" i="4"/>
  <c r="M154" i="4" s="1"/>
  <c r="F154" i="4"/>
  <c r="G155" i="4"/>
  <c r="M155" i="4" s="1"/>
  <c r="F155" i="4"/>
  <c r="G156" i="4"/>
  <c r="M156" i="4" s="1"/>
  <c r="F156" i="4"/>
  <c r="G157" i="4"/>
  <c r="M157" i="4" s="1"/>
  <c r="F157" i="4"/>
  <c r="G158" i="4"/>
  <c r="M158" i="4" s="1"/>
  <c r="F158" i="4"/>
  <c r="G159" i="4"/>
  <c r="M159" i="4" s="1"/>
  <c r="F159" i="4"/>
  <c r="G160" i="4"/>
  <c r="M160" i="4" s="1"/>
  <c r="F160" i="4"/>
  <c r="G161" i="4"/>
  <c r="M161" i="4" s="1"/>
  <c r="O161" i="4" s="1"/>
  <c r="F161" i="4"/>
  <c r="G162" i="4"/>
  <c r="M162" i="4" s="1"/>
  <c r="F162" i="4"/>
  <c r="G163" i="4"/>
  <c r="M163" i="4" s="1"/>
  <c r="F163" i="4"/>
  <c r="G164" i="4"/>
  <c r="M164" i="4" s="1"/>
  <c r="F164" i="4"/>
  <c r="G165" i="4"/>
  <c r="M165" i="4" s="1"/>
  <c r="O165" i="4" s="1"/>
  <c r="F165" i="4"/>
  <c r="G166" i="4"/>
  <c r="M166" i="4" s="1"/>
  <c r="F166" i="4"/>
  <c r="G167" i="4"/>
  <c r="M167" i="4" s="1"/>
  <c r="F167" i="4"/>
  <c r="G168" i="4"/>
  <c r="M168" i="4" s="1"/>
  <c r="F168" i="4"/>
  <c r="G169" i="4"/>
  <c r="M169" i="4" s="1"/>
  <c r="O169" i="4" s="1"/>
  <c r="F169" i="4"/>
  <c r="G170" i="4"/>
  <c r="M170" i="4" s="1"/>
  <c r="F170" i="4"/>
  <c r="G171" i="4"/>
  <c r="M171" i="4" s="1"/>
  <c r="F171" i="4"/>
  <c r="G172" i="4"/>
  <c r="M172" i="4" s="1"/>
  <c r="F172" i="4"/>
  <c r="G173" i="4"/>
  <c r="M173" i="4" s="1"/>
  <c r="O173" i="4" s="1"/>
  <c r="F173" i="4"/>
  <c r="G174" i="4"/>
  <c r="M174" i="4" s="1"/>
  <c r="F174" i="4"/>
  <c r="G175" i="4"/>
  <c r="M175" i="4" s="1"/>
  <c r="F175" i="4"/>
  <c r="G176" i="4"/>
  <c r="M176" i="4" s="1"/>
  <c r="F176" i="4"/>
  <c r="G177" i="4"/>
  <c r="M177" i="4" s="1"/>
  <c r="O177" i="4" s="1"/>
  <c r="F177" i="4"/>
  <c r="G178" i="4"/>
  <c r="M178" i="4" s="1"/>
  <c r="F178" i="4"/>
  <c r="G179" i="4"/>
  <c r="M179" i="4" s="1"/>
  <c r="F179" i="4"/>
  <c r="G180" i="4"/>
  <c r="M180" i="4" s="1"/>
  <c r="F180" i="4"/>
  <c r="G181" i="4"/>
  <c r="M181" i="4" s="1"/>
  <c r="O181" i="4" s="1"/>
  <c r="F181" i="4"/>
  <c r="G182" i="4"/>
  <c r="M182" i="4" s="1"/>
  <c r="F182" i="4"/>
  <c r="G183" i="4"/>
  <c r="M183" i="4" s="1"/>
  <c r="F183" i="4"/>
  <c r="G184" i="4"/>
  <c r="M184" i="4" s="1"/>
  <c r="F184" i="4"/>
  <c r="G185" i="4"/>
  <c r="M185" i="4" s="1"/>
  <c r="O185" i="4" s="1"/>
  <c r="F185" i="4"/>
  <c r="G186" i="4"/>
  <c r="M186" i="4" s="1"/>
  <c r="F186" i="4"/>
  <c r="G187" i="4"/>
  <c r="M187" i="4" s="1"/>
  <c r="F187" i="4"/>
  <c r="G188" i="4"/>
  <c r="M188" i="4" s="1"/>
  <c r="F188" i="4"/>
  <c r="G189" i="4"/>
  <c r="M189" i="4" s="1"/>
  <c r="O189" i="4" s="1"/>
  <c r="F189" i="4"/>
  <c r="G190" i="4"/>
  <c r="M190" i="4" s="1"/>
  <c r="F190" i="4"/>
  <c r="G191" i="4"/>
  <c r="M191" i="4" s="1"/>
  <c r="F191" i="4"/>
  <c r="G192" i="4"/>
  <c r="M192" i="4" s="1"/>
  <c r="F192" i="4"/>
  <c r="G193" i="4"/>
  <c r="M193" i="4" s="1"/>
  <c r="O193" i="4" s="1"/>
  <c r="F193" i="4"/>
  <c r="G194" i="4"/>
  <c r="M194" i="4" s="1"/>
  <c r="F194" i="4"/>
  <c r="G195" i="4"/>
  <c r="M195" i="4" s="1"/>
  <c r="O195" i="4" s="1"/>
  <c r="F195" i="4"/>
  <c r="G196" i="4"/>
  <c r="M196" i="4" s="1"/>
  <c r="F196" i="4"/>
  <c r="G197" i="4"/>
  <c r="M197" i="4" s="1"/>
  <c r="O197" i="4" s="1"/>
  <c r="F197" i="4"/>
  <c r="G198" i="4"/>
  <c r="M198" i="4" s="1"/>
  <c r="F198" i="4"/>
  <c r="G199" i="4"/>
  <c r="M199" i="4" s="1"/>
  <c r="F199" i="4"/>
  <c r="G200" i="4"/>
  <c r="M200" i="4" s="1"/>
  <c r="F200" i="4"/>
  <c r="E48" i="3"/>
  <c r="H48" i="3" s="1"/>
  <c r="D38" i="3"/>
  <c r="D39" i="3"/>
  <c r="D40" i="3"/>
  <c r="D41" i="3"/>
  <c r="D42" i="3"/>
  <c r="D43" i="3"/>
  <c r="D44" i="3"/>
  <c r="D45" i="3"/>
  <c r="D46" i="3"/>
  <c r="D47" i="3"/>
  <c r="I50" i="3"/>
  <c r="G51" i="3"/>
  <c r="I54" i="3"/>
  <c r="I51" i="3"/>
  <c r="F53" i="3"/>
  <c r="F54" i="3"/>
  <c r="F50" i="3"/>
  <c r="F51" i="3"/>
  <c r="I53" i="3"/>
  <c r="G54" i="3"/>
  <c r="G49" i="3"/>
  <c r="H50" i="3"/>
  <c r="G52" i="3"/>
  <c r="H53" i="3"/>
  <c r="H49" i="3"/>
  <c r="H52" i="3"/>
  <c r="F49" i="3"/>
  <c r="F52" i="3"/>
  <c r="C7" i="3" l="1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6" i="3"/>
  <c r="D37" i="3"/>
  <c r="V116" i="4"/>
  <c r="Z116" i="4"/>
  <c r="Q116" i="4"/>
  <c r="W116" i="4"/>
  <c r="Y116" i="4"/>
  <c r="AA116" i="4" s="1"/>
  <c r="V115" i="4"/>
  <c r="Z115" i="4"/>
  <c r="Q115" i="4"/>
  <c r="W115" i="4"/>
  <c r="Y115" i="4"/>
  <c r="AA115" i="4" s="1"/>
  <c r="V114" i="4"/>
  <c r="Z114" i="4"/>
  <c r="Q114" i="4"/>
  <c r="W114" i="4"/>
  <c r="Y114" i="4"/>
  <c r="AA114" i="4" s="1"/>
  <c r="V113" i="4"/>
  <c r="Z113" i="4"/>
  <c r="Q113" i="4"/>
  <c r="W113" i="4"/>
  <c r="Y113" i="4"/>
  <c r="AA113" i="4" s="1"/>
  <c r="V112" i="4"/>
  <c r="Z112" i="4"/>
  <c r="Q112" i="4"/>
  <c r="W112" i="4"/>
  <c r="Y112" i="4"/>
  <c r="AA112" i="4" s="1"/>
  <c r="V111" i="4"/>
  <c r="Z111" i="4"/>
  <c r="Q111" i="4"/>
  <c r="W111" i="4"/>
  <c r="Y111" i="4"/>
  <c r="AA111" i="4" s="1"/>
  <c r="V110" i="4"/>
  <c r="Z110" i="4"/>
  <c r="Q110" i="4"/>
  <c r="W110" i="4"/>
  <c r="Y110" i="4"/>
  <c r="AA110" i="4" s="1"/>
  <c r="V109" i="4"/>
  <c r="Z109" i="4"/>
  <c r="Q109" i="4"/>
  <c r="W109" i="4"/>
  <c r="Y109" i="4"/>
  <c r="AA109" i="4" s="1"/>
  <c r="V108" i="4"/>
  <c r="Z108" i="4"/>
  <c r="Q108" i="4"/>
  <c r="W108" i="4"/>
  <c r="Y108" i="4"/>
  <c r="AA108" i="4" s="1"/>
  <c r="V107" i="4"/>
  <c r="Z107" i="4"/>
  <c r="Q107" i="4"/>
  <c r="W107" i="4"/>
  <c r="Y107" i="4"/>
  <c r="AA107" i="4" s="1"/>
  <c r="V106" i="4"/>
  <c r="Z106" i="4"/>
  <c r="Q106" i="4"/>
  <c r="W106" i="4"/>
  <c r="Y106" i="4"/>
  <c r="AA106" i="4" s="1"/>
  <c r="V105" i="4"/>
  <c r="Z105" i="4"/>
  <c r="Q105" i="4"/>
  <c r="W105" i="4"/>
  <c r="Y105" i="4"/>
  <c r="AA105" i="4" s="1"/>
  <c r="V104" i="4"/>
  <c r="Z104" i="4"/>
  <c r="Q104" i="4"/>
  <c r="W104" i="4"/>
  <c r="Y104" i="4"/>
  <c r="AA104" i="4" s="1"/>
  <c r="V103" i="4"/>
  <c r="Z103" i="4"/>
  <c r="Q103" i="4"/>
  <c r="W103" i="4"/>
  <c r="Y103" i="4"/>
  <c r="AA103" i="4" s="1"/>
  <c r="V102" i="4"/>
  <c r="Z102" i="4"/>
  <c r="Q102" i="4"/>
  <c r="W102" i="4"/>
  <c r="Y102" i="4"/>
  <c r="AA102" i="4" s="1"/>
  <c r="V101" i="4"/>
  <c r="Z101" i="4"/>
  <c r="Q101" i="4"/>
  <c r="W101" i="4"/>
  <c r="Y101" i="4"/>
  <c r="AA101" i="4" s="1"/>
  <c r="V100" i="4"/>
  <c r="Z100" i="4"/>
  <c r="Q100" i="4"/>
  <c r="W100" i="4"/>
  <c r="Y100" i="4"/>
  <c r="AA100" i="4" s="1"/>
  <c r="V99" i="4"/>
  <c r="Z99" i="4"/>
  <c r="Q99" i="4"/>
  <c r="W99" i="4"/>
  <c r="Y99" i="4"/>
  <c r="AA99" i="4" s="1"/>
  <c r="V98" i="4"/>
  <c r="Z98" i="4"/>
  <c r="Q98" i="4"/>
  <c r="W98" i="4"/>
  <c r="Y98" i="4"/>
  <c r="AA98" i="4" s="1"/>
  <c r="V97" i="4"/>
  <c r="Z97" i="4"/>
  <c r="Q97" i="4"/>
  <c r="W97" i="4"/>
  <c r="Y97" i="4"/>
  <c r="AA97" i="4" s="1"/>
  <c r="V96" i="4"/>
  <c r="Z96" i="4"/>
  <c r="Q96" i="4"/>
  <c r="W96" i="4"/>
  <c r="Y96" i="4"/>
  <c r="AA96" i="4" s="1"/>
  <c r="V95" i="4"/>
  <c r="Z95" i="4"/>
  <c r="Q95" i="4"/>
  <c r="W95" i="4"/>
  <c r="Y95" i="4"/>
  <c r="AA95" i="4" s="1"/>
  <c r="V94" i="4"/>
  <c r="Z94" i="4"/>
  <c r="Q94" i="4"/>
  <c r="W94" i="4"/>
  <c r="Y94" i="4"/>
  <c r="AA94" i="4" s="1"/>
  <c r="V93" i="4"/>
  <c r="Z93" i="4"/>
  <c r="Q93" i="4"/>
  <c r="W93" i="4"/>
  <c r="Y93" i="4"/>
  <c r="AA93" i="4" s="1"/>
  <c r="V92" i="4"/>
  <c r="Z92" i="4"/>
  <c r="Q92" i="4"/>
  <c r="W92" i="4"/>
  <c r="Y92" i="4"/>
  <c r="AA92" i="4" s="1"/>
  <c r="V91" i="4"/>
  <c r="Z91" i="4"/>
  <c r="Q91" i="4"/>
  <c r="W91" i="4"/>
  <c r="Y91" i="4"/>
  <c r="AA91" i="4" s="1"/>
  <c r="V90" i="4"/>
  <c r="Z90" i="4"/>
  <c r="Q90" i="4"/>
  <c r="W90" i="4"/>
  <c r="Y90" i="4"/>
  <c r="AA90" i="4" s="1"/>
  <c r="V89" i="4"/>
  <c r="Z89" i="4"/>
  <c r="Q89" i="4"/>
  <c r="W89" i="4"/>
  <c r="Y89" i="4"/>
  <c r="AA89" i="4" s="1"/>
  <c r="V88" i="4"/>
  <c r="Z88" i="4"/>
  <c r="Q88" i="4"/>
  <c r="W88" i="4"/>
  <c r="Y88" i="4"/>
  <c r="AA88" i="4" s="1"/>
  <c r="V87" i="4"/>
  <c r="Z87" i="4"/>
  <c r="Q87" i="4"/>
  <c r="W87" i="4"/>
  <c r="Y87" i="4"/>
  <c r="AA87" i="4" s="1"/>
  <c r="V86" i="4"/>
  <c r="Z86" i="4"/>
  <c r="Q86" i="4"/>
  <c r="W86" i="4"/>
  <c r="Y86" i="4"/>
  <c r="AA86" i="4" s="1"/>
  <c r="V85" i="4"/>
  <c r="Z85" i="4"/>
  <c r="Q85" i="4"/>
  <c r="W85" i="4"/>
  <c r="Y85" i="4"/>
  <c r="AA85" i="4" s="1"/>
  <c r="V84" i="4"/>
  <c r="Z84" i="4"/>
  <c r="Q84" i="4"/>
  <c r="W84" i="4"/>
  <c r="Y84" i="4"/>
  <c r="AA84" i="4" s="1"/>
  <c r="V83" i="4"/>
  <c r="Z83" i="4"/>
  <c r="Q83" i="4"/>
  <c r="W83" i="4"/>
  <c r="Y83" i="4"/>
  <c r="AA83" i="4" s="1"/>
  <c r="V82" i="4"/>
  <c r="Z82" i="4"/>
  <c r="Q82" i="4"/>
  <c r="W82" i="4"/>
  <c r="Y82" i="4"/>
  <c r="AA82" i="4" s="1"/>
  <c r="V81" i="4"/>
  <c r="Z81" i="4"/>
  <c r="Q81" i="4"/>
  <c r="W81" i="4"/>
  <c r="Y81" i="4"/>
  <c r="AA81" i="4" s="1"/>
  <c r="V80" i="4"/>
  <c r="Z80" i="4"/>
  <c r="Q80" i="4"/>
  <c r="W80" i="4"/>
  <c r="Y80" i="4"/>
  <c r="AA80" i="4" s="1"/>
  <c r="V79" i="4"/>
  <c r="Z79" i="4"/>
  <c r="Q79" i="4"/>
  <c r="W79" i="4"/>
  <c r="Y79" i="4"/>
  <c r="AA79" i="4" s="1"/>
  <c r="V78" i="4"/>
  <c r="Z78" i="4"/>
  <c r="Q78" i="4"/>
  <c r="W78" i="4"/>
  <c r="Y78" i="4"/>
  <c r="AA78" i="4" s="1"/>
  <c r="V77" i="4"/>
  <c r="Z77" i="4"/>
  <c r="Q77" i="4"/>
  <c r="W77" i="4"/>
  <c r="Y77" i="4"/>
  <c r="AA77" i="4" s="1"/>
  <c r="V76" i="4"/>
  <c r="Z76" i="4"/>
  <c r="Q76" i="4"/>
  <c r="W76" i="4"/>
  <c r="Y76" i="4"/>
  <c r="AA76" i="4" s="1"/>
  <c r="V75" i="4"/>
  <c r="Z75" i="4"/>
  <c r="Q75" i="4"/>
  <c r="W75" i="4"/>
  <c r="Y75" i="4"/>
  <c r="AA75" i="4" s="1"/>
  <c r="V74" i="4"/>
  <c r="Z74" i="4"/>
  <c r="Q74" i="4"/>
  <c r="W74" i="4"/>
  <c r="Y74" i="4"/>
  <c r="AA74" i="4" s="1"/>
  <c r="V73" i="4"/>
  <c r="Z73" i="4"/>
  <c r="Q73" i="4"/>
  <c r="W73" i="4"/>
  <c r="Y73" i="4"/>
  <c r="AA73" i="4" s="1"/>
  <c r="V72" i="4"/>
  <c r="Z72" i="4"/>
  <c r="Q72" i="4"/>
  <c r="W72" i="4"/>
  <c r="Y72" i="4"/>
  <c r="AA72" i="4" s="1"/>
  <c r="V71" i="4"/>
  <c r="Z71" i="4"/>
  <c r="Q71" i="4"/>
  <c r="W71" i="4"/>
  <c r="Y71" i="4"/>
  <c r="AA71" i="4" s="1"/>
  <c r="V70" i="4"/>
  <c r="Z70" i="4"/>
  <c r="Q70" i="4"/>
  <c r="W70" i="4"/>
  <c r="Y70" i="4"/>
  <c r="AA70" i="4" s="1"/>
  <c r="V69" i="4"/>
  <c r="Z69" i="4"/>
  <c r="Q69" i="4"/>
  <c r="W69" i="4"/>
  <c r="Y69" i="4"/>
  <c r="AA69" i="4" s="1"/>
  <c r="V68" i="4"/>
  <c r="Z68" i="4"/>
  <c r="Q68" i="4"/>
  <c r="W68" i="4"/>
  <c r="Y68" i="4"/>
  <c r="AA68" i="4" s="1"/>
  <c r="V67" i="4"/>
  <c r="Z67" i="4"/>
  <c r="Q67" i="4"/>
  <c r="W67" i="4"/>
  <c r="Y67" i="4"/>
  <c r="AA67" i="4" s="1"/>
  <c r="V66" i="4"/>
  <c r="Z66" i="4"/>
  <c r="Q66" i="4"/>
  <c r="W66" i="4"/>
  <c r="Y66" i="4"/>
  <c r="AA66" i="4" s="1"/>
  <c r="V65" i="4"/>
  <c r="Z65" i="4"/>
  <c r="Q65" i="4"/>
  <c r="W65" i="4"/>
  <c r="Y65" i="4"/>
  <c r="AA65" i="4" s="1"/>
  <c r="V64" i="4"/>
  <c r="Z64" i="4"/>
  <c r="Q64" i="4"/>
  <c r="W64" i="4"/>
  <c r="Y64" i="4"/>
  <c r="AA64" i="4" s="1"/>
  <c r="V63" i="4"/>
  <c r="Z63" i="4"/>
  <c r="Q63" i="4"/>
  <c r="W63" i="4"/>
  <c r="Y63" i="4"/>
  <c r="AA63" i="4" s="1"/>
  <c r="V62" i="4"/>
  <c r="Z62" i="4"/>
  <c r="Q62" i="4"/>
  <c r="W62" i="4"/>
  <c r="Y62" i="4"/>
  <c r="AA62" i="4" s="1"/>
  <c r="V61" i="4"/>
  <c r="Z61" i="4"/>
  <c r="Q61" i="4"/>
  <c r="W61" i="4"/>
  <c r="Y61" i="4"/>
  <c r="AA61" i="4" s="1"/>
  <c r="V60" i="4"/>
  <c r="Z60" i="4"/>
  <c r="Q60" i="4"/>
  <c r="W60" i="4"/>
  <c r="Y60" i="4"/>
  <c r="AA60" i="4" s="1"/>
  <c r="V59" i="4"/>
  <c r="Z59" i="4"/>
  <c r="Q59" i="4"/>
  <c r="W59" i="4"/>
  <c r="Y59" i="4"/>
  <c r="AA59" i="4" s="1"/>
  <c r="V58" i="4"/>
  <c r="Z58" i="4"/>
  <c r="Q58" i="4"/>
  <c r="W58" i="4"/>
  <c r="Y58" i="4"/>
  <c r="AA58" i="4" s="1"/>
  <c r="V57" i="4"/>
  <c r="Z57" i="4"/>
  <c r="Q57" i="4"/>
  <c r="W57" i="4"/>
  <c r="Y57" i="4"/>
  <c r="AA57" i="4" s="1"/>
  <c r="V56" i="4"/>
  <c r="Z56" i="4"/>
  <c r="Q56" i="4"/>
  <c r="W56" i="4"/>
  <c r="Y56" i="4"/>
  <c r="AA56" i="4" s="1"/>
  <c r="V55" i="4"/>
  <c r="Z55" i="4"/>
  <c r="Q55" i="4"/>
  <c r="W55" i="4"/>
  <c r="Y55" i="4"/>
  <c r="AA55" i="4" s="1"/>
  <c r="V54" i="4"/>
  <c r="Z54" i="4"/>
  <c r="Q54" i="4"/>
  <c r="W54" i="4"/>
  <c r="Y54" i="4"/>
  <c r="AA54" i="4" s="1"/>
  <c r="V53" i="4"/>
  <c r="Z53" i="4"/>
  <c r="Q53" i="4"/>
  <c r="W53" i="4"/>
  <c r="Y53" i="4"/>
  <c r="AA53" i="4" s="1"/>
  <c r="V52" i="4"/>
  <c r="Z52" i="4"/>
  <c r="Q52" i="4"/>
  <c r="W52" i="4"/>
  <c r="Y52" i="4"/>
  <c r="AA52" i="4" s="1"/>
  <c r="V51" i="4"/>
  <c r="Z51" i="4"/>
  <c r="Q51" i="4"/>
  <c r="W51" i="4"/>
  <c r="Y51" i="4"/>
  <c r="AA51" i="4" s="1"/>
  <c r="V50" i="4"/>
  <c r="Z50" i="4"/>
  <c r="Q50" i="4"/>
  <c r="W50" i="4"/>
  <c r="Y50" i="4"/>
  <c r="AA50" i="4" s="1"/>
  <c r="V49" i="4"/>
  <c r="Z49" i="4"/>
  <c r="Q49" i="4"/>
  <c r="W49" i="4"/>
  <c r="Y49" i="4"/>
  <c r="AA49" i="4" s="1"/>
  <c r="V48" i="4"/>
  <c r="Z48" i="4"/>
  <c r="Q48" i="4"/>
  <c r="W48" i="4"/>
  <c r="Y48" i="4"/>
  <c r="AA48" i="4" s="1"/>
  <c r="V47" i="4"/>
  <c r="Z47" i="4"/>
  <c r="Q47" i="4"/>
  <c r="W47" i="4"/>
  <c r="Y47" i="4"/>
  <c r="AA47" i="4" s="1"/>
  <c r="V46" i="4"/>
  <c r="Z46" i="4"/>
  <c r="Q46" i="4"/>
  <c r="W46" i="4"/>
  <c r="Y46" i="4"/>
  <c r="AA46" i="4" s="1"/>
  <c r="V45" i="4"/>
  <c r="Z45" i="4"/>
  <c r="Q45" i="4"/>
  <c r="W45" i="4"/>
  <c r="Y45" i="4"/>
  <c r="AA45" i="4" s="1"/>
  <c r="V44" i="4"/>
  <c r="Z44" i="4"/>
  <c r="Q44" i="4"/>
  <c r="W44" i="4"/>
  <c r="Y44" i="4"/>
  <c r="AA44" i="4" s="1"/>
  <c r="V43" i="4"/>
  <c r="Z43" i="4"/>
  <c r="Q43" i="4"/>
  <c r="W43" i="4"/>
  <c r="Y43" i="4"/>
  <c r="AA43" i="4" s="1"/>
  <c r="V42" i="4"/>
  <c r="Z42" i="4"/>
  <c r="Q42" i="4"/>
  <c r="W42" i="4"/>
  <c r="Y42" i="4"/>
  <c r="AA42" i="4" s="1"/>
  <c r="V41" i="4"/>
  <c r="Z41" i="4"/>
  <c r="Q41" i="4"/>
  <c r="W41" i="4"/>
  <c r="Y41" i="4"/>
  <c r="AA41" i="4" s="1"/>
  <c r="V40" i="4"/>
  <c r="Z40" i="4"/>
  <c r="Q40" i="4"/>
  <c r="W40" i="4"/>
  <c r="Y40" i="4"/>
  <c r="AA40" i="4" s="1"/>
  <c r="V39" i="4"/>
  <c r="Z39" i="4"/>
  <c r="Q39" i="4"/>
  <c r="W39" i="4"/>
  <c r="Y39" i="4"/>
  <c r="AA39" i="4" s="1"/>
  <c r="V38" i="4"/>
  <c r="Z38" i="4"/>
  <c r="Q38" i="4"/>
  <c r="W38" i="4"/>
  <c r="Y38" i="4"/>
  <c r="AA38" i="4" s="1"/>
  <c r="V37" i="4"/>
  <c r="Z37" i="4"/>
  <c r="Q37" i="4"/>
  <c r="W37" i="4"/>
  <c r="Y37" i="4"/>
  <c r="AA37" i="4" s="1"/>
  <c r="V36" i="4"/>
  <c r="Z36" i="4"/>
  <c r="Q36" i="4"/>
  <c r="W36" i="4"/>
  <c r="Y36" i="4"/>
  <c r="AA36" i="4" s="1"/>
  <c r="V35" i="4"/>
  <c r="Z35" i="4"/>
  <c r="Q35" i="4"/>
  <c r="W35" i="4"/>
  <c r="Y35" i="4"/>
  <c r="AA35" i="4" s="1"/>
  <c r="V34" i="4"/>
  <c r="Z34" i="4"/>
  <c r="Q34" i="4"/>
  <c r="W34" i="4"/>
  <c r="Y34" i="4"/>
  <c r="AA34" i="4" s="1"/>
  <c r="V33" i="4"/>
  <c r="Z33" i="4"/>
  <c r="Q33" i="4"/>
  <c r="W33" i="4"/>
  <c r="Y33" i="4"/>
  <c r="AA33" i="4" s="1"/>
  <c r="V32" i="4"/>
  <c r="Z32" i="4"/>
  <c r="Q32" i="4"/>
  <c r="W32" i="4"/>
  <c r="Y32" i="4"/>
  <c r="AA32" i="4" s="1"/>
  <c r="V31" i="4"/>
  <c r="Z31" i="4"/>
  <c r="Q31" i="4"/>
  <c r="W31" i="4"/>
  <c r="Y31" i="4"/>
  <c r="AA31" i="4" s="1"/>
  <c r="V30" i="4"/>
  <c r="Z30" i="4"/>
  <c r="Q30" i="4"/>
  <c r="W30" i="4"/>
  <c r="Y30" i="4"/>
  <c r="AA30" i="4" s="1"/>
  <c r="V29" i="4"/>
  <c r="Z29" i="4"/>
  <c r="Q29" i="4"/>
  <c r="W29" i="4"/>
  <c r="Y29" i="4"/>
  <c r="AA29" i="4" s="1"/>
  <c r="V28" i="4"/>
  <c r="Z28" i="4"/>
  <c r="Q28" i="4"/>
  <c r="W28" i="4"/>
  <c r="Y28" i="4"/>
  <c r="AA28" i="4" s="1"/>
  <c r="V27" i="4"/>
  <c r="Z27" i="4"/>
  <c r="Q27" i="4"/>
  <c r="W27" i="4"/>
  <c r="Y27" i="4"/>
  <c r="AA27" i="4" s="1"/>
  <c r="V26" i="4"/>
  <c r="Z26" i="4"/>
  <c r="Q26" i="4"/>
  <c r="W26" i="4"/>
  <c r="Y26" i="4"/>
  <c r="AA26" i="4" s="1"/>
  <c r="V25" i="4"/>
  <c r="Z25" i="4"/>
  <c r="Q25" i="4"/>
  <c r="W25" i="4"/>
  <c r="Y25" i="4"/>
  <c r="AA25" i="4" s="1"/>
  <c r="V24" i="4"/>
  <c r="Z24" i="4"/>
  <c r="Q24" i="4"/>
  <c r="W24" i="4"/>
  <c r="Y24" i="4"/>
  <c r="AA24" i="4" s="1"/>
  <c r="V23" i="4"/>
  <c r="Z23" i="4"/>
  <c r="Q23" i="4"/>
  <c r="W23" i="4"/>
  <c r="Y23" i="4"/>
  <c r="AA23" i="4" s="1"/>
  <c r="V22" i="4"/>
  <c r="Z22" i="4"/>
  <c r="Q22" i="4"/>
  <c r="W22" i="4"/>
  <c r="Y22" i="4"/>
  <c r="AA22" i="4" s="1"/>
  <c r="V21" i="4"/>
  <c r="Z21" i="4"/>
  <c r="Q21" i="4"/>
  <c r="W21" i="4"/>
  <c r="Y21" i="4"/>
  <c r="AA21" i="4" s="1"/>
  <c r="D36" i="3"/>
  <c r="D34" i="3"/>
  <c r="D35" i="3"/>
  <c r="O200" i="4"/>
  <c r="O168" i="4"/>
  <c r="V200" i="4"/>
  <c r="Z200" i="4" s="1"/>
  <c r="O180" i="4"/>
  <c r="O152" i="4"/>
  <c r="O199" i="4"/>
  <c r="O187" i="4"/>
  <c r="O147" i="4"/>
  <c r="O184" i="4"/>
  <c r="O156" i="4"/>
  <c r="O159" i="4"/>
  <c r="O191" i="4"/>
  <c r="O167" i="4"/>
  <c r="O182" i="4"/>
  <c r="V159" i="4"/>
  <c r="Z159" i="4" s="1"/>
  <c r="O179" i="4"/>
  <c r="O155" i="4"/>
  <c r="O198" i="4"/>
  <c r="O178" i="4"/>
  <c r="O166" i="4"/>
  <c r="V168" i="4"/>
  <c r="Z168" i="4" s="1"/>
  <c r="O149" i="4"/>
  <c r="O194" i="4"/>
  <c r="O162" i="4"/>
  <c r="O150" i="4"/>
  <c r="V167" i="4"/>
  <c r="Z167" i="4" s="1"/>
  <c r="O164" i="4"/>
  <c r="V153" i="4"/>
  <c r="Z153" i="4" s="1"/>
  <c r="O188" i="4"/>
  <c r="O160" i="4"/>
  <c r="O183" i="4"/>
  <c r="O171" i="4"/>
  <c r="O163" i="4"/>
  <c r="O151" i="4"/>
  <c r="V151" i="4"/>
  <c r="Z151" i="4" s="1"/>
  <c r="O186" i="4"/>
  <c r="O170" i="4"/>
  <c r="O154" i="4"/>
  <c r="O190" i="4"/>
  <c r="O158" i="4"/>
  <c r="O196" i="4"/>
  <c r="O172" i="4"/>
  <c r="O148" i="4"/>
  <c r="R178" i="4"/>
  <c r="V178" i="4" s="1"/>
  <c r="Z178" i="4" s="1"/>
  <c r="R182" i="4"/>
  <c r="V182" i="4" s="1"/>
  <c r="Z182" i="4" s="1"/>
  <c r="R176" i="4"/>
  <c r="V176" i="4" s="1"/>
  <c r="Z176" i="4" s="1"/>
  <c r="O192" i="4"/>
  <c r="O176" i="4"/>
  <c r="O175" i="4"/>
  <c r="V199" i="4"/>
  <c r="Z199" i="4" s="1"/>
  <c r="V155" i="4"/>
  <c r="Z155" i="4" s="1"/>
  <c r="R179" i="4"/>
  <c r="V179" i="4" s="1"/>
  <c r="Z179" i="4" s="1"/>
  <c r="V174" i="4"/>
  <c r="Z174" i="4" s="1"/>
  <c r="V157" i="4"/>
  <c r="Z157" i="4" s="1"/>
  <c r="V190" i="4"/>
  <c r="Z190" i="4" s="1"/>
  <c r="V158" i="4"/>
  <c r="Z158" i="4" s="1"/>
  <c r="R187" i="4"/>
  <c r="V187" i="4" s="1"/>
  <c r="Z187" i="4" s="1"/>
  <c r="R186" i="4"/>
  <c r="V186" i="4" s="1"/>
  <c r="Z186" i="4" s="1"/>
  <c r="R154" i="4"/>
  <c r="V154" i="4" s="1"/>
  <c r="Z154" i="4" s="1"/>
  <c r="O174" i="4"/>
  <c r="O157" i="4"/>
  <c r="O153" i="4"/>
  <c r="D29" i="3"/>
  <c r="D32" i="3"/>
  <c r="D31" i="3"/>
  <c r="D30" i="3"/>
  <c r="D33" i="3"/>
  <c r="D28" i="3"/>
  <c r="K200" i="4"/>
  <c r="Q200" i="4"/>
  <c r="S200" i="4" s="1"/>
  <c r="K199" i="4"/>
  <c r="Q199" i="4"/>
  <c r="S199" i="4" s="1"/>
  <c r="K198" i="4"/>
  <c r="Q198" i="4"/>
  <c r="S198" i="4" s="1"/>
  <c r="K197" i="4"/>
  <c r="Q197" i="4"/>
  <c r="K196" i="4"/>
  <c r="Q196" i="4"/>
  <c r="K195" i="4"/>
  <c r="Q195" i="4"/>
  <c r="S195" i="4" s="1"/>
  <c r="K194" i="4"/>
  <c r="Q194" i="4"/>
  <c r="S194" i="4" s="1"/>
  <c r="K193" i="4"/>
  <c r="Q193" i="4"/>
  <c r="S193" i="4" s="1"/>
  <c r="K192" i="4"/>
  <c r="Q192" i="4"/>
  <c r="S192" i="4" s="1"/>
  <c r="K191" i="4"/>
  <c r="Q191" i="4"/>
  <c r="S191" i="4" s="1"/>
  <c r="K190" i="4"/>
  <c r="Q190" i="4"/>
  <c r="S190" i="4" s="1"/>
  <c r="K189" i="4"/>
  <c r="Q189" i="4"/>
  <c r="K188" i="4"/>
  <c r="Q188" i="4"/>
  <c r="K187" i="4"/>
  <c r="Q187" i="4"/>
  <c r="U187" i="4" s="1"/>
  <c r="K186" i="4"/>
  <c r="Q186" i="4"/>
  <c r="U186" i="4" s="1"/>
  <c r="K185" i="4"/>
  <c r="Q185" i="4"/>
  <c r="S185" i="4" s="1"/>
  <c r="K184" i="4"/>
  <c r="Q184" i="4"/>
  <c r="S184" i="4" s="1"/>
  <c r="K183" i="4"/>
  <c r="Q183" i="4"/>
  <c r="S183" i="4" s="1"/>
  <c r="K182" i="4"/>
  <c r="Q182" i="4"/>
  <c r="U182" i="4" s="1"/>
  <c r="W182" i="4" s="1"/>
  <c r="K181" i="4"/>
  <c r="Q181" i="4"/>
  <c r="K180" i="4"/>
  <c r="Q180" i="4"/>
  <c r="K179" i="4"/>
  <c r="Q179" i="4"/>
  <c r="U179" i="4" s="1"/>
  <c r="K178" i="4"/>
  <c r="Q178" i="4"/>
  <c r="K177" i="4"/>
  <c r="Q177" i="4"/>
  <c r="S177" i="4" s="1"/>
  <c r="K176" i="4"/>
  <c r="Q176" i="4"/>
  <c r="S176" i="4" s="1"/>
  <c r="K175" i="4"/>
  <c r="Q175" i="4"/>
  <c r="S175" i="4" s="1"/>
  <c r="K174" i="4"/>
  <c r="Q174" i="4"/>
  <c r="S174" i="4" s="1"/>
  <c r="K173" i="4"/>
  <c r="Q173" i="4"/>
  <c r="K172" i="4"/>
  <c r="Q172" i="4"/>
  <c r="K171" i="4"/>
  <c r="Q171" i="4"/>
  <c r="S171" i="4" s="1"/>
  <c r="K170" i="4"/>
  <c r="Q170" i="4"/>
  <c r="S170" i="4" s="1"/>
  <c r="K169" i="4"/>
  <c r="Q169" i="4"/>
  <c r="S169" i="4" s="1"/>
  <c r="K168" i="4"/>
  <c r="Q168" i="4"/>
  <c r="S168" i="4" s="1"/>
  <c r="K167" i="4"/>
  <c r="Q167" i="4"/>
  <c r="S167" i="4" s="1"/>
  <c r="K166" i="4"/>
  <c r="Q166" i="4"/>
  <c r="S166" i="4" s="1"/>
  <c r="K165" i="4"/>
  <c r="Q165" i="4"/>
  <c r="K164" i="4"/>
  <c r="Q164" i="4"/>
  <c r="K163" i="4"/>
  <c r="Q163" i="4"/>
  <c r="S163" i="4" s="1"/>
  <c r="K162" i="4"/>
  <c r="Q162" i="4"/>
  <c r="S162" i="4" s="1"/>
  <c r="K161" i="4"/>
  <c r="Q161" i="4"/>
  <c r="S161" i="4" s="1"/>
  <c r="K160" i="4"/>
  <c r="Q160" i="4"/>
  <c r="S160" i="4" s="1"/>
  <c r="K159" i="4"/>
  <c r="Q159" i="4"/>
  <c r="S159" i="4" s="1"/>
  <c r="K158" i="4"/>
  <c r="Q158" i="4"/>
  <c r="S158" i="4" s="1"/>
  <c r="K157" i="4"/>
  <c r="Q157" i="4"/>
  <c r="K156" i="4"/>
  <c r="Q156" i="4"/>
  <c r="K155" i="4"/>
  <c r="Q155" i="4"/>
  <c r="S155" i="4" s="1"/>
  <c r="K154" i="4"/>
  <c r="Q154" i="4"/>
  <c r="K153" i="4"/>
  <c r="Q153" i="4"/>
  <c r="S153" i="4" s="1"/>
  <c r="K152" i="4"/>
  <c r="Q152" i="4"/>
  <c r="S152" i="4" s="1"/>
  <c r="K151" i="4"/>
  <c r="Q151" i="4"/>
  <c r="S151" i="4" s="1"/>
  <c r="K150" i="4"/>
  <c r="Q150" i="4"/>
  <c r="S150" i="4" s="1"/>
  <c r="K149" i="4"/>
  <c r="Q149" i="4"/>
  <c r="K148" i="4"/>
  <c r="Q148" i="4"/>
  <c r="K147" i="4"/>
  <c r="Q147" i="4"/>
  <c r="S147" i="4" s="1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22" i="4"/>
  <c r="D27" i="3"/>
  <c r="D21" i="3"/>
  <c r="D12" i="3"/>
  <c r="D11" i="3"/>
  <c r="D6" i="3"/>
  <c r="D24" i="3"/>
  <c r="D18" i="3"/>
  <c r="D15" i="3"/>
  <c r="D9" i="3"/>
  <c r="D26" i="3"/>
  <c r="D23" i="3"/>
  <c r="D20" i="3"/>
  <c r="D17" i="3"/>
  <c r="D14" i="3"/>
  <c r="D8" i="3"/>
  <c r="B5" i="3"/>
  <c r="D25" i="3"/>
  <c r="D22" i="3"/>
  <c r="D19" i="3"/>
  <c r="D16" i="3"/>
  <c r="D13" i="3"/>
  <c r="D10" i="3"/>
  <c r="D7" i="3"/>
  <c r="G48" i="3"/>
  <c r="I48" i="3"/>
  <c r="F48" i="3"/>
  <c r="E46" i="3"/>
  <c r="E43" i="3"/>
  <c r="E40" i="3"/>
  <c r="E39" i="3"/>
  <c r="E38" i="3"/>
  <c r="E36" i="3"/>
  <c r="E33" i="3"/>
  <c r="E28" i="3"/>
  <c r="E26" i="3"/>
  <c r="E23" i="3"/>
  <c r="E20" i="3"/>
  <c r="E17" i="3"/>
  <c r="E14" i="3"/>
  <c r="E12" i="3"/>
  <c r="E9" i="3"/>
  <c r="E6" i="3"/>
  <c r="E45" i="3"/>
  <c r="E42" i="3"/>
  <c r="E37" i="3"/>
  <c r="E35" i="3"/>
  <c r="E32" i="3"/>
  <c r="E25" i="3"/>
  <c r="E22" i="3"/>
  <c r="E19" i="3"/>
  <c r="E16" i="3"/>
  <c r="E13" i="3"/>
  <c r="E11" i="3"/>
  <c r="E8" i="3"/>
  <c r="E47" i="3"/>
  <c r="E44" i="3"/>
  <c r="E41" i="3"/>
  <c r="E30" i="3"/>
  <c r="E24" i="3"/>
  <c r="E15" i="3"/>
  <c r="E7" i="3"/>
  <c r="E34" i="3"/>
  <c r="E29" i="3"/>
  <c r="E21" i="3"/>
  <c r="E10" i="3"/>
  <c r="E31" i="3"/>
  <c r="E27" i="3"/>
  <c r="E18" i="3"/>
  <c r="AE21" i="4" l="1"/>
  <c r="AG21" i="4" s="1"/>
  <c r="AB21" i="4"/>
  <c r="AF21" i="4"/>
  <c r="AH21" i="4" s="1"/>
  <c r="AE22" i="4"/>
  <c r="AG22" i="4" s="1"/>
  <c r="AB22" i="4"/>
  <c r="AF22" i="4"/>
  <c r="AH22" i="4" s="1"/>
  <c r="AE23" i="4"/>
  <c r="AG23" i="4" s="1"/>
  <c r="AB23" i="4"/>
  <c r="AF23" i="4"/>
  <c r="AH23" i="4" s="1"/>
  <c r="AE24" i="4"/>
  <c r="AG24" i="4" s="1"/>
  <c r="AB24" i="4"/>
  <c r="AF24" i="4"/>
  <c r="AH24" i="4" s="1"/>
  <c r="AE25" i="4"/>
  <c r="AG25" i="4" s="1"/>
  <c r="AB25" i="4"/>
  <c r="AF25" i="4"/>
  <c r="AH25" i="4" s="1"/>
  <c r="AE26" i="4"/>
  <c r="AG26" i="4" s="1"/>
  <c r="AB26" i="4"/>
  <c r="AF26" i="4"/>
  <c r="AH26" i="4" s="1"/>
  <c r="AE27" i="4"/>
  <c r="AG27" i="4" s="1"/>
  <c r="AB27" i="4"/>
  <c r="AF27" i="4"/>
  <c r="AH27" i="4" s="1"/>
  <c r="AE28" i="4"/>
  <c r="AG28" i="4" s="1"/>
  <c r="AB28" i="4"/>
  <c r="AF28" i="4"/>
  <c r="AH28" i="4" s="1"/>
  <c r="AE29" i="4"/>
  <c r="AG29" i="4" s="1"/>
  <c r="AB29" i="4"/>
  <c r="AF29" i="4"/>
  <c r="AH29" i="4" s="1"/>
  <c r="AE30" i="4"/>
  <c r="AG30" i="4" s="1"/>
  <c r="AB30" i="4"/>
  <c r="AF30" i="4"/>
  <c r="AH30" i="4" s="1"/>
  <c r="AE31" i="4"/>
  <c r="AG31" i="4" s="1"/>
  <c r="AB31" i="4"/>
  <c r="AF31" i="4"/>
  <c r="AH31" i="4" s="1"/>
  <c r="AE32" i="4"/>
  <c r="AG32" i="4" s="1"/>
  <c r="AB32" i="4"/>
  <c r="AF32" i="4"/>
  <c r="AH32" i="4" s="1"/>
  <c r="AE33" i="4"/>
  <c r="AG33" i="4" s="1"/>
  <c r="AB33" i="4"/>
  <c r="AF33" i="4"/>
  <c r="AH33" i="4" s="1"/>
  <c r="AE34" i="4"/>
  <c r="AG34" i="4" s="1"/>
  <c r="AB34" i="4"/>
  <c r="AF34" i="4"/>
  <c r="AH34" i="4" s="1"/>
  <c r="AE35" i="4"/>
  <c r="AG35" i="4" s="1"/>
  <c r="AB35" i="4"/>
  <c r="AF35" i="4"/>
  <c r="AH35" i="4" s="1"/>
  <c r="AE36" i="4"/>
  <c r="AG36" i="4" s="1"/>
  <c r="AB36" i="4"/>
  <c r="AF36" i="4"/>
  <c r="AH36" i="4" s="1"/>
  <c r="AE37" i="4"/>
  <c r="AG37" i="4" s="1"/>
  <c r="AB37" i="4"/>
  <c r="AF37" i="4"/>
  <c r="AH37" i="4" s="1"/>
  <c r="AE38" i="4"/>
  <c r="AG38" i="4" s="1"/>
  <c r="AB38" i="4"/>
  <c r="AF38" i="4"/>
  <c r="AH38" i="4" s="1"/>
  <c r="AE39" i="4"/>
  <c r="AG39" i="4" s="1"/>
  <c r="AB39" i="4"/>
  <c r="AF39" i="4"/>
  <c r="AH39" i="4" s="1"/>
  <c r="AE40" i="4"/>
  <c r="AG40" i="4" s="1"/>
  <c r="AB40" i="4"/>
  <c r="AF40" i="4"/>
  <c r="AH40" i="4" s="1"/>
  <c r="AE41" i="4"/>
  <c r="AG41" i="4" s="1"/>
  <c r="AB41" i="4"/>
  <c r="AF41" i="4"/>
  <c r="AH41" i="4" s="1"/>
  <c r="AE42" i="4"/>
  <c r="AG42" i="4" s="1"/>
  <c r="AB42" i="4"/>
  <c r="AF42" i="4"/>
  <c r="AH42" i="4" s="1"/>
  <c r="AE43" i="4"/>
  <c r="AG43" i="4" s="1"/>
  <c r="AB43" i="4"/>
  <c r="AF43" i="4"/>
  <c r="AH43" i="4" s="1"/>
  <c r="AE44" i="4"/>
  <c r="AG44" i="4" s="1"/>
  <c r="AB44" i="4"/>
  <c r="AF44" i="4"/>
  <c r="AH44" i="4" s="1"/>
  <c r="AE45" i="4"/>
  <c r="AG45" i="4" s="1"/>
  <c r="AB45" i="4"/>
  <c r="AF45" i="4"/>
  <c r="AH45" i="4" s="1"/>
  <c r="AE46" i="4"/>
  <c r="AG46" i="4" s="1"/>
  <c r="AB46" i="4"/>
  <c r="AF46" i="4"/>
  <c r="AH46" i="4" s="1"/>
  <c r="AE47" i="4"/>
  <c r="AG47" i="4" s="1"/>
  <c r="AB47" i="4"/>
  <c r="AF47" i="4"/>
  <c r="AH47" i="4" s="1"/>
  <c r="AE48" i="4"/>
  <c r="AG48" i="4" s="1"/>
  <c r="AB48" i="4"/>
  <c r="AF48" i="4"/>
  <c r="AH48" i="4" s="1"/>
  <c r="AE49" i="4"/>
  <c r="AG49" i="4" s="1"/>
  <c r="AB49" i="4"/>
  <c r="AF49" i="4"/>
  <c r="AH49" i="4" s="1"/>
  <c r="AE50" i="4"/>
  <c r="AG50" i="4" s="1"/>
  <c r="AB50" i="4"/>
  <c r="AF50" i="4"/>
  <c r="AH50" i="4" s="1"/>
  <c r="AE51" i="4"/>
  <c r="AG51" i="4" s="1"/>
  <c r="AB51" i="4"/>
  <c r="AF51" i="4"/>
  <c r="AH51" i="4" s="1"/>
  <c r="AE52" i="4"/>
  <c r="AG52" i="4" s="1"/>
  <c r="AB52" i="4"/>
  <c r="AF52" i="4"/>
  <c r="AH52" i="4" s="1"/>
  <c r="AE53" i="4"/>
  <c r="AG53" i="4" s="1"/>
  <c r="AB53" i="4"/>
  <c r="AF53" i="4"/>
  <c r="AH53" i="4" s="1"/>
  <c r="AE54" i="4"/>
  <c r="AG54" i="4" s="1"/>
  <c r="AB54" i="4"/>
  <c r="AF54" i="4"/>
  <c r="AH54" i="4" s="1"/>
  <c r="AE55" i="4"/>
  <c r="AG55" i="4" s="1"/>
  <c r="AB55" i="4"/>
  <c r="AF55" i="4"/>
  <c r="AH55" i="4" s="1"/>
  <c r="AE56" i="4"/>
  <c r="AG56" i="4" s="1"/>
  <c r="AB56" i="4"/>
  <c r="AF56" i="4"/>
  <c r="AH56" i="4" s="1"/>
  <c r="AE57" i="4"/>
  <c r="AG57" i="4" s="1"/>
  <c r="AB57" i="4"/>
  <c r="AF57" i="4"/>
  <c r="AH57" i="4" s="1"/>
  <c r="AE58" i="4"/>
  <c r="AG58" i="4" s="1"/>
  <c r="AB58" i="4"/>
  <c r="AF58" i="4"/>
  <c r="AH58" i="4" s="1"/>
  <c r="AE59" i="4"/>
  <c r="AG59" i="4" s="1"/>
  <c r="AB59" i="4"/>
  <c r="AF59" i="4"/>
  <c r="AH59" i="4" s="1"/>
  <c r="AE60" i="4"/>
  <c r="AG60" i="4" s="1"/>
  <c r="AB60" i="4"/>
  <c r="AF60" i="4"/>
  <c r="AH60" i="4" s="1"/>
  <c r="AE61" i="4"/>
  <c r="AG61" i="4" s="1"/>
  <c r="AB61" i="4"/>
  <c r="AF61" i="4"/>
  <c r="AH61" i="4" s="1"/>
  <c r="AE62" i="4"/>
  <c r="AG62" i="4" s="1"/>
  <c r="AB62" i="4"/>
  <c r="AF62" i="4"/>
  <c r="AH62" i="4" s="1"/>
  <c r="AE63" i="4"/>
  <c r="AG63" i="4" s="1"/>
  <c r="AB63" i="4"/>
  <c r="AF63" i="4"/>
  <c r="AH63" i="4" s="1"/>
  <c r="AE64" i="4"/>
  <c r="AG64" i="4" s="1"/>
  <c r="AB64" i="4"/>
  <c r="AF64" i="4"/>
  <c r="AH64" i="4" s="1"/>
  <c r="AE65" i="4"/>
  <c r="AG65" i="4" s="1"/>
  <c r="AB65" i="4"/>
  <c r="AF65" i="4"/>
  <c r="AH65" i="4" s="1"/>
  <c r="AE66" i="4"/>
  <c r="AG66" i="4" s="1"/>
  <c r="AB66" i="4"/>
  <c r="AF66" i="4"/>
  <c r="AH66" i="4" s="1"/>
  <c r="AE67" i="4"/>
  <c r="AG67" i="4" s="1"/>
  <c r="AB67" i="4"/>
  <c r="AF67" i="4"/>
  <c r="AH67" i="4" s="1"/>
  <c r="AE68" i="4"/>
  <c r="AG68" i="4" s="1"/>
  <c r="AB68" i="4"/>
  <c r="AF68" i="4"/>
  <c r="AH68" i="4" s="1"/>
  <c r="AE69" i="4"/>
  <c r="AG69" i="4" s="1"/>
  <c r="AB69" i="4"/>
  <c r="AF69" i="4"/>
  <c r="AH69" i="4" s="1"/>
  <c r="AE70" i="4"/>
  <c r="AG70" i="4" s="1"/>
  <c r="AB70" i="4"/>
  <c r="AF70" i="4"/>
  <c r="AH70" i="4" s="1"/>
  <c r="AE71" i="4"/>
  <c r="AG71" i="4" s="1"/>
  <c r="AB71" i="4"/>
  <c r="AF71" i="4"/>
  <c r="AH71" i="4" s="1"/>
  <c r="AE72" i="4"/>
  <c r="AG72" i="4" s="1"/>
  <c r="AB72" i="4"/>
  <c r="AF72" i="4"/>
  <c r="AH72" i="4" s="1"/>
  <c r="AE73" i="4"/>
  <c r="AG73" i="4" s="1"/>
  <c r="AB73" i="4"/>
  <c r="AF73" i="4"/>
  <c r="AH73" i="4" s="1"/>
  <c r="AE74" i="4"/>
  <c r="AG74" i="4" s="1"/>
  <c r="AB74" i="4"/>
  <c r="AF74" i="4"/>
  <c r="AH74" i="4" s="1"/>
  <c r="AE75" i="4"/>
  <c r="AG75" i="4" s="1"/>
  <c r="AB75" i="4"/>
  <c r="AF75" i="4"/>
  <c r="AH75" i="4" s="1"/>
  <c r="AE76" i="4"/>
  <c r="AG76" i="4" s="1"/>
  <c r="AB76" i="4"/>
  <c r="AF76" i="4"/>
  <c r="AH76" i="4" s="1"/>
  <c r="AE77" i="4"/>
  <c r="AG77" i="4" s="1"/>
  <c r="AB77" i="4"/>
  <c r="AF77" i="4"/>
  <c r="AH77" i="4" s="1"/>
  <c r="AE78" i="4"/>
  <c r="AG78" i="4" s="1"/>
  <c r="AB78" i="4"/>
  <c r="AF78" i="4"/>
  <c r="AH78" i="4" s="1"/>
  <c r="AE79" i="4"/>
  <c r="AG79" i="4" s="1"/>
  <c r="AB79" i="4"/>
  <c r="AF79" i="4"/>
  <c r="AH79" i="4" s="1"/>
  <c r="AE80" i="4"/>
  <c r="AG80" i="4" s="1"/>
  <c r="AB80" i="4"/>
  <c r="AF80" i="4"/>
  <c r="AH80" i="4" s="1"/>
  <c r="AE81" i="4"/>
  <c r="AG81" i="4" s="1"/>
  <c r="AB81" i="4"/>
  <c r="AF81" i="4"/>
  <c r="AH81" i="4" s="1"/>
  <c r="AE82" i="4"/>
  <c r="AG82" i="4" s="1"/>
  <c r="AB82" i="4"/>
  <c r="AF82" i="4"/>
  <c r="AH82" i="4" s="1"/>
  <c r="AE83" i="4"/>
  <c r="AG83" i="4" s="1"/>
  <c r="AB83" i="4"/>
  <c r="AF83" i="4"/>
  <c r="AH83" i="4" s="1"/>
  <c r="AE84" i="4"/>
  <c r="AG84" i="4" s="1"/>
  <c r="AB84" i="4"/>
  <c r="AF84" i="4"/>
  <c r="AH84" i="4" s="1"/>
  <c r="AE85" i="4"/>
  <c r="AG85" i="4" s="1"/>
  <c r="AB85" i="4"/>
  <c r="AF85" i="4"/>
  <c r="AH85" i="4" s="1"/>
  <c r="AE86" i="4"/>
  <c r="AG86" i="4" s="1"/>
  <c r="AB86" i="4"/>
  <c r="AF86" i="4"/>
  <c r="AH86" i="4" s="1"/>
  <c r="AE87" i="4"/>
  <c r="AG87" i="4" s="1"/>
  <c r="AB87" i="4"/>
  <c r="AF87" i="4"/>
  <c r="AH87" i="4" s="1"/>
  <c r="AE88" i="4"/>
  <c r="AG88" i="4" s="1"/>
  <c r="AB88" i="4"/>
  <c r="AF88" i="4"/>
  <c r="AH88" i="4" s="1"/>
  <c r="AE89" i="4"/>
  <c r="AG89" i="4" s="1"/>
  <c r="AB89" i="4"/>
  <c r="AF89" i="4"/>
  <c r="AH89" i="4" s="1"/>
  <c r="AE90" i="4"/>
  <c r="AG90" i="4" s="1"/>
  <c r="AB90" i="4"/>
  <c r="AF90" i="4"/>
  <c r="AH90" i="4" s="1"/>
  <c r="AE91" i="4"/>
  <c r="AG91" i="4" s="1"/>
  <c r="AB91" i="4"/>
  <c r="AF91" i="4"/>
  <c r="AH91" i="4" s="1"/>
  <c r="AE92" i="4"/>
  <c r="AG92" i="4" s="1"/>
  <c r="AB92" i="4"/>
  <c r="AF92" i="4"/>
  <c r="AH92" i="4" s="1"/>
  <c r="AE93" i="4"/>
  <c r="AG93" i="4" s="1"/>
  <c r="AB93" i="4"/>
  <c r="AF93" i="4"/>
  <c r="AH93" i="4" s="1"/>
  <c r="AE94" i="4"/>
  <c r="AG94" i="4" s="1"/>
  <c r="AB94" i="4"/>
  <c r="AF94" i="4"/>
  <c r="AH94" i="4" s="1"/>
  <c r="AE95" i="4"/>
  <c r="AG95" i="4" s="1"/>
  <c r="AB95" i="4"/>
  <c r="AF95" i="4"/>
  <c r="AH95" i="4" s="1"/>
  <c r="AE96" i="4"/>
  <c r="AG96" i="4" s="1"/>
  <c r="AB96" i="4"/>
  <c r="AF96" i="4"/>
  <c r="AH96" i="4" s="1"/>
  <c r="AE97" i="4"/>
  <c r="AG97" i="4" s="1"/>
  <c r="AB97" i="4"/>
  <c r="AF97" i="4"/>
  <c r="AH97" i="4" s="1"/>
  <c r="AE98" i="4"/>
  <c r="AG98" i="4" s="1"/>
  <c r="AB98" i="4"/>
  <c r="AF98" i="4"/>
  <c r="AH98" i="4" s="1"/>
  <c r="AE99" i="4"/>
  <c r="AG99" i="4" s="1"/>
  <c r="AB99" i="4"/>
  <c r="AF99" i="4"/>
  <c r="AH99" i="4" s="1"/>
  <c r="AE100" i="4"/>
  <c r="AG100" i="4" s="1"/>
  <c r="AB100" i="4"/>
  <c r="AF100" i="4"/>
  <c r="AH100" i="4" s="1"/>
  <c r="AE101" i="4"/>
  <c r="AG101" i="4" s="1"/>
  <c r="AB101" i="4"/>
  <c r="AF101" i="4"/>
  <c r="AH101" i="4" s="1"/>
  <c r="AE102" i="4"/>
  <c r="AG102" i="4" s="1"/>
  <c r="AB102" i="4"/>
  <c r="AF102" i="4"/>
  <c r="AH102" i="4" s="1"/>
  <c r="AE103" i="4"/>
  <c r="AG103" i="4" s="1"/>
  <c r="AB103" i="4"/>
  <c r="AF103" i="4"/>
  <c r="AH103" i="4" s="1"/>
  <c r="AE104" i="4"/>
  <c r="AG104" i="4" s="1"/>
  <c r="AB104" i="4"/>
  <c r="AF104" i="4"/>
  <c r="AH104" i="4" s="1"/>
  <c r="AE105" i="4"/>
  <c r="AG105" i="4" s="1"/>
  <c r="AB105" i="4"/>
  <c r="AF105" i="4"/>
  <c r="AH105" i="4" s="1"/>
  <c r="AE106" i="4"/>
  <c r="AG106" i="4" s="1"/>
  <c r="AB106" i="4"/>
  <c r="AF106" i="4"/>
  <c r="AH106" i="4" s="1"/>
  <c r="AE107" i="4"/>
  <c r="AG107" i="4" s="1"/>
  <c r="AB107" i="4"/>
  <c r="AF107" i="4"/>
  <c r="AH107" i="4" s="1"/>
  <c r="AE108" i="4"/>
  <c r="AG108" i="4" s="1"/>
  <c r="AB108" i="4"/>
  <c r="AF108" i="4"/>
  <c r="AH108" i="4" s="1"/>
  <c r="AE109" i="4"/>
  <c r="AG109" i="4" s="1"/>
  <c r="AB109" i="4"/>
  <c r="AF109" i="4"/>
  <c r="AH109" i="4" s="1"/>
  <c r="AE110" i="4"/>
  <c r="AG110" i="4" s="1"/>
  <c r="AB110" i="4"/>
  <c r="AF110" i="4"/>
  <c r="AH110" i="4" s="1"/>
  <c r="AE111" i="4"/>
  <c r="AG111" i="4" s="1"/>
  <c r="AB111" i="4"/>
  <c r="AF111" i="4"/>
  <c r="AH111" i="4" s="1"/>
  <c r="AE112" i="4"/>
  <c r="AG112" i="4" s="1"/>
  <c r="AB112" i="4"/>
  <c r="AF112" i="4"/>
  <c r="AH112" i="4" s="1"/>
  <c r="AE113" i="4"/>
  <c r="AG113" i="4" s="1"/>
  <c r="AB113" i="4"/>
  <c r="AF113" i="4"/>
  <c r="AH113" i="4" s="1"/>
  <c r="AE114" i="4"/>
  <c r="AG114" i="4" s="1"/>
  <c r="AB114" i="4"/>
  <c r="AF114" i="4"/>
  <c r="AH114" i="4" s="1"/>
  <c r="AE115" i="4"/>
  <c r="AG115" i="4" s="1"/>
  <c r="AB115" i="4"/>
  <c r="AF115" i="4"/>
  <c r="AH115" i="4" s="1"/>
  <c r="AE116" i="4"/>
  <c r="AG116" i="4" s="1"/>
  <c r="AB116" i="4"/>
  <c r="AF116" i="4"/>
  <c r="AH116" i="4" s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F9" i="1"/>
  <c r="S154" i="4"/>
  <c r="W186" i="4"/>
  <c r="U175" i="4"/>
  <c r="W175" i="4" s="1"/>
  <c r="S178" i="4"/>
  <c r="U159" i="4"/>
  <c r="W159" i="4" s="1"/>
  <c r="U178" i="4"/>
  <c r="W178" i="4" s="1"/>
  <c r="U191" i="4"/>
  <c r="W191" i="4" s="1"/>
  <c r="U170" i="4"/>
  <c r="W170" i="4" s="1"/>
  <c r="U167" i="4"/>
  <c r="W167" i="4" s="1"/>
  <c r="U199" i="4"/>
  <c r="W199" i="4" s="1"/>
  <c r="U154" i="4"/>
  <c r="W154" i="4" s="1"/>
  <c r="U151" i="4"/>
  <c r="W151" i="4" s="1"/>
  <c r="U183" i="4"/>
  <c r="W183" i="4" s="1"/>
  <c r="U162" i="4"/>
  <c r="W162" i="4" s="1"/>
  <c r="U194" i="4"/>
  <c r="W194" i="4" s="1"/>
  <c r="Y179" i="4"/>
  <c r="AA179" i="4" s="1"/>
  <c r="W179" i="4"/>
  <c r="Y187" i="4"/>
  <c r="AA187" i="4" s="1"/>
  <c r="W187" i="4"/>
  <c r="U152" i="4"/>
  <c r="W152" i="4" s="1"/>
  <c r="U155" i="4"/>
  <c r="U168" i="4"/>
  <c r="W168" i="4" s="1"/>
  <c r="U171" i="4"/>
  <c r="U184" i="4"/>
  <c r="W184" i="4" s="1"/>
  <c r="U200" i="4"/>
  <c r="W200" i="4" s="1"/>
  <c r="U147" i="4"/>
  <c r="U160" i="4"/>
  <c r="W160" i="4" s="1"/>
  <c r="U163" i="4"/>
  <c r="U176" i="4"/>
  <c r="Y176" i="4" s="1"/>
  <c r="AA176" i="4" s="1"/>
  <c r="U192" i="4"/>
  <c r="W192" i="4" s="1"/>
  <c r="U195" i="4"/>
  <c r="S164" i="4"/>
  <c r="U164" i="4"/>
  <c r="W164" i="4" s="1"/>
  <c r="S180" i="4"/>
  <c r="U180" i="4"/>
  <c r="W180" i="4" s="1"/>
  <c r="S149" i="4"/>
  <c r="U149" i="4"/>
  <c r="S165" i="4"/>
  <c r="U165" i="4"/>
  <c r="S181" i="4"/>
  <c r="U181" i="4"/>
  <c r="S197" i="4"/>
  <c r="U197" i="4"/>
  <c r="S148" i="4"/>
  <c r="U148" i="4"/>
  <c r="W148" i="4" s="1"/>
  <c r="S196" i="4"/>
  <c r="U196" i="4"/>
  <c r="W196" i="4" s="1"/>
  <c r="S156" i="4"/>
  <c r="U156" i="4"/>
  <c r="W156" i="4" s="1"/>
  <c r="S172" i="4"/>
  <c r="U172" i="4"/>
  <c r="W172" i="4" s="1"/>
  <c r="S188" i="4"/>
  <c r="U188" i="4"/>
  <c r="W188" i="4" s="1"/>
  <c r="S157" i="4"/>
  <c r="U157" i="4"/>
  <c r="W157" i="4" s="1"/>
  <c r="S173" i="4"/>
  <c r="U173" i="4"/>
  <c r="W173" i="4" s="1"/>
  <c r="S189" i="4"/>
  <c r="U189" i="4"/>
  <c r="W189" i="4" s="1"/>
  <c r="S186" i="4"/>
  <c r="Y182" i="4"/>
  <c r="AA182" i="4" s="1"/>
  <c r="Y186" i="4"/>
  <c r="AA186" i="4" s="1"/>
  <c r="U150" i="4"/>
  <c r="W150" i="4" s="1"/>
  <c r="U158" i="4"/>
  <c r="W158" i="4" s="1"/>
  <c r="U166" i="4"/>
  <c r="W166" i="4" s="1"/>
  <c r="U174" i="4"/>
  <c r="W174" i="4" s="1"/>
  <c r="S179" i="4"/>
  <c r="S187" i="4"/>
  <c r="U190" i="4"/>
  <c r="W190" i="4" s="1"/>
  <c r="U198" i="4"/>
  <c r="W198" i="4" s="1"/>
  <c r="U153" i="4"/>
  <c r="U161" i="4"/>
  <c r="U169" i="4"/>
  <c r="U177" i="4"/>
  <c r="S182" i="4"/>
  <c r="U185" i="4"/>
  <c r="U193" i="4"/>
  <c r="E148" i="1"/>
  <c r="F148" i="1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I10" i="3"/>
  <c r="H10" i="3"/>
  <c r="G10" i="3"/>
  <c r="F10" i="3"/>
  <c r="H27" i="3"/>
  <c r="F27" i="3"/>
  <c r="G27" i="3"/>
  <c r="I27" i="3"/>
  <c r="G29" i="3"/>
  <c r="I29" i="3"/>
  <c r="F29" i="3"/>
  <c r="H29" i="3"/>
  <c r="H24" i="3"/>
  <c r="I24" i="3"/>
  <c r="G24" i="3"/>
  <c r="F24" i="3"/>
  <c r="G47" i="3"/>
  <c r="I47" i="3"/>
  <c r="F47" i="3"/>
  <c r="H47" i="3"/>
  <c r="G8" i="3"/>
  <c r="F8" i="3"/>
  <c r="H8" i="3"/>
  <c r="I8" i="3"/>
  <c r="I19" i="3"/>
  <c r="F19" i="3"/>
  <c r="G19" i="3"/>
  <c r="H19" i="3"/>
  <c r="G35" i="3"/>
  <c r="F35" i="3"/>
  <c r="H35" i="3"/>
  <c r="I35" i="3"/>
  <c r="H12" i="3"/>
  <c r="G12" i="3"/>
  <c r="I12" i="3"/>
  <c r="F12" i="3"/>
  <c r="G23" i="3"/>
  <c r="I23" i="3"/>
  <c r="F23" i="3"/>
  <c r="H23" i="3"/>
  <c r="H36" i="3"/>
  <c r="F36" i="3"/>
  <c r="G36" i="3"/>
  <c r="I36" i="3"/>
  <c r="I43" i="3"/>
  <c r="F43" i="3"/>
  <c r="H43" i="3"/>
  <c r="G43" i="3"/>
  <c r="I31" i="3"/>
  <c r="G31" i="3"/>
  <c r="H31" i="3"/>
  <c r="F31" i="3"/>
  <c r="I34" i="3"/>
  <c r="H34" i="3"/>
  <c r="F34" i="3"/>
  <c r="G34" i="3"/>
  <c r="H30" i="3"/>
  <c r="G30" i="3"/>
  <c r="F30" i="3"/>
  <c r="I30" i="3"/>
  <c r="G11" i="3"/>
  <c r="F11" i="3"/>
  <c r="I11" i="3"/>
  <c r="H11" i="3"/>
  <c r="E157" i="1" s="1"/>
  <c r="I22" i="3"/>
  <c r="G22" i="3"/>
  <c r="H22" i="3"/>
  <c r="F22" i="3"/>
  <c r="I37" i="3"/>
  <c r="G37" i="3"/>
  <c r="F37" i="3"/>
  <c r="H37" i="3"/>
  <c r="G14" i="3"/>
  <c r="I14" i="3"/>
  <c r="H14" i="3"/>
  <c r="F14" i="3"/>
  <c r="G26" i="3"/>
  <c r="I26" i="3"/>
  <c r="H26" i="3"/>
  <c r="F26" i="3"/>
  <c r="G38" i="3"/>
  <c r="I38" i="3"/>
  <c r="F38" i="3"/>
  <c r="H38" i="3"/>
  <c r="I46" i="3"/>
  <c r="G46" i="3"/>
  <c r="H46" i="3"/>
  <c r="F46" i="3"/>
  <c r="I7" i="3"/>
  <c r="H7" i="3"/>
  <c r="F7" i="3"/>
  <c r="G7" i="3"/>
  <c r="G41" i="3"/>
  <c r="I41" i="3"/>
  <c r="H41" i="3"/>
  <c r="F41" i="3"/>
  <c r="I13" i="3"/>
  <c r="G13" i="3"/>
  <c r="H13" i="3"/>
  <c r="F13" i="3"/>
  <c r="I25" i="3"/>
  <c r="H25" i="3"/>
  <c r="F25" i="3"/>
  <c r="G25" i="3"/>
  <c r="H42" i="3"/>
  <c r="I42" i="3"/>
  <c r="F42" i="3"/>
  <c r="G42" i="3"/>
  <c r="H6" i="3"/>
  <c r="F6" i="3"/>
  <c r="G6" i="3"/>
  <c r="I6" i="3"/>
  <c r="G17" i="3"/>
  <c r="H17" i="3"/>
  <c r="I17" i="3"/>
  <c r="F17" i="3"/>
  <c r="I28" i="3"/>
  <c r="G28" i="3"/>
  <c r="F28" i="3"/>
  <c r="H28" i="3"/>
  <c r="H39" i="3"/>
  <c r="G39" i="3"/>
  <c r="F39" i="3"/>
  <c r="I39" i="3"/>
  <c r="H18" i="3"/>
  <c r="F18" i="3"/>
  <c r="I18" i="3"/>
  <c r="G18" i="3"/>
  <c r="H21" i="3"/>
  <c r="I21" i="3"/>
  <c r="G21" i="3"/>
  <c r="F21" i="3"/>
  <c r="H15" i="3"/>
  <c r="E16" i="1" s="1"/>
  <c r="F15" i="3"/>
  <c r="G15" i="3"/>
  <c r="I15" i="3"/>
  <c r="G44" i="3"/>
  <c r="H44" i="3"/>
  <c r="F44" i="3"/>
  <c r="I44" i="3"/>
  <c r="I16" i="3"/>
  <c r="H16" i="3"/>
  <c r="F16" i="3"/>
  <c r="G16" i="3"/>
  <c r="G32" i="3"/>
  <c r="I32" i="3"/>
  <c r="F32" i="3"/>
  <c r="H32" i="3"/>
  <c r="H45" i="3"/>
  <c r="F45" i="3"/>
  <c r="I45" i="3"/>
  <c r="G45" i="3"/>
  <c r="H9" i="3"/>
  <c r="I9" i="3"/>
  <c r="F9" i="3"/>
  <c r="G9" i="3"/>
  <c r="G20" i="3"/>
  <c r="I20" i="3"/>
  <c r="F20" i="3"/>
  <c r="H20" i="3"/>
  <c r="H33" i="3"/>
  <c r="G33" i="3"/>
  <c r="F33" i="3"/>
  <c r="I33" i="3"/>
  <c r="I40" i="3"/>
  <c r="G40" i="3"/>
  <c r="H40" i="3"/>
  <c r="F40" i="3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AI116" i="4" l="1"/>
  <c r="AC116" i="4"/>
  <c r="AI115" i="4"/>
  <c r="AC115" i="4"/>
  <c r="AI114" i="4"/>
  <c r="AC114" i="4"/>
  <c r="AI113" i="4"/>
  <c r="AC113" i="4"/>
  <c r="AI112" i="4"/>
  <c r="AC112" i="4"/>
  <c r="AI111" i="4"/>
  <c r="AC111" i="4"/>
  <c r="AI110" i="4"/>
  <c r="AC110" i="4"/>
  <c r="AI109" i="4"/>
  <c r="AC109" i="4"/>
  <c r="AI108" i="4"/>
  <c r="AC108" i="4"/>
  <c r="AI107" i="4"/>
  <c r="AC107" i="4"/>
  <c r="AI106" i="4"/>
  <c r="AC106" i="4"/>
  <c r="AI105" i="4"/>
  <c r="AC105" i="4"/>
  <c r="AI104" i="4"/>
  <c r="AC104" i="4"/>
  <c r="AI103" i="4"/>
  <c r="AC103" i="4"/>
  <c r="AI102" i="4"/>
  <c r="AC102" i="4"/>
  <c r="AI101" i="4"/>
  <c r="AC101" i="4"/>
  <c r="AI100" i="4"/>
  <c r="AC100" i="4"/>
  <c r="AI99" i="4"/>
  <c r="AC99" i="4"/>
  <c r="AI98" i="4"/>
  <c r="AC98" i="4"/>
  <c r="AI97" i="4"/>
  <c r="AC97" i="4"/>
  <c r="AI96" i="4"/>
  <c r="AC96" i="4"/>
  <c r="AI95" i="4"/>
  <c r="AC95" i="4"/>
  <c r="AI94" i="4"/>
  <c r="AC94" i="4"/>
  <c r="AI93" i="4"/>
  <c r="AC93" i="4"/>
  <c r="AI92" i="4"/>
  <c r="AC92" i="4"/>
  <c r="AI91" i="4"/>
  <c r="AC91" i="4"/>
  <c r="AI90" i="4"/>
  <c r="AC90" i="4"/>
  <c r="AI89" i="4"/>
  <c r="AC89" i="4"/>
  <c r="AI88" i="4"/>
  <c r="AC88" i="4"/>
  <c r="AI87" i="4"/>
  <c r="AC87" i="4"/>
  <c r="AI86" i="4"/>
  <c r="AC86" i="4"/>
  <c r="AI85" i="4"/>
  <c r="AC85" i="4"/>
  <c r="AI84" i="4"/>
  <c r="AC84" i="4"/>
  <c r="AI83" i="4"/>
  <c r="AC83" i="4"/>
  <c r="AI82" i="4"/>
  <c r="AC82" i="4"/>
  <c r="AI81" i="4"/>
  <c r="AC81" i="4"/>
  <c r="AI80" i="4"/>
  <c r="AC80" i="4"/>
  <c r="AI79" i="4"/>
  <c r="AC79" i="4"/>
  <c r="AI78" i="4"/>
  <c r="AC78" i="4"/>
  <c r="AI77" i="4"/>
  <c r="AC77" i="4"/>
  <c r="AI76" i="4"/>
  <c r="AC76" i="4"/>
  <c r="AI75" i="4"/>
  <c r="AC75" i="4"/>
  <c r="AI74" i="4"/>
  <c r="AC74" i="4"/>
  <c r="AI73" i="4"/>
  <c r="AC73" i="4"/>
  <c r="AI72" i="4"/>
  <c r="AC72" i="4"/>
  <c r="AI71" i="4"/>
  <c r="AC71" i="4"/>
  <c r="AI70" i="4"/>
  <c r="AC70" i="4"/>
  <c r="AI69" i="4"/>
  <c r="AC69" i="4"/>
  <c r="AI68" i="4"/>
  <c r="AC68" i="4"/>
  <c r="AI67" i="4"/>
  <c r="AC67" i="4"/>
  <c r="AI66" i="4"/>
  <c r="AC66" i="4"/>
  <c r="AI65" i="4"/>
  <c r="AC65" i="4"/>
  <c r="AI64" i="4"/>
  <c r="AC64" i="4"/>
  <c r="AI63" i="4"/>
  <c r="AC63" i="4"/>
  <c r="AI62" i="4"/>
  <c r="AC62" i="4"/>
  <c r="AI61" i="4"/>
  <c r="AC61" i="4"/>
  <c r="AI60" i="4"/>
  <c r="AC60" i="4"/>
  <c r="AI59" i="4"/>
  <c r="AC59" i="4"/>
  <c r="AI58" i="4"/>
  <c r="AC58" i="4"/>
  <c r="AI57" i="4"/>
  <c r="AC57" i="4"/>
  <c r="AI56" i="4"/>
  <c r="AC56" i="4"/>
  <c r="AI55" i="4"/>
  <c r="AC55" i="4"/>
  <c r="AI54" i="4"/>
  <c r="AC54" i="4"/>
  <c r="AI53" i="4"/>
  <c r="AC53" i="4"/>
  <c r="AI52" i="4"/>
  <c r="AC52" i="4"/>
  <c r="AI51" i="4"/>
  <c r="AC51" i="4"/>
  <c r="AI50" i="4"/>
  <c r="AC50" i="4"/>
  <c r="AI49" i="4"/>
  <c r="AC49" i="4"/>
  <c r="AI48" i="4"/>
  <c r="AC48" i="4"/>
  <c r="AI47" i="4"/>
  <c r="AC47" i="4"/>
  <c r="AI46" i="4"/>
  <c r="AC46" i="4"/>
  <c r="AI45" i="4"/>
  <c r="AC45" i="4"/>
  <c r="AI44" i="4"/>
  <c r="AC44" i="4"/>
  <c r="AI43" i="4"/>
  <c r="AC43" i="4"/>
  <c r="AI42" i="4"/>
  <c r="AC42" i="4"/>
  <c r="AI41" i="4"/>
  <c r="AC41" i="4"/>
  <c r="AI40" i="4"/>
  <c r="AC40" i="4"/>
  <c r="AI39" i="4"/>
  <c r="AC39" i="4"/>
  <c r="AI38" i="4"/>
  <c r="AC38" i="4"/>
  <c r="AI37" i="4"/>
  <c r="AC37" i="4"/>
  <c r="AI36" i="4"/>
  <c r="AC36" i="4"/>
  <c r="AI35" i="4"/>
  <c r="AC35" i="4"/>
  <c r="AI34" i="4"/>
  <c r="AC34" i="4"/>
  <c r="AI33" i="4"/>
  <c r="AC33" i="4"/>
  <c r="AI32" i="4"/>
  <c r="AC32" i="4"/>
  <c r="AI31" i="4"/>
  <c r="AC31" i="4"/>
  <c r="AI30" i="4"/>
  <c r="AC30" i="4"/>
  <c r="AI29" i="4"/>
  <c r="AC29" i="4"/>
  <c r="AI28" i="4"/>
  <c r="AC28" i="4"/>
  <c r="AI27" i="4"/>
  <c r="AC27" i="4"/>
  <c r="AI26" i="4"/>
  <c r="AC26" i="4"/>
  <c r="AI25" i="4"/>
  <c r="AC25" i="4"/>
  <c r="AI24" i="4"/>
  <c r="AC24" i="4"/>
  <c r="AI23" i="4"/>
  <c r="AC23" i="4"/>
  <c r="AI22" i="4"/>
  <c r="AC22" i="4"/>
  <c r="AI21" i="4"/>
  <c r="AC21" i="4"/>
  <c r="F16" i="1"/>
  <c r="Y191" i="4"/>
  <c r="AA191" i="4" s="1"/>
  <c r="Y152" i="4"/>
  <c r="AA152" i="4" s="1"/>
  <c r="Y175" i="4"/>
  <c r="AA175" i="4" s="1"/>
  <c r="Y200" i="4"/>
  <c r="AA200" i="4" s="1"/>
  <c r="Y178" i="4"/>
  <c r="AA178" i="4" s="1"/>
  <c r="Y159" i="4"/>
  <c r="AA159" i="4" s="1"/>
  <c r="Y194" i="4"/>
  <c r="AA194" i="4" s="1"/>
  <c r="Y170" i="4"/>
  <c r="AA170" i="4" s="1"/>
  <c r="Y154" i="4"/>
  <c r="AA154" i="4" s="1"/>
  <c r="Y199" i="4"/>
  <c r="AA199" i="4" s="1"/>
  <c r="Y164" i="4"/>
  <c r="AA164" i="4" s="1"/>
  <c r="Y168" i="4"/>
  <c r="AA168" i="4" s="1"/>
  <c r="Y167" i="4"/>
  <c r="AA167" i="4" s="1"/>
  <c r="Y192" i="4"/>
  <c r="AA192" i="4" s="1"/>
  <c r="Y183" i="4"/>
  <c r="AA183" i="4" s="1"/>
  <c r="Y188" i="4"/>
  <c r="AA188" i="4" s="1"/>
  <c r="Y151" i="4"/>
  <c r="AA151" i="4" s="1"/>
  <c r="W176" i="4"/>
  <c r="Y156" i="4"/>
  <c r="AA156" i="4" s="1"/>
  <c r="Y162" i="4"/>
  <c r="AA162" i="4" s="1"/>
  <c r="Y184" i="4"/>
  <c r="AA184" i="4" s="1"/>
  <c r="Y190" i="4"/>
  <c r="AA190" i="4" s="1"/>
  <c r="Y147" i="4"/>
  <c r="AA147" i="4" s="1"/>
  <c r="W147" i="4"/>
  <c r="Y160" i="4"/>
  <c r="AA160" i="4" s="1"/>
  <c r="Y196" i="4"/>
  <c r="AA196" i="4" s="1"/>
  <c r="Y180" i="4"/>
  <c r="AA180" i="4" s="1"/>
  <c r="Y189" i="4"/>
  <c r="AA189" i="4" s="1"/>
  <c r="Y195" i="4"/>
  <c r="AA195" i="4" s="1"/>
  <c r="W195" i="4"/>
  <c r="Y171" i="4"/>
  <c r="AA171" i="4" s="1"/>
  <c r="W171" i="4"/>
  <c r="Y198" i="4"/>
  <c r="AA198" i="4" s="1"/>
  <c r="Y155" i="4"/>
  <c r="AA155" i="4" s="1"/>
  <c r="W155" i="4"/>
  <c r="Y150" i="4"/>
  <c r="AA150" i="4" s="1"/>
  <c r="Y163" i="4"/>
  <c r="AA163" i="4" s="1"/>
  <c r="W163" i="4"/>
  <c r="Y148" i="4"/>
  <c r="AA148" i="4" s="1"/>
  <c r="W193" i="4"/>
  <c r="Y193" i="4"/>
  <c r="AA193" i="4" s="1"/>
  <c r="Y166" i="4"/>
  <c r="AA166" i="4" s="1"/>
  <c r="W181" i="4"/>
  <c r="Y181" i="4"/>
  <c r="AA181" i="4" s="1"/>
  <c r="W185" i="4"/>
  <c r="Y185" i="4"/>
  <c r="AA185" i="4" s="1"/>
  <c r="Y158" i="4"/>
  <c r="AA158" i="4" s="1"/>
  <c r="W165" i="4"/>
  <c r="Y165" i="4"/>
  <c r="AA165" i="4" s="1"/>
  <c r="Y173" i="4"/>
  <c r="AA173" i="4" s="1"/>
  <c r="W177" i="4"/>
  <c r="Y177" i="4"/>
  <c r="AA177" i="4" s="1"/>
  <c r="W169" i="4"/>
  <c r="Y169" i="4"/>
  <c r="AA169" i="4" s="1"/>
  <c r="W149" i="4"/>
  <c r="Y149" i="4"/>
  <c r="AA149" i="4" s="1"/>
  <c r="W161" i="4"/>
  <c r="Y161" i="4"/>
  <c r="AA161" i="4" s="1"/>
  <c r="Y172" i="4"/>
  <c r="AA172" i="4" s="1"/>
  <c r="Y157" i="4"/>
  <c r="AA157" i="4" s="1"/>
  <c r="W153" i="4"/>
  <c r="Y153" i="4"/>
  <c r="AA153" i="4" s="1"/>
  <c r="Y174" i="4"/>
  <c r="AA174" i="4" s="1"/>
  <c r="W197" i="4"/>
  <c r="Y197" i="4"/>
  <c r="AA197" i="4" s="1"/>
  <c r="E156" i="1"/>
  <c r="F155" i="1"/>
  <c r="F13" i="1"/>
  <c r="E141" i="1"/>
  <c r="E143" i="1"/>
  <c r="E153" i="1"/>
  <c r="E139" i="1"/>
  <c r="E142" i="1"/>
  <c r="E147" i="1"/>
  <c r="E138" i="1"/>
  <c r="E152" i="1"/>
  <c r="E11" i="1"/>
  <c r="E149" i="1"/>
  <c r="E10" i="1"/>
  <c r="F144" i="1"/>
  <c r="F138" i="1"/>
  <c r="F151" i="1"/>
  <c r="E140" i="1"/>
  <c r="F146" i="1"/>
  <c r="F11" i="1"/>
  <c r="F149" i="1"/>
  <c r="E13" i="1"/>
  <c r="F141" i="1"/>
  <c r="F143" i="1"/>
  <c r="F153" i="1"/>
  <c r="F17" i="1"/>
  <c r="F145" i="1"/>
  <c r="F139" i="1"/>
  <c r="F142" i="1"/>
  <c r="F147" i="1"/>
  <c r="E144" i="1"/>
  <c r="E9" i="1"/>
  <c r="E151" i="1"/>
  <c r="F140" i="1"/>
  <c r="E146" i="1"/>
  <c r="F10" i="1"/>
  <c r="E17" i="1"/>
  <c r="E145" i="1"/>
  <c r="F152" i="1"/>
  <c r="F12" i="1"/>
  <c r="F150" i="1"/>
  <c r="F156" i="1"/>
  <c r="F14" i="1"/>
  <c r="F15" i="1"/>
  <c r="E12" i="1"/>
  <c r="E150" i="1"/>
  <c r="E14" i="1"/>
  <c r="E15" i="1"/>
  <c r="F154" i="1"/>
  <c r="E155" i="1"/>
  <c r="E15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<sst xmlns="http://schemas.openxmlformats.org/spreadsheetml/2006/main" count="797" uniqueCount="478">
  <si>
    <t>LISTADOS TFM / TFG</t>
  </si>
  <si>
    <t>V.02</t>
  </si>
  <si>
    <t>Cerrado</t>
  </si>
  <si>
    <t>TÍTULO: Máster U. en Bioinformática</t>
  </si>
  <si>
    <t>Abierto con comentario</t>
  </si>
  <si>
    <t>EDICIÓN: Octubre 25</t>
  </si>
  <si>
    <t>CURSO: 25-26</t>
  </si>
  <si>
    <t>Cerrado con comentario</t>
  </si>
  <si>
    <t>SECRETARÍA</t>
  </si>
  <si>
    <t>NOMBRE COMPLETO</t>
  </si>
  <si>
    <t>DNI</t>
  </si>
  <si>
    <t>E-MAIL DEL ALUMNO</t>
  </si>
  <si>
    <t>DIRECTOR/A TFT
APELLIDO APELLIDO, NOMBRE</t>
  </si>
  <si>
    <t xml:space="preserve">DIRECTOR TFT 
APELLIDOS </t>
  </si>
  <si>
    <t>DIRECTOR TFT
 NOMBRE</t>
  </si>
  <si>
    <t>CORREO DIRECTOR/A</t>
  </si>
  <si>
    <t>TEMA TFT</t>
  </si>
  <si>
    <t>TÍTULO TFM / TFG</t>
  </si>
  <si>
    <t>Presidente/a</t>
  </si>
  <si>
    <t>Secretario/a</t>
  </si>
  <si>
    <t>Vocal</t>
  </si>
  <si>
    <t>FECHA DE DEFENSA</t>
  </si>
  <si>
    <t>HORA</t>
  </si>
  <si>
    <t>CALIFICACION FINAL</t>
  </si>
  <si>
    <t>ORIENTACIÓN</t>
  </si>
  <si>
    <t>PERIODO LECTURA</t>
  </si>
  <si>
    <t>GRUPO</t>
  </si>
  <si>
    <t>TUTORIZADO SÍ/ NO</t>
  </si>
  <si>
    <t>Nº CREDITOS</t>
  </si>
  <si>
    <t xml:space="preserve">COMENTARIOS </t>
  </si>
  <si>
    <t>ESTADO ACTA</t>
  </si>
  <si>
    <t>COMENTARIO ACTA</t>
  </si>
  <si>
    <t>GRUPAL</t>
  </si>
  <si>
    <t>Nº GRUPO</t>
  </si>
  <si>
    <t>Chaparro Santos, Paula Alejandra</t>
  </si>
  <si>
    <t>AU284013</t>
  </si>
  <si>
    <t>paulachaparro65@gmail.com</t>
  </si>
  <si>
    <t>Vallalta Rueda, Juan Francisco</t>
  </si>
  <si>
    <t>juanfrancisco.vallalta@professor.universidadviu.com</t>
  </si>
  <si>
    <t>Programación Python</t>
  </si>
  <si>
    <t>Z</t>
  </si>
  <si>
    <t>Díaz Alberola, Irene</t>
  </si>
  <si>
    <t>53740292X</t>
  </si>
  <si>
    <t>idiazalberola@gmail.com</t>
  </si>
  <si>
    <t>Gutiérrez Morocho, Álvaro</t>
  </si>
  <si>
    <t>12425951V</t>
  </si>
  <si>
    <t>omorochalvaro@gmail.com</t>
  </si>
  <si>
    <t>Torres Moral, Teresa</t>
  </si>
  <si>
    <t>ttorresmo@uoc.edu</t>
  </si>
  <si>
    <t>Metagenómica</t>
  </si>
  <si>
    <t>Lozano Zacarías, Ulises José</t>
  </si>
  <si>
    <t>48763198R</t>
  </si>
  <si>
    <t>uliseslozano7@gmail.com</t>
  </si>
  <si>
    <t>Lairón Peris, Maria</t>
  </si>
  <si>
    <t>maria.lairon@professor.universidadviu.com</t>
  </si>
  <si>
    <t>Metataxonómica</t>
  </si>
  <si>
    <t>Machancoses Hernández, Francisco Miguel</t>
  </si>
  <si>
    <t>03937142W</t>
  </si>
  <si>
    <t>fmachancosesh@gmail.com</t>
  </si>
  <si>
    <t>Díaz Vidal, Tania</t>
  </si>
  <si>
    <t>tdiazv@professor.universidadviu.com</t>
  </si>
  <si>
    <t>Proteómica Estructural</t>
  </si>
  <si>
    <t>Miranda González, Alejandro</t>
  </si>
  <si>
    <t>03951203X</t>
  </si>
  <si>
    <t>ale.miranda3733@gmail.com</t>
  </si>
  <si>
    <t>Fraga Seijas, Carlota</t>
  </si>
  <si>
    <t>cfragas@professional.universidadviu.com</t>
  </si>
  <si>
    <t>Transcriptómica</t>
  </si>
  <si>
    <t>Santos Santana, Eliana Yurany</t>
  </si>
  <si>
    <t>elianasantoss23@gmail.com</t>
  </si>
  <si>
    <t>Secuenciación genómica</t>
  </si>
  <si>
    <t>Sende Pombo, Martín</t>
  </si>
  <si>
    <t>45959869G</t>
  </si>
  <si>
    <t>msendepombo@student.universidadviu.com</t>
  </si>
  <si>
    <t>Sendra Ortola, Miquel</t>
  </si>
  <si>
    <t>miquel.sendra@professor.universidadviu.com</t>
  </si>
  <si>
    <t>Torres Marcos, Inés</t>
  </si>
  <si>
    <t>77043656G</t>
  </si>
  <si>
    <t>itorresm01@gmail.com</t>
  </si>
  <si>
    <t>Del Saz Navarro, Dulcenombre de María</t>
  </si>
  <si>
    <t>ddelsazn@professor.universidadviu.com</t>
  </si>
  <si>
    <t>Agudin Monte, Laura</t>
  </si>
  <si>
    <t>71738612W</t>
  </si>
  <si>
    <t>lagudinm@student.universidadviu.com</t>
  </si>
  <si>
    <t>Martínez Montañés, Fernando</t>
  </si>
  <si>
    <t>Ahmed Ahmed, Anisa</t>
  </si>
  <si>
    <t>45313101L</t>
  </si>
  <si>
    <t>aahmeda@student.universidadviu.com</t>
  </si>
  <si>
    <t>Hernández Hernández, Laura</t>
  </si>
  <si>
    <t>Alcala Zamora Polo, Jose</t>
  </si>
  <si>
    <t>32906862A</t>
  </si>
  <si>
    <t>jalcalazamorap@student.universidadviu.com</t>
  </si>
  <si>
    <t>Tobar Tosse, Henry Fabian</t>
  </si>
  <si>
    <t>Alemán Cabrera, Isabel María</t>
  </si>
  <si>
    <t>45343421W</t>
  </si>
  <si>
    <t>ialemanc@student.universidadviu.com</t>
  </si>
  <si>
    <t>Castiñeira Reis, Marta</t>
  </si>
  <si>
    <t>Almazán Díaz, Laura</t>
  </si>
  <si>
    <t>53664285H</t>
  </si>
  <si>
    <t>lalmazand@student.universidadviu.com</t>
  </si>
  <si>
    <t>Bigay Mercedes, Bary Georderly</t>
  </si>
  <si>
    <t>Alvarez Jiménez, Johana Sthefany</t>
  </si>
  <si>
    <t>73431974N</t>
  </si>
  <si>
    <t>jalvarezjimenez@student.universidadviu.com</t>
  </si>
  <si>
    <t>Marín García, Pablo</t>
  </si>
  <si>
    <t>Andino Gualpa, Liseth Verónica</t>
  </si>
  <si>
    <t>A8405298</t>
  </si>
  <si>
    <t>landinog@student.universidadviu.com</t>
  </si>
  <si>
    <t>Rubio Mangas, David</t>
  </si>
  <si>
    <t>Arroyo Carmona, Aurora</t>
  </si>
  <si>
    <t>24496220R</t>
  </si>
  <si>
    <t>aarroyocarmona@student.universidadviu.com</t>
  </si>
  <si>
    <t>Vázquez Prieto, Severo</t>
  </si>
  <si>
    <t>Bahraoui Badouch, Chaimae</t>
  </si>
  <si>
    <t>78770027H</t>
  </si>
  <si>
    <t>cbahraouib@student.universidadviu.com</t>
  </si>
  <si>
    <t>Benítez López, Alicia</t>
  </si>
  <si>
    <t>32904275S</t>
  </si>
  <si>
    <t>abenitezl@student.universidadviu.com</t>
  </si>
  <si>
    <t>Berbel Menacho, Julia</t>
  </si>
  <si>
    <t>17484262F</t>
  </si>
  <si>
    <t>jberbelm@student.universidadviu.com</t>
  </si>
  <si>
    <t>García Atutxa, Igor</t>
  </si>
  <si>
    <t>Blanco Martínez, Enol</t>
  </si>
  <si>
    <t>53678224L</t>
  </si>
  <si>
    <t>eblancomartinez@student.universidadviu.com</t>
  </si>
  <si>
    <t>Guijarro Blanco, José María</t>
  </si>
  <si>
    <t>Brondegaard García, David</t>
  </si>
  <si>
    <t>Burns, Millicent Grace</t>
  </si>
  <si>
    <t>Y0069791T</t>
  </si>
  <si>
    <t>mburns@student.universidadviu.com</t>
  </si>
  <si>
    <t>Bustamante De La Escalera, Pedro</t>
  </si>
  <si>
    <t>72207420R</t>
  </si>
  <si>
    <t>pbustamanted@student.universidadviu.com</t>
  </si>
  <si>
    <t>Calero Cáceres, William Ricardo</t>
  </si>
  <si>
    <t>wcaleroc@student.universidadviu.com</t>
  </si>
  <si>
    <t>Valiente Parra, Nicolás</t>
  </si>
  <si>
    <t>Calomarde Garcia, Juan</t>
  </si>
  <si>
    <t>49433155Z</t>
  </si>
  <si>
    <t>jcalomardeg@student.universidadviu.com</t>
  </si>
  <si>
    <t>Morante Palacios, Octavio</t>
  </si>
  <si>
    <t>Canello, Alejo</t>
  </si>
  <si>
    <t>acanello@student.universidadviu.com</t>
  </si>
  <si>
    <t>Cardona Ferrer, Ivan</t>
  </si>
  <si>
    <t>20236883B</t>
  </si>
  <si>
    <t>icardonaferrer@student.universidadviu.com</t>
  </si>
  <si>
    <t>Moldovan Moldovan, Roxana Andreea</t>
  </si>
  <si>
    <t>Carrillo Alarcon, Pedro</t>
  </si>
  <si>
    <t>26827256X</t>
  </si>
  <si>
    <t>pcarrilloalarcon@student.universidadviu.com</t>
  </si>
  <si>
    <t>Carrillo Garcia, Laia</t>
  </si>
  <si>
    <t>48197417C</t>
  </si>
  <si>
    <t>lcarrillogarcia@student.universidadviu.com</t>
  </si>
  <si>
    <t>Bonzi, Carolina</t>
  </si>
  <si>
    <t>Carrion Padilla, Javier</t>
  </si>
  <si>
    <t>77864244K</t>
  </si>
  <si>
    <t>jcarrionpadilla@student.universidadviu.com</t>
  </si>
  <si>
    <t>Carvalho Gil, Juan Alfredo</t>
  </si>
  <si>
    <t>07177643X</t>
  </si>
  <si>
    <t>jcarvalhog@student.universidadviu.com</t>
  </si>
  <si>
    <t>Casero Muñoz, Luis</t>
  </si>
  <si>
    <t>77860002B</t>
  </si>
  <si>
    <t>lcaseromunozm@student.universidadviu.com</t>
  </si>
  <si>
    <t>Cañizares Villalba, Sebastian Alejandro</t>
  </si>
  <si>
    <t>scanizaresvillalba@student.universidadviu.com</t>
  </si>
  <si>
    <t>Neef, Alexander</t>
  </si>
  <si>
    <t>Cedeño Valencia, Melannie Ariana</t>
  </si>
  <si>
    <t>mcedenov@student.universidadviu.com</t>
  </si>
  <si>
    <t>Cerqueira Atares, Cristina</t>
  </si>
  <si>
    <t>77547046Q</t>
  </si>
  <si>
    <t>ccerqueiraatares@student.universidadviu.com</t>
  </si>
  <si>
    <t>Nieto Sachica, Juan</t>
  </si>
  <si>
    <t>Checa Verdugo, Pablo</t>
  </si>
  <si>
    <t>49148083G</t>
  </si>
  <si>
    <t>pchecaverdugo@student.universidadviu.com</t>
  </si>
  <si>
    <t>Chias Cabeza, Miguel</t>
  </si>
  <si>
    <t>30253845J</t>
  </si>
  <si>
    <t>mchiasc@student.universidadviu.com</t>
  </si>
  <si>
    <t>Civera Arroyo, Sergio</t>
  </si>
  <si>
    <t>32730710P</t>
  </si>
  <si>
    <t>sciveraarroyo@student.universidadviu.com</t>
  </si>
  <si>
    <t>Cordoba, Josefina Maria</t>
  </si>
  <si>
    <t>AAH621324</t>
  </si>
  <si>
    <t>jcordoba@student.universidadviu.com</t>
  </si>
  <si>
    <t>Delgado Valero, Marina</t>
  </si>
  <si>
    <t>45319810N</t>
  </si>
  <si>
    <t>mdelgadov1@student.universidadviu.com</t>
  </si>
  <si>
    <t>Dominguez Vicente, Adolfo</t>
  </si>
  <si>
    <t>70912104E</t>
  </si>
  <si>
    <t>adominguezvicente@student.universidadviu.com</t>
  </si>
  <si>
    <t>Enke, Eyleen Waldtraut Ricarda</t>
  </si>
  <si>
    <t>C1W5K3926</t>
  </si>
  <si>
    <t>eenke@student.universidadviu.com</t>
  </si>
  <si>
    <t>Estrella González, María José</t>
  </si>
  <si>
    <t>76632336Q</t>
  </si>
  <si>
    <t>viumjestrellagonzalez@gmail.com</t>
  </si>
  <si>
    <t>Gutiérrez Macías, Laura</t>
  </si>
  <si>
    <t>Fernandez Lavin, Adrian</t>
  </si>
  <si>
    <t>72203919L</t>
  </si>
  <si>
    <t>afernandezlavin@student.universidadviu.com</t>
  </si>
  <si>
    <t>Fernandez Martinez, Maria</t>
  </si>
  <si>
    <t>77435284B</t>
  </si>
  <si>
    <t>mfernandezm5@student.universidadviu.com</t>
  </si>
  <si>
    <t>Fernandez-Fígares Jimenez, Mariana del Carmen</t>
  </si>
  <si>
    <t>29500376R</t>
  </si>
  <si>
    <t>mfernandezfigaresj@student.universidadviu.com</t>
  </si>
  <si>
    <t>Gago González, Judit</t>
  </si>
  <si>
    <t>26069933P</t>
  </si>
  <si>
    <t>jgagog@student.universidadviu.com</t>
  </si>
  <si>
    <t>Galan Pulido, Juan Rafael</t>
  </si>
  <si>
    <t>26595534J</t>
  </si>
  <si>
    <t>jgalanp1@student.universidadviu.com</t>
  </si>
  <si>
    <t>Gamboa Hernandez, Claudia Marcela</t>
  </si>
  <si>
    <t>cgamboah@student.universidadviu.com</t>
  </si>
  <si>
    <t>García Béjar Bermejo, Beatriz</t>
  </si>
  <si>
    <t>05712294Z</t>
  </si>
  <si>
    <t>beatriz.garciabejar@student.universidadviu.com</t>
  </si>
  <si>
    <t>García Cardona, Cristian</t>
  </si>
  <si>
    <t>77128628Z</t>
  </si>
  <si>
    <t>cgarciac2@student.universidadviu.com</t>
  </si>
  <si>
    <t>Giovannini, Lorenzo</t>
  </si>
  <si>
    <t>CA19646HL</t>
  </si>
  <si>
    <t>lgiovannini@student.universidadviu.com</t>
  </si>
  <si>
    <t>Gomez Collado, David</t>
  </si>
  <si>
    <t>07255681D</t>
  </si>
  <si>
    <t>dgomezcollado@student.universidadviu.com</t>
  </si>
  <si>
    <t>Gonzalez Fernandez, Virginia</t>
  </si>
  <si>
    <t>71935088N</t>
  </si>
  <si>
    <t>vgonzalezf1@student.universidadviu.com</t>
  </si>
  <si>
    <t>González De La Cruz, Gustavo</t>
  </si>
  <si>
    <t>N04531244</t>
  </si>
  <si>
    <t>ggonzalezdelacruz@student.universidadviu.com</t>
  </si>
  <si>
    <t>González Moreno, Rubén</t>
  </si>
  <si>
    <t>71965407V</t>
  </si>
  <si>
    <t>rgonzalezm2@student.universidadviu.co</t>
  </si>
  <si>
    <t>Sabater Olivas, Laura</t>
  </si>
  <si>
    <t>Gutiérrez Castañeda, Luz Dary</t>
  </si>
  <si>
    <t>lgutierrezc@student.universidadviu.com</t>
  </si>
  <si>
    <t>Hicham Polo, Mohammad</t>
  </si>
  <si>
    <t>21770550S</t>
  </si>
  <si>
    <t>mhichampolo@student.universidadviu.com</t>
  </si>
  <si>
    <t>Idiaquez Ortega, Teresa</t>
  </si>
  <si>
    <t>72538455C</t>
  </si>
  <si>
    <t>tidiaquezortega@student.universidadviu.com</t>
  </si>
  <si>
    <t>Iserte Puchol, Martín</t>
  </si>
  <si>
    <t>20957509R</t>
  </si>
  <si>
    <t>misertep@student.universidadviu.com</t>
  </si>
  <si>
    <t>Cartas Cejudo, Paz</t>
  </si>
  <si>
    <t>Issa Garcia, Jousef Angel</t>
  </si>
  <si>
    <t>47461932Y</t>
  </si>
  <si>
    <t>jissag@student.universidadviu.com</t>
  </si>
  <si>
    <t>Jalba Staver, Laurentiu</t>
  </si>
  <si>
    <t>09242613V</t>
  </si>
  <si>
    <t>ljalbas@student.universidadviu.com</t>
  </si>
  <si>
    <t>Juárez Rodenas, Luz</t>
  </si>
  <si>
    <t>23853012B</t>
  </si>
  <si>
    <t>ljuarezrodenas@student.universidadviu.com</t>
  </si>
  <si>
    <t>Labrador Miguel, Patricia</t>
  </si>
  <si>
    <t>05454778Y</t>
  </si>
  <si>
    <t>plabradormiguel@student.universidadviu.com</t>
  </si>
  <si>
    <t>Lalaleo Córdova, Liliana Paulina</t>
  </si>
  <si>
    <t>llalaleoc@student.universidadviu.com</t>
  </si>
  <si>
    <t>Lerma Juarez, Miguel Angel</t>
  </si>
  <si>
    <t>77139839R</t>
  </si>
  <si>
    <t>mlermaj@student.universidadviu.com</t>
  </si>
  <si>
    <t>López Zaplana, Álvaro</t>
  </si>
  <si>
    <t>Llinares Frende, Pablo</t>
  </si>
  <si>
    <t>77928447P</t>
  </si>
  <si>
    <t>Lorenze, Carla</t>
  </si>
  <si>
    <t>Z2412003K</t>
  </si>
  <si>
    <t>clorenze@student.universidadviu.com</t>
  </si>
  <si>
    <t>Lucero Cumbe, Joseline Paola</t>
  </si>
  <si>
    <t>jlucerocumbe@student.universidadviu.com</t>
  </si>
  <si>
    <t>López Marante, Sonia María</t>
  </si>
  <si>
    <t>44660547K</t>
  </si>
  <si>
    <t>slopezm6@student.universidadviu.com</t>
  </si>
  <si>
    <t>Madina Louisa Sarrah, Zelbouni</t>
  </si>
  <si>
    <t>Y8257724W</t>
  </si>
  <si>
    <t>mzelbouni@student.universidadviu.com</t>
  </si>
  <si>
    <t>Marques Pascual, Gibet</t>
  </si>
  <si>
    <t>41749341V</t>
  </si>
  <si>
    <t>gmarquespascual@student.universidadviu.com</t>
  </si>
  <si>
    <t>Marques Trujillo, Fabiola Isabel</t>
  </si>
  <si>
    <t>PA0028509</t>
  </si>
  <si>
    <t>fmarques@student.universidadviu.com</t>
  </si>
  <si>
    <t>Marrugo Padilla, Albeiro Manuel</t>
  </si>
  <si>
    <t>Martín Sabuco, Álvaro</t>
  </si>
  <si>
    <t>29217271A</t>
  </si>
  <si>
    <t>amartins1@student.universidadviu.com</t>
  </si>
  <si>
    <t>Mataix Martínez-Palafox, Bartolome</t>
  </si>
  <si>
    <t>15424033A</t>
  </si>
  <si>
    <t>Merino Díaz, Álvaro</t>
  </si>
  <si>
    <t>54222521K</t>
  </si>
  <si>
    <t>amerinodiaz@student.universidadviu.com</t>
  </si>
  <si>
    <t>Millán Guavita, Hernán Darío</t>
  </si>
  <si>
    <t>hmillang@student.universidadviu.com</t>
  </si>
  <si>
    <t>Molina Benjumea, Tomas</t>
  </si>
  <si>
    <t>tmolinab@student.universidadviu.com</t>
  </si>
  <si>
    <t>Moncada Martins, Carlos</t>
  </si>
  <si>
    <t>51706598E</t>
  </si>
  <si>
    <t>cmoncadamartins@student.universidadviu.com</t>
  </si>
  <si>
    <t>Mondragón Galindo, Valentina</t>
  </si>
  <si>
    <t>vmondragong@student.universidadviu.com</t>
  </si>
  <si>
    <t>Moreno Castellanos, Natalia Rocío</t>
  </si>
  <si>
    <t>natalia.moreno1@student.universidadviu.com</t>
  </si>
  <si>
    <t>Moreno Lanceta, Andoni</t>
  </si>
  <si>
    <t>44335768W</t>
  </si>
  <si>
    <t>amorenolanceta@student.universidadviu.com</t>
  </si>
  <si>
    <t>Muñoz Luque, Laura</t>
  </si>
  <si>
    <t>77175705X</t>
  </si>
  <si>
    <t>lmunozl1@student.universidadviu.com</t>
  </si>
  <si>
    <t>Zúñiga Trejos, Sheila</t>
  </si>
  <si>
    <t>Noy Pinzón, Stefany Andrea</t>
  </si>
  <si>
    <t>BE781529</t>
  </si>
  <si>
    <t>snoypinzon@student.universidadviu.com</t>
  </si>
  <si>
    <t>Ortiz Alameda, Laura</t>
  </si>
  <si>
    <t>48777030X</t>
  </si>
  <si>
    <t>lortiza@student.universidadviu.com</t>
  </si>
  <si>
    <t>Ovejero Romero, Pablo</t>
  </si>
  <si>
    <t>51703714J</t>
  </si>
  <si>
    <t>povejeror@student.universidadviu.com</t>
  </si>
  <si>
    <t>Palau Gallinat, Didac Nestor</t>
  </si>
  <si>
    <t>47981470C</t>
  </si>
  <si>
    <t>dpalaug@student.universidadviu.com</t>
  </si>
  <si>
    <t>Pelaez Sánchez, Jaime</t>
  </si>
  <si>
    <t>71995053Q</t>
  </si>
  <si>
    <t>jpelaezsanchez@student.universidadviu.com</t>
  </si>
  <si>
    <t>Perez Gonzalez, Sara</t>
  </si>
  <si>
    <t>71733956S</t>
  </si>
  <si>
    <t>sperezgonzalez@student.universidadviu.com</t>
  </si>
  <si>
    <t>Peña Pachacama, Jessica Paola</t>
  </si>
  <si>
    <t>jessica.pena@student.universidadviu.com</t>
  </si>
  <si>
    <t>Polo Oltra, Ángela</t>
  </si>
  <si>
    <t>48154592K</t>
  </si>
  <si>
    <t>apoloo@student.universidadviu.com</t>
  </si>
  <si>
    <t>Puga González, Sofía</t>
  </si>
  <si>
    <t>71750278F</t>
  </si>
  <si>
    <t>spugag@student.universidadviu.com</t>
  </si>
  <si>
    <t>Pérez Miranda, Sabina</t>
  </si>
  <si>
    <t>53522912A</t>
  </si>
  <si>
    <t>sperezmiranda@student.universidadviu.com</t>
  </si>
  <si>
    <t>Redecillas De La Cámara, Marina</t>
  </si>
  <si>
    <t>77381032Q</t>
  </si>
  <si>
    <t>mredecillasd@student.universidadviu.com</t>
  </si>
  <si>
    <t>Rey Varela, Diego</t>
  </si>
  <si>
    <t>79340211D</t>
  </si>
  <si>
    <t>dreyv@student.universidadviu.com</t>
  </si>
  <si>
    <t>Riaño Rodríguez, Milena</t>
  </si>
  <si>
    <t>Y8477169G</t>
  </si>
  <si>
    <t>milena.riano@student.universidadviu.com</t>
  </si>
  <si>
    <t>Rizzo Gómez, Alexandro Mauricio</t>
  </si>
  <si>
    <t>PAH470923</t>
  </si>
  <si>
    <t>arizzog@student.universidadviu.com</t>
  </si>
  <si>
    <t>Rodero Sarria, Marcos</t>
  </si>
  <si>
    <t>77859667K</t>
  </si>
  <si>
    <t>mroderosarria@student.universidadviu.com</t>
  </si>
  <si>
    <t>Rodríguez Casas, Víctor</t>
  </si>
  <si>
    <t>70902228J</t>
  </si>
  <si>
    <t>vrodriguezc@student.universidadviu.com</t>
  </si>
  <si>
    <t>Rodríguez Criado, Cristina</t>
  </si>
  <si>
    <t>47222668B</t>
  </si>
  <si>
    <t>crodriguezcriado@student.universidadviu.com</t>
  </si>
  <si>
    <t>Ruiz Castellanos, Julián Santiago</t>
  </si>
  <si>
    <t>AR943616</t>
  </si>
  <si>
    <t>jruizc1@student.universidadviu.com</t>
  </si>
  <si>
    <t>Sanchez Maestro, Adrian</t>
  </si>
  <si>
    <t>49312242N</t>
  </si>
  <si>
    <t>asanchezm15@student.universidadviu.com</t>
  </si>
  <si>
    <t>Skop Bayon, Rodrigo</t>
  </si>
  <si>
    <t>rskopb@student.universidadviu.com</t>
  </si>
  <si>
    <t>Sobrino Herrera, Anderson Renatto</t>
  </si>
  <si>
    <t>54394736N</t>
  </si>
  <si>
    <t>asobrinoh@student.universidadviu.com</t>
  </si>
  <si>
    <t>Soriano Ivorra, Jaime</t>
  </si>
  <si>
    <t>20517976K</t>
  </si>
  <si>
    <t>jsorianoivorra@student.universidadviu.com</t>
  </si>
  <si>
    <t>Sosa Ramírez, Hanns Eduard</t>
  </si>
  <si>
    <t>AZ411604</t>
  </si>
  <si>
    <t>hsosar@student.universidadviu.com</t>
  </si>
  <si>
    <t>Sáez Dios, Alba</t>
  </si>
  <si>
    <t>45315616G</t>
  </si>
  <si>
    <t>asaezdios@student.universidadviu.com</t>
  </si>
  <si>
    <t>Sánchez Collado, Javier</t>
  </si>
  <si>
    <t>47447610J</t>
  </si>
  <si>
    <t>jsanchezcollado@student.universidadviu.com</t>
  </si>
  <si>
    <t>Tamayo Mora, David Armando</t>
  </si>
  <si>
    <t>dtamayom@student.universidadviu.com</t>
  </si>
  <si>
    <t>Tarrío Pérez, Ana</t>
  </si>
  <si>
    <t>53610275N</t>
  </si>
  <si>
    <t>atarriop@student.universidadviu.com</t>
  </si>
  <si>
    <t>Tavero Infante, Ana Belen</t>
  </si>
  <si>
    <t>07270084Z</t>
  </si>
  <si>
    <t>ataveroinfante@student.universidadviu.com</t>
  </si>
  <si>
    <t>Tuset Andreu, Abril</t>
  </si>
  <si>
    <t>49289112C</t>
  </si>
  <si>
    <t>atuseta@student.universidadviu.com</t>
  </si>
  <si>
    <t>Vargas Achutegui, María</t>
  </si>
  <si>
    <t>72198583L</t>
  </si>
  <si>
    <t>mvargasachutegui@student.universidadviu.com</t>
  </si>
  <si>
    <t>Vazquez, Alejo</t>
  </si>
  <si>
    <t>AAH540408</t>
  </si>
  <si>
    <t>avazquez@student.universidadviu.com</t>
  </si>
  <si>
    <t>Velasco Rodríguez, Óscar</t>
  </si>
  <si>
    <t>16097096V</t>
  </si>
  <si>
    <t>ovelascorodriguez@student.universidadviu.com</t>
  </si>
  <si>
    <t>Virella Rodríguez, Juan Manuel</t>
  </si>
  <si>
    <t>49728094R</t>
  </si>
  <si>
    <t>jvirellar@student.universidadviu.com</t>
  </si>
  <si>
    <t>Viñolo Rivera, Noelia</t>
  </si>
  <si>
    <t>54201660K</t>
  </si>
  <si>
    <t>nvinolor@student.universidadviu.com</t>
  </si>
  <si>
    <t>de la Calva Castiñeira, Pablo</t>
  </si>
  <si>
    <t>58433984T</t>
  </si>
  <si>
    <t>pdelacalvac@student.universidadviu.com</t>
  </si>
  <si>
    <t>de la Guía Fraile, Inés</t>
  </si>
  <si>
    <t>03221601Z</t>
  </si>
  <si>
    <t>idelaguiaf@student.universidadviu.com</t>
  </si>
  <si>
    <t>del Hierro Villar, Alejandro</t>
  </si>
  <si>
    <t>05714743W</t>
  </si>
  <si>
    <t>adelhierrovillar@student.universidadviu.com</t>
  </si>
  <si>
    <t>Lopez Campos, José ignacio</t>
  </si>
  <si>
    <t>28834188P</t>
  </si>
  <si>
    <t>joslopcam1@gmail.com</t>
  </si>
  <si>
    <t xml:space="preserve">Miguel Regules, Muse Moises </t>
  </si>
  <si>
    <t>02742486N</t>
  </si>
  <si>
    <t>triplem1717@gmail.com</t>
  </si>
  <si>
    <t>Apellido Apellido, Nombre</t>
  </si>
  <si>
    <t>Número de TFT para asignar</t>
  </si>
  <si>
    <t>Número de TFT Asignados</t>
  </si>
  <si>
    <t>VINCULACIÓN</t>
  </si>
  <si>
    <t>NOMBRE</t>
  </si>
  <si>
    <t>APELLIDOS</t>
  </si>
  <si>
    <t>CORREO</t>
  </si>
  <si>
    <t>Tribunal</t>
  </si>
  <si>
    <t>Apellidos</t>
  </si>
  <si>
    <t>Nombre</t>
  </si>
  <si>
    <t>NIF</t>
  </si>
  <si>
    <t>Abad Villaverde, Beatriz</t>
  </si>
  <si>
    <t>Abad Villaverde</t>
  </si>
  <si>
    <t>Beatriz</t>
  </si>
  <si>
    <t>76941444G</t>
  </si>
  <si>
    <t>DIRECCION</t>
  </si>
  <si>
    <t>&lt; 9</t>
  </si>
  <si>
    <t>TRIBUNAL</t>
  </si>
  <si>
    <t>CRÉDITOS PROFESIONALES.:</t>
  </si>
  <si>
    <t>15-18</t>
  </si>
  <si>
    <t>CRÉDITOS INVESTIGADORA.:</t>
  </si>
  <si>
    <t>Mercantil</t>
  </si>
  <si>
    <t>NIF Colaborador</t>
  </si>
  <si>
    <t>Num. tutorizaciones</t>
  </si>
  <si>
    <t>Num. tribunales</t>
  </si>
  <si>
    <t>€€ Tutorizaciones</t>
  </si>
  <si>
    <t>€€ Num.Tribunales</t>
  </si>
  <si>
    <r>
      <rPr>
        <b/>
        <sz val="11"/>
        <color rgb="FF000000"/>
        <rFont val="Arial"/>
        <family val="2"/>
        <scheme val="minor"/>
      </rPr>
      <t xml:space="preserve">PAGO ÍNTEGRO </t>
    </r>
    <r>
      <rPr>
        <sz val="8"/>
        <color rgb="FF000000"/>
        <rFont val="Arial"/>
        <family val="2"/>
        <scheme val="minor"/>
      </rPr>
      <t>(cumplimentar "SÍ" si no han realizado todos los tribunales siguiendo la regla 1x3 pero hay que pasar el pago íntegro)</t>
    </r>
  </si>
  <si>
    <t>IMPORTE TOTAL A ABONAR</t>
  </si>
  <si>
    <t>COMENTARIOS</t>
  </si>
  <si>
    <t>Nº Tutorizaciones (1)</t>
  </si>
  <si>
    <t>nº Tribunales (1)</t>
  </si>
  <si>
    <t>€€ Tutorizaciones (1)</t>
  </si>
  <si>
    <t>€€ Num.Tribunales (1)</t>
  </si>
  <si>
    <t>Pasado a VR (SÍ/NO)</t>
  </si>
  <si>
    <t>Nº Tutorizaciones (2)</t>
  </si>
  <si>
    <t>nº Tribunales (2)</t>
  </si>
  <si>
    <t>€€ Tutorizaciones (2)</t>
  </si>
  <si>
    <t>€€ Num.Tribunales (2)</t>
  </si>
  <si>
    <t>Nº Tutorizaciones (3)</t>
  </si>
  <si>
    <t>nº Tribunales (3)</t>
  </si>
  <si>
    <t>€€ Tutorizaciones (3)</t>
  </si>
  <si>
    <t>€€ Num.Tribunales (3)</t>
  </si>
  <si>
    <t>Nº Tutorizaciones (4)</t>
  </si>
  <si>
    <t>nº Tribunales (4)</t>
  </si>
  <si>
    <t>€€ Tutorizaciones (4)</t>
  </si>
  <si>
    <t>€€ Num.Tribunales (4)</t>
  </si>
  <si>
    <t>PROFESIONAL</t>
  </si>
  <si>
    <t>Guillén Martín, María de la Paz</t>
  </si>
  <si>
    <t>Riobello Suárez, Cristina</t>
  </si>
  <si>
    <t>Sebastián Martínez López</t>
  </si>
  <si>
    <t>INVESTIGACION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</si>
</sst>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#,##0.00\ [$€-1]"/>
    <numFmt numFmtId="166" formatCode="#,##0.00\ [$€-C0A]"/>
  </numFmts>
  <fonts count="37">
    <font>
      <sz val="11"/>
      <color theme="1"/>
      <name val="Arial"/>
      <scheme val="minor"/>
    </font>
    <font>
      <sz val="28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</font>
    <font>
      <sz val="22"/>
      <color theme="1"/>
      <name val="Calibri"/>
      <family val="2"/>
    </font>
    <font>
      <b/>
      <sz val="22"/>
      <color theme="1"/>
      <name val="Calibri"/>
      <family val="2"/>
    </font>
    <font>
      <sz val="11"/>
      <color rgb="FF3F3F76"/>
      <name val="Calibri"/>
      <family val="2"/>
    </font>
    <font>
      <sz val="11"/>
      <color theme="1"/>
      <name val="Roboto"/>
    </font>
    <font>
      <sz val="11"/>
      <color rgb="FF000000"/>
      <name val="Calibri"/>
      <family val="2"/>
    </font>
    <font>
      <sz val="11"/>
      <color rgb="FF434343"/>
      <name val="Arial"/>
      <family val="2"/>
    </font>
    <font>
      <u/>
      <sz val="11"/>
      <color theme="10"/>
      <name val="Arial"/>
      <family val="2"/>
    </font>
    <font>
      <b/>
      <sz val="11"/>
      <color rgb="FFFFFFFF"/>
      <name val="Calibri"/>
      <family val="2"/>
    </font>
    <font>
      <sz val="9"/>
      <color rgb="FF000000"/>
      <name val="&quot;Google Sans Mono&quot;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sz val="11"/>
      <color rgb="FF000000"/>
      <name val="Arial"/>
      <family val="2"/>
      <scheme val="minor"/>
    </font>
    <font>
      <sz val="11"/>
      <color theme="0"/>
      <name val="Aptos Narrow"/>
      <family val="2"/>
    </font>
    <font>
      <sz val="10"/>
      <color rgb="FF000000"/>
      <name val="Arial"/>
      <family val="2"/>
    </font>
    <font>
      <sz val="8"/>
      <color rgb="FFFFFFFF"/>
      <name val="Arial"/>
      <family val="2"/>
    </font>
    <font>
      <sz val="8"/>
      <color rgb="FF0070C0"/>
      <name val="Arial"/>
      <family val="2"/>
    </font>
    <font>
      <b/>
      <sz val="14"/>
      <color theme="5" tint="-0.249977111117893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Arial"/>
      <family val="2"/>
      <scheme val="minor"/>
    </font>
    <font>
      <sz val="8"/>
      <color rgb="FF000000"/>
      <name val="Arial"/>
      <family val="2"/>
      <scheme val="minor"/>
    </font>
    <font>
      <sz val="8"/>
      <color theme="1"/>
      <name val="Arial"/>
      <family val="2"/>
      <scheme val="minor"/>
    </font>
    <font>
      <b/>
      <sz val="12"/>
      <color theme="4" tint="-0.249977111117893"/>
      <name val="Calibri"/>
      <family val="2"/>
    </font>
    <font>
      <b/>
      <sz val="11"/>
      <color theme="1"/>
      <name val="Arial"/>
      <scheme val="minor"/>
    </font>
    <font>
      <sz val="22"/>
      <color theme="1"/>
      <name val="Arial"/>
      <scheme val="minor"/>
    </font>
    <font>
      <sz val="11"/>
      <name val="Arial"/>
      <scheme val="minor"/>
    </font>
    <font>
      <b/>
      <sz val="10"/>
      <color theme="1"/>
      <name val="Arial"/>
      <scheme val="minor"/>
    </font>
    <font>
      <sz val="10"/>
      <name val="Arial"/>
      <scheme val="minor"/>
    </font>
    <font>
      <sz val="10"/>
      <color rgb="FF000000"/>
      <name val="Arial"/>
      <scheme val="minor"/>
    </font>
    <font>
      <sz val="11"/>
      <color rgb="FF000000"/>
      <name val="Arial"/>
      <scheme val="minor"/>
    </font>
    <font>
      <u/>
      <sz val="11"/>
      <color theme="10"/>
      <name val="Arial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DE9D9"/>
        <bgColor rgb="FFFDE9D9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808080"/>
        <bgColor rgb="FF808080"/>
      </patternFill>
    </fill>
    <fill>
      <patternFill patternType="solid">
        <fgColor rgb="FF93F5E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B8CCE4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rgb="FF93F5E0"/>
      </left>
      <right style="thin">
        <color rgb="FF93F5E0"/>
      </right>
      <top style="thin">
        <color rgb="FF93F5E0"/>
      </top>
      <bottom style="thin">
        <color rgb="FF93F5E0"/>
      </bottom>
      <diagonal/>
    </border>
    <border>
      <left style="medium">
        <color rgb="FF93F5E0"/>
      </left>
      <right style="thin">
        <color indexed="64"/>
      </right>
      <top style="medium">
        <color rgb="FF93F5E0"/>
      </top>
      <bottom style="medium">
        <color rgb="FF93F5E0"/>
      </bottom>
      <diagonal/>
    </border>
    <border>
      <left/>
      <right style="thin">
        <color indexed="64"/>
      </right>
      <top style="medium">
        <color rgb="FF93F5E0"/>
      </top>
      <bottom style="medium">
        <color rgb="FF93F5E0"/>
      </bottom>
      <diagonal/>
    </border>
    <border>
      <left/>
      <right style="medium">
        <color rgb="FF93F5E0"/>
      </right>
      <top style="medium">
        <color rgb="FF93F5E0"/>
      </top>
      <bottom style="medium">
        <color rgb="FF93F5E0"/>
      </bottom>
      <diagonal/>
    </border>
    <border>
      <left style="thin">
        <color rgb="FF93F5E0"/>
      </left>
      <right style="thin">
        <color rgb="FF93F5E0"/>
      </right>
      <top/>
      <bottom style="thin">
        <color rgb="FF93F5E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36" fillId="0" borderId="0" applyNumberFormat="0" applyFill="0" applyBorder="0" applyAlignment="0" applyProtection="0"/>
  </cellStyleXfs>
  <cellXfs count="157">
    <xf numFmtId="0" fontId="0" fillId="0" borderId="0" xfId="0"/>
    <xf numFmtId="0" fontId="2" fillId="0" borderId="0" xfId="0" applyFont="1"/>
    <xf numFmtId="0" fontId="3" fillId="2" borderId="0" xfId="0" applyFont="1" applyFill="1"/>
    <xf numFmtId="0" fontId="5" fillId="0" borderId="2" xfId="0" applyFont="1" applyBorder="1"/>
    <xf numFmtId="0" fontId="6" fillId="0" borderId="4" xfId="0" applyFont="1" applyBorder="1" applyAlignment="1">
      <alignment horizontal="center" vertical="center" wrapText="1"/>
    </xf>
    <xf numFmtId="0" fontId="7" fillId="0" borderId="0" xfId="0" applyFont="1"/>
    <xf numFmtId="17" fontId="7" fillId="0" borderId="0" xfId="0" applyNumberFormat="1" applyFont="1"/>
    <xf numFmtId="0" fontId="8" fillId="0" borderId="0" xfId="0" applyFont="1"/>
    <xf numFmtId="0" fontId="10" fillId="2" borderId="4" xfId="0" applyFont="1" applyFill="1" applyBorder="1"/>
    <xf numFmtId="0" fontId="11" fillId="2" borderId="4" xfId="0" applyFont="1" applyFill="1" applyBorder="1"/>
    <xf numFmtId="0" fontId="0" fillId="2" borderId="0" xfId="0" applyFill="1"/>
    <xf numFmtId="20" fontId="12" fillId="2" borderId="4" xfId="0" applyNumberFormat="1" applyFont="1" applyFill="1" applyBorder="1"/>
    <xf numFmtId="0" fontId="5" fillId="2" borderId="0" xfId="0" applyFont="1" applyFill="1"/>
    <xf numFmtId="0" fontId="5" fillId="2" borderId="0" xfId="0" applyFont="1" applyFill="1" applyAlignment="1">
      <alignment wrapText="1"/>
    </xf>
    <xf numFmtId="0" fontId="2" fillId="2" borderId="0" xfId="0" applyFont="1" applyFill="1"/>
    <xf numFmtId="0" fontId="14" fillId="8" borderId="4" xfId="0" applyFont="1" applyFill="1" applyBorder="1" applyAlignment="1">
      <alignment horizontal="center" wrapText="1"/>
    </xf>
    <xf numFmtId="0" fontId="3" fillId="0" borderId="0" xfId="0" applyFont="1"/>
    <xf numFmtId="0" fontId="15" fillId="6" borderId="0" xfId="0" applyFont="1" applyFill="1"/>
    <xf numFmtId="165" fontId="3" fillId="0" borderId="0" xfId="0" applyNumberFormat="1" applyFont="1"/>
    <xf numFmtId="3" fontId="3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2" fillId="7" borderId="4" xfId="0" applyFont="1" applyFill="1" applyBorder="1" applyAlignment="1">
      <alignment vertical="center" wrapText="1"/>
    </xf>
    <xf numFmtId="0" fontId="2" fillId="0" borderId="4" xfId="0" applyFont="1" applyBorder="1" applyAlignment="1">
      <alignment wrapText="1"/>
    </xf>
    <xf numFmtId="164" fontId="2" fillId="2" borderId="4" xfId="0" applyNumberFormat="1" applyFont="1" applyFill="1" applyBorder="1" applyAlignment="1">
      <alignment vertical="center" wrapText="1"/>
    </xf>
    <xf numFmtId="4" fontId="2" fillId="2" borderId="4" xfId="0" applyNumberFormat="1" applyFont="1" applyFill="1" applyBorder="1" applyAlignment="1">
      <alignment vertical="center" wrapText="1"/>
    </xf>
    <xf numFmtId="14" fontId="10" fillId="2" borderId="4" xfId="0" applyNumberFormat="1" applyFont="1" applyFill="1" applyBorder="1"/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164" fontId="2" fillId="2" borderId="0" xfId="0" applyNumberFormat="1" applyFont="1" applyFill="1" applyAlignment="1">
      <alignment vertical="center" wrapText="1"/>
    </xf>
    <xf numFmtId="4" fontId="2" fillId="2" borderId="0" xfId="0" applyNumberFormat="1" applyFont="1" applyFill="1" applyAlignment="1">
      <alignment vertical="center" wrapText="1"/>
    </xf>
    <xf numFmtId="0" fontId="16" fillId="9" borderId="0" xfId="0" applyFont="1" applyFill="1"/>
    <xf numFmtId="0" fontId="16" fillId="9" borderId="0" xfId="0" applyFont="1" applyFill="1" applyAlignment="1">
      <alignment wrapText="1"/>
    </xf>
    <xf numFmtId="0" fontId="16" fillId="0" borderId="0" xfId="0" applyFont="1"/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10" fillId="2" borderId="2" xfId="0" applyFont="1" applyFill="1" applyBorder="1"/>
    <xf numFmtId="0" fontId="0" fillId="0" borderId="0" xfId="0" applyAlignment="1">
      <alignment horizontal="center" indent="2"/>
    </xf>
    <xf numFmtId="0" fontId="5" fillId="2" borderId="4" xfId="0" applyFont="1" applyFill="1" applyBorder="1" applyAlignment="1">
      <alignment horizontal="center" indent="2"/>
    </xf>
    <xf numFmtId="0" fontId="5" fillId="2" borderId="0" xfId="0" applyFont="1" applyFill="1" applyAlignment="1">
      <alignment horizontal="center" indent="2"/>
    </xf>
    <xf numFmtId="0" fontId="9" fillId="2" borderId="0" xfId="0" applyFont="1" applyFill="1" applyAlignment="1">
      <alignment horizontal="center" vertical="center" wrapText="1" indent="2"/>
    </xf>
    <xf numFmtId="0" fontId="0" fillId="2" borderId="0" xfId="0" applyFill="1" applyAlignment="1">
      <alignment horizontal="center" indent="2"/>
    </xf>
    <xf numFmtId="0" fontId="3" fillId="2" borderId="0" xfId="0" applyFont="1" applyFill="1" applyAlignment="1">
      <alignment horizontal="center" indent="2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3" fillId="2" borderId="0" xfId="0" applyFont="1" applyFill="1" applyAlignment="1">
      <alignment horizontal="left"/>
    </xf>
    <xf numFmtId="0" fontId="5" fillId="2" borderId="8" xfId="0" applyFont="1" applyFill="1" applyBorder="1" applyAlignment="1">
      <alignment horizontal="left"/>
    </xf>
    <xf numFmtId="0" fontId="5" fillId="2" borderId="8" xfId="0" applyFont="1" applyFill="1" applyBorder="1" applyAlignment="1">
      <alignment horizontal="center" indent="2"/>
    </xf>
    <xf numFmtId="0" fontId="0" fillId="2" borderId="4" xfId="0" applyFill="1" applyBorder="1"/>
    <xf numFmtId="0" fontId="0" fillId="0" borderId="4" xfId="0" applyBorder="1"/>
    <xf numFmtId="4" fontId="2" fillId="2" borderId="1" xfId="0" applyNumberFormat="1" applyFont="1" applyFill="1" applyBorder="1" applyAlignment="1">
      <alignment vertical="center" wrapText="1"/>
    </xf>
    <xf numFmtId="4" fontId="2" fillId="2" borderId="8" xfId="0" applyNumberFormat="1" applyFont="1" applyFill="1" applyBorder="1" applyAlignment="1">
      <alignment vertical="center" wrapText="1"/>
    </xf>
    <xf numFmtId="0" fontId="17" fillId="0" borderId="4" xfId="0" applyFont="1" applyBorder="1"/>
    <xf numFmtId="0" fontId="17" fillId="0" borderId="4" xfId="0" applyFont="1" applyBorder="1" applyAlignment="1">
      <alignment horizontal="center"/>
    </xf>
    <xf numFmtId="0" fontId="19" fillId="0" borderId="0" xfId="0" applyFont="1"/>
    <xf numFmtId="0" fontId="18" fillId="0" borderId="1" xfId="0" applyFont="1" applyBorder="1"/>
    <xf numFmtId="0" fontId="2" fillId="0" borderId="4" xfId="0" applyFont="1" applyBorder="1"/>
    <xf numFmtId="164" fontId="2" fillId="2" borderId="4" xfId="0" applyNumberFormat="1" applyFont="1" applyFill="1" applyBorder="1" applyAlignment="1">
      <alignment horizontal="center" vertical="center" wrapText="1"/>
    </xf>
    <xf numFmtId="0" fontId="20" fillId="0" borderId="1" xfId="0" applyFont="1" applyBorder="1"/>
    <xf numFmtId="0" fontId="20" fillId="0" borderId="1" xfId="0" applyFont="1" applyBorder="1" applyAlignment="1">
      <alignment wrapText="1"/>
    </xf>
    <xf numFmtId="0" fontId="17" fillId="0" borderId="4" xfId="0" applyFont="1" applyBorder="1" applyAlignment="1">
      <alignment horizontal="left"/>
    </xf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0" fontId="21" fillId="11" borderId="0" xfId="0" applyFont="1" applyFill="1" applyAlignment="1">
      <alignment vertical="center"/>
    </xf>
    <xf numFmtId="0" fontId="22" fillId="0" borderId="0" xfId="0" applyFont="1" applyAlignment="1">
      <alignment horizontal="left" vertical="center"/>
    </xf>
    <xf numFmtId="166" fontId="22" fillId="0" borderId="0" xfId="0" applyNumberFormat="1" applyFont="1" applyAlignment="1">
      <alignment horizontal="left"/>
    </xf>
    <xf numFmtId="0" fontId="21" fillId="11" borderId="0" xfId="0" applyFont="1" applyFill="1"/>
    <xf numFmtId="166" fontId="22" fillId="0" borderId="0" xfId="0" applyNumberFormat="1" applyFont="1" applyAlignment="1">
      <alignment horizontal="left" vertical="center"/>
    </xf>
    <xf numFmtId="0" fontId="21" fillId="12" borderId="0" xfId="0" applyFont="1" applyFill="1"/>
    <xf numFmtId="0" fontId="23" fillId="0" borderId="0" xfId="0" applyFont="1" applyAlignment="1">
      <alignment horizontal="left" vertical="center"/>
    </xf>
    <xf numFmtId="0" fontId="24" fillId="13" borderId="10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7" fillId="14" borderId="11" xfId="0" applyFont="1" applyFill="1" applyBorder="1"/>
    <xf numFmtId="0" fontId="0" fillId="14" borderId="11" xfId="0" applyFill="1" applyBorder="1"/>
    <xf numFmtId="0" fontId="0" fillId="0" borderId="11" xfId="0" applyBorder="1"/>
    <xf numFmtId="4" fontId="0" fillId="0" borderId="11" xfId="0" applyNumberFormat="1" applyBorder="1"/>
    <xf numFmtId="0" fontId="0" fillId="14" borderId="11" xfId="0" applyFill="1" applyBorder="1" applyAlignment="1">
      <alignment horizontal="center"/>
    </xf>
    <xf numFmtId="166" fontId="16" fillId="0" borderId="11" xfId="0" applyNumberFormat="1" applyFont="1" applyBorder="1"/>
    <xf numFmtId="0" fontId="0" fillId="15" borderId="0" xfId="0" applyFill="1"/>
    <xf numFmtId="0" fontId="16" fillId="15" borderId="0" xfId="0" applyFont="1" applyFill="1"/>
    <xf numFmtId="166" fontId="16" fillId="0" borderId="0" xfId="0" applyNumberFormat="1" applyFont="1"/>
    <xf numFmtId="166" fontId="24" fillId="13" borderId="10" xfId="0" applyNumberFormat="1" applyFont="1" applyFill="1" applyBorder="1" applyAlignment="1">
      <alignment horizontal="center" vertical="center" wrapText="1"/>
    </xf>
    <xf numFmtId="0" fontId="28" fillId="13" borderId="12" xfId="0" applyFont="1" applyFill="1" applyBorder="1" applyAlignment="1">
      <alignment horizontal="center" vertical="center" wrapText="1"/>
    </xf>
    <xf numFmtId="0" fontId="28" fillId="13" borderId="13" xfId="0" applyFont="1" applyFill="1" applyBorder="1" applyAlignment="1">
      <alignment horizontal="center" vertical="center" wrapText="1"/>
    </xf>
    <xf numFmtId="0" fontId="28" fillId="13" borderId="14" xfId="0" applyFont="1" applyFill="1" applyBorder="1" applyAlignment="1">
      <alignment horizontal="center" vertical="center" wrapText="1"/>
    </xf>
    <xf numFmtId="0" fontId="0" fillId="15" borderId="15" xfId="0" applyFill="1" applyBorder="1"/>
    <xf numFmtId="4" fontId="0" fillId="0" borderId="15" xfId="0" applyNumberFormat="1" applyBorder="1"/>
    <xf numFmtId="0" fontId="16" fillId="0" borderId="11" xfId="0" applyFont="1" applyBorder="1"/>
    <xf numFmtId="0" fontId="0" fillId="15" borderId="11" xfId="0" applyFill="1" applyBorder="1"/>
    <xf numFmtId="4" fontId="18" fillId="0" borderId="11" xfId="0" applyNumberFormat="1" applyFont="1" applyBorder="1"/>
    <xf numFmtId="0" fontId="18" fillId="15" borderId="11" xfId="0" applyFont="1" applyFill="1" applyBorder="1"/>
    <xf numFmtId="4" fontId="25" fillId="0" borderId="11" xfId="0" applyNumberFormat="1" applyFont="1" applyBorder="1"/>
    <xf numFmtId="4" fontId="0" fillId="0" borderId="0" xfId="0" applyNumberFormat="1"/>
    <xf numFmtId="0" fontId="7" fillId="0" borderId="0" xfId="0" applyFont="1" applyAlignment="1">
      <alignment horizontal="center" indent="2"/>
    </xf>
    <xf numFmtId="0" fontId="13" fillId="2" borderId="0" xfId="0" applyFont="1" applyFill="1" applyAlignment="1">
      <alignment horizontal="center" vertical="center" wrapText="1" indent="2"/>
    </xf>
    <xf numFmtId="0" fontId="11" fillId="2" borderId="1" xfId="0" applyFont="1" applyFill="1" applyBorder="1"/>
    <xf numFmtId="0" fontId="11" fillId="0" borderId="0" xfId="0" applyFont="1"/>
    <xf numFmtId="1" fontId="0" fillId="0" borderId="11" xfId="0" applyNumberFormat="1" applyBorder="1"/>
    <xf numFmtId="4" fontId="29" fillId="0" borderId="15" xfId="0" applyNumberFormat="1" applyFont="1" applyBorder="1"/>
    <xf numFmtId="0" fontId="30" fillId="0" borderId="0" xfId="0" applyFont="1" applyAlignment="1">
      <alignment horizontal="left"/>
    </xf>
    <xf numFmtId="17" fontId="30" fillId="0" borderId="0" xfId="0" applyNumberFormat="1" applyFont="1"/>
    <xf numFmtId="0" fontId="29" fillId="4" borderId="0" xfId="0" applyFont="1" applyFill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/>
    </xf>
    <xf numFmtId="0" fontId="29" fillId="4" borderId="7" xfId="0" applyFont="1" applyFill="1" applyBorder="1" applyAlignment="1">
      <alignment horizontal="center" vertical="center" wrapText="1" indent="2"/>
    </xf>
    <xf numFmtId="0" fontId="29" fillId="4" borderId="4" xfId="0" applyFont="1" applyFill="1" applyBorder="1" applyAlignment="1">
      <alignment horizontal="center" vertical="center" wrapText="1"/>
    </xf>
    <xf numFmtId="0" fontId="29" fillId="4" borderId="18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32" fillId="3" borderId="5" xfId="0" applyFont="1" applyFill="1" applyBorder="1" applyAlignment="1">
      <alignment vertical="center"/>
    </xf>
    <xf numFmtId="0" fontId="29" fillId="10" borderId="4" xfId="0" applyFont="1" applyFill="1" applyBorder="1" applyAlignment="1">
      <alignment vertical="center"/>
    </xf>
    <xf numFmtId="0" fontId="33" fillId="0" borderId="4" xfId="0" applyFont="1" applyBorder="1"/>
    <xf numFmtId="0" fontId="33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/>
    </xf>
    <xf numFmtId="0" fontId="0" fillId="7" borderId="4" xfId="0" applyFill="1" applyBorder="1" applyAlignment="1">
      <alignment vertical="center" wrapText="1"/>
    </xf>
    <xf numFmtId="0" fontId="0" fillId="2" borderId="2" xfId="0" applyFill="1" applyBorder="1"/>
    <xf numFmtId="0" fontId="34" fillId="0" borderId="17" xfId="0" applyFont="1" applyBorder="1"/>
    <xf numFmtId="4" fontId="0" fillId="2" borderId="2" xfId="0" applyNumberFormat="1" applyFill="1" applyBorder="1" applyAlignment="1">
      <alignment vertical="center" wrapText="1"/>
    </xf>
    <xf numFmtId="4" fontId="0" fillId="2" borderId="4" xfId="0" applyNumberFormat="1" applyFill="1" applyBorder="1" applyAlignment="1">
      <alignment vertical="center" wrapText="1"/>
    </xf>
    <xf numFmtId="4" fontId="0" fillId="2" borderId="1" xfId="0" applyNumberFormat="1" applyFill="1" applyBorder="1" applyAlignment="1">
      <alignment vertical="center" wrapText="1"/>
    </xf>
    <xf numFmtId="0" fontId="0" fillId="2" borderId="4" xfId="0" applyFill="1" applyBorder="1" applyAlignment="1">
      <alignment horizontal="center"/>
    </xf>
    <xf numFmtId="0" fontId="35" fillId="0" borderId="9" xfId="0" applyFont="1" applyBorder="1"/>
    <xf numFmtId="0" fontId="35" fillId="0" borderId="1" xfId="0" applyFont="1" applyBorder="1"/>
    <xf numFmtId="0" fontId="33" fillId="0" borderId="7" xfId="0" applyFont="1" applyBorder="1"/>
    <xf numFmtId="0" fontId="33" fillId="0" borderId="7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/>
    </xf>
    <xf numFmtId="0" fontId="0" fillId="7" borderId="2" xfId="0" applyFill="1" applyBorder="1" applyAlignment="1">
      <alignment vertical="center" wrapText="1"/>
    </xf>
    <xf numFmtId="0" fontId="35" fillId="2" borderId="1" xfId="0" applyFont="1" applyFill="1" applyBorder="1"/>
    <xf numFmtId="0" fontId="35" fillId="2" borderId="2" xfId="0" applyFont="1" applyFill="1" applyBorder="1"/>
    <xf numFmtId="0" fontId="34" fillId="0" borderId="0" xfId="0" applyFont="1"/>
    <xf numFmtId="0" fontId="0" fillId="2" borderId="16" xfId="0" applyFill="1" applyBorder="1" applyAlignment="1">
      <alignment horizontal="center"/>
    </xf>
    <xf numFmtId="0" fontId="34" fillId="0" borderId="9" xfId="0" applyFont="1" applyBorder="1"/>
    <xf numFmtId="0" fontId="35" fillId="2" borderId="4" xfId="0" applyFont="1" applyFill="1" applyBorder="1"/>
    <xf numFmtId="0" fontId="34" fillId="0" borderId="1" xfId="0" applyFont="1" applyBorder="1"/>
    <xf numFmtId="0" fontId="36" fillId="0" borderId="7" xfId="1" applyBorder="1" applyAlignment="1">
      <alignment horizontal="center"/>
    </xf>
    <xf numFmtId="0" fontId="36" fillId="0" borderId="0" xfId="1"/>
    <xf numFmtId="0" fontId="35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1" xfId="0" applyFill="1" applyBorder="1"/>
    <xf numFmtId="0" fontId="0" fillId="0" borderId="1" xfId="0" applyBorder="1"/>
    <xf numFmtId="0" fontId="29" fillId="10" borderId="7" xfId="0" applyFont="1" applyFill="1" applyBorder="1" applyAlignment="1">
      <alignment vertical="center"/>
    </xf>
    <xf numFmtId="0" fontId="36" fillId="0" borderId="4" xfId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9" fillId="4" borderId="5" xfId="0" applyFont="1" applyFill="1" applyBorder="1" applyAlignment="1">
      <alignment horizontal="center" vertical="center" wrapText="1"/>
    </xf>
    <xf numFmtId="0" fontId="29" fillId="10" borderId="9" xfId="0" applyFont="1" applyFill="1" applyBorder="1" applyAlignment="1">
      <alignment horizontal="center" vertical="center"/>
    </xf>
    <xf numFmtId="0" fontId="29" fillId="10" borderId="19" xfId="0" applyFont="1" applyFill="1" applyBorder="1" applyAlignment="1">
      <alignment horizontal="center" vertical="center"/>
    </xf>
    <xf numFmtId="0" fontId="21" fillId="11" borderId="0" xfId="0" applyFont="1" applyFill="1" applyAlignment="1">
      <alignment vertical="center"/>
    </xf>
    <xf numFmtId="0" fontId="4" fillId="0" borderId="3" xfId="0" applyFont="1" applyBorder="1" applyAlignment="1"/>
    <xf numFmtId="0" fontId="4" fillId="0" borderId="2" xfId="0" applyFont="1" applyBorder="1" applyAlignment="1"/>
    <xf numFmtId="0" fontId="31" fillId="0" borderId="6" xfId="0" applyFont="1" applyBorder="1" applyAlignment="1"/>
  </cellXfs>
  <cellStyles count="2">
    <cellStyle name="Hyperlink" xfId="1" xr:uid="{00000000-000B-0000-0000-000008000000}"/>
    <cellStyle name="Normal" xfId="0" builtinId="0"/>
  </cellStyles>
  <dxfs count="5">
    <dxf>
      <fill>
        <patternFill patternType="solid">
          <bgColor rgb="FFAFFAEA"/>
        </patternFill>
      </fill>
    </dxf>
    <dxf>
      <font>
        <color theme="1"/>
      </font>
      <fill>
        <patternFill patternType="solid">
          <bgColor rgb="FFAFFAEA"/>
        </patternFill>
      </fill>
    </dxf>
    <dxf>
      <font>
        <color theme="4" tint="-0.499984740745262"/>
      </font>
      <fill>
        <patternFill patternType="solid">
          <bgColor theme="4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499984740745262"/>
      </font>
      <fill>
        <patternFill patternType="solid">
          <bgColor theme="9" tint="0.39997558519241921"/>
        </patternFill>
      </fill>
    </dxf>
  </dxfs>
  <tableStyles count="0" defaultTableStyle="TableStyleMedium2" defaultPivotStyle="PivotStyleLight16"/>
  <colors>
    <mruColors>
      <color rgb="FF93F5E0"/>
      <color rgb="FFAFF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295275</xdr:colOff>
      <xdr:row>2</xdr:row>
      <xdr:rowOff>95250</xdr:rowOff>
    </xdr:from>
    <xdr:ext cx="3600450" cy="15430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550538" y="3013238"/>
          <a:ext cx="3590925" cy="1533525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 fLocksWithSheet="0"/>
  </xdr:oneCellAnchor>
  <xdr:oneCellAnchor>
    <xdr:from>
      <xdr:col>0</xdr:col>
      <xdr:colOff>333375</xdr:colOff>
      <xdr:row>1</xdr:row>
      <xdr:rowOff>47625</xdr:rowOff>
    </xdr:from>
    <xdr:ext cx="1495425" cy="6286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0</xdr:colOff>
      <xdr:row>3</xdr:row>
      <xdr:rowOff>0</xdr:rowOff>
    </xdr:from>
    <xdr:to>
      <xdr:col>1</xdr:col>
      <xdr:colOff>1009650</xdr:colOff>
      <xdr:row>6</xdr:row>
      <xdr:rowOff>428625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E51EDC5E-B34F-4E5E-BD5A-1DBD7B86F15E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SpPr txBox="1"/>
      </xdr:nvSpPr>
      <xdr:spPr>
        <a:xfrm>
          <a:off x="0" y="1552575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1009650</xdr:colOff>
      <xdr:row>7</xdr:row>
      <xdr:rowOff>333375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5748EF7-C571-4E19-9EB9-DF9F1E0E654B}"/>
            </a:ext>
            <a:ext uri="{147F2762-F138-4A5C-976F-8EAC2B608ADB}">
              <a16:predDERef xmlns:a16="http://schemas.microsoft.com/office/drawing/2014/main" pred="{E51EDC5E-B34F-4E5E-BD5A-1DBD7B86F15E}"/>
            </a:ext>
          </a:extLst>
        </xdr:cNvPr>
        <xdr:cNvSpPr txBox="1"/>
      </xdr:nvSpPr>
      <xdr:spPr>
        <a:xfrm>
          <a:off x="0" y="2076450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  <xdr:twoCellAnchor>
    <xdr:from>
      <xdr:col>0</xdr:col>
      <xdr:colOff>0</xdr:colOff>
      <xdr:row>4</xdr:row>
      <xdr:rowOff>0</xdr:rowOff>
    </xdr:from>
    <xdr:to>
      <xdr:col>1</xdr:col>
      <xdr:colOff>1009650</xdr:colOff>
      <xdr:row>7</xdr:row>
      <xdr:rowOff>333375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91E1FBE2-0C0B-4831-9E94-B3D939FC679E}"/>
            </a:ext>
            <a:ext uri="{147F2762-F138-4A5C-976F-8EAC2B608ADB}">
              <a16:predDERef xmlns:a16="http://schemas.microsoft.com/office/drawing/2014/main" pred="{F5748EF7-C571-4E19-9EB9-DF9F1E0E654B}"/>
            </a:ext>
          </a:extLst>
        </xdr:cNvPr>
        <xdr:cNvSpPr txBox="1"/>
      </xdr:nvSpPr>
      <xdr:spPr>
        <a:xfrm>
          <a:off x="0" y="2076450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1009650</xdr:colOff>
      <xdr:row>6</xdr:row>
      <xdr:rowOff>66675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3FF41AD5-64F3-49AB-A1F8-4F018999DF95}"/>
            </a:ext>
            <a:ext uri="{147F2762-F138-4A5C-976F-8EAC2B608ADB}">
              <a16:predDERef xmlns:a16="http://schemas.microsoft.com/office/drawing/2014/main" pred="{91E1FBE2-0C0B-4831-9E94-B3D939FC679E}"/>
            </a:ext>
          </a:extLst>
        </xdr:cNvPr>
        <xdr:cNvSpPr txBox="1"/>
      </xdr:nvSpPr>
      <xdr:spPr>
        <a:xfrm>
          <a:off x="0" y="1190625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1009650</xdr:colOff>
      <xdr:row>6</xdr:row>
      <xdr:rowOff>66675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CBBFE25D-F641-46CC-9099-53746A491C3C}"/>
            </a:ext>
            <a:ext uri="{147F2762-F138-4A5C-976F-8EAC2B608ADB}">
              <a16:predDERef xmlns:a16="http://schemas.microsoft.com/office/drawing/2014/main" pred="{3FF41AD5-64F3-49AB-A1F8-4F018999DF95}"/>
            </a:ext>
          </a:extLst>
        </xdr:cNvPr>
        <xdr:cNvSpPr txBox="1"/>
      </xdr:nvSpPr>
      <xdr:spPr>
        <a:xfrm>
          <a:off x="0" y="1190625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  <xdr:twoCellAnchor>
    <xdr:from>
      <xdr:col>0</xdr:col>
      <xdr:colOff>0</xdr:colOff>
      <xdr:row>2</xdr:row>
      <xdr:rowOff>0</xdr:rowOff>
    </xdr:from>
    <xdr:to>
      <xdr:col>1</xdr:col>
      <xdr:colOff>1009650</xdr:colOff>
      <xdr:row>6</xdr:row>
      <xdr:rowOff>66675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78E1E4FB-9331-4860-95B2-EDE4A95AAD38}"/>
            </a:ext>
            <a:ext uri="{147F2762-F138-4A5C-976F-8EAC2B608ADB}">
              <a16:predDERef xmlns:a16="http://schemas.microsoft.com/office/drawing/2014/main" pred="{CBBFE25D-F641-46CC-9099-53746A491C3C}"/>
            </a:ext>
          </a:extLst>
        </xdr:cNvPr>
        <xdr:cNvSpPr txBox="1"/>
      </xdr:nvSpPr>
      <xdr:spPr>
        <a:xfrm>
          <a:off x="0" y="1190625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  <xdr:twoCellAnchor>
    <xdr:from>
      <xdr:col>1</xdr:col>
      <xdr:colOff>1771650</xdr:colOff>
      <xdr:row>3</xdr:row>
      <xdr:rowOff>28575</xdr:rowOff>
    </xdr:from>
    <xdr:to>
      <xdr:col>3</xdr:col>
      <xdr:colOff>619125</xdr:colOff>
      <xdr:row>6</xdr:row>
      <xdr:rowOff>457200</xdr:rowOff>
    </xdr:to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8CAE978A-4DAE-4C80-8A9D-114EB218B5FA}"/>
            </a:ext>
            <a:ext uri="{147F2762-F138-4A5C-976F-8EAC2B608ADB}">
              <a16:predDERef xmlns:a16="http://schemas.microsoft.com/office/drawing/2014/main" pred="{78E1E4FB-9331-4860-95B2-EDE4A95AAD38}"/>
            </a:ext>
          </a:extLst>
        </xdr:cNvPr>
        <xdr:cNvSpPr txBox="1"/>
      </xdr:nvSpPr>
      <xdr:spPr>
        <a:xfrm>
          <a:off x="4362450" y="1581150"/>
          <a:ext cx="3600450" cy="1543050"/>
        </a:xfrm>
        <a:prstGeom prst="rect">
          <a:avLst/>
        </a:prstGeom>
        <a:solidFill>
          <a:schemeClr val="accent2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PARA OBTENER EL NOMBRE COMPLETO, DNI E E-MAIL DE LOS ALUMNOS DEBES: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eSecretaria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"DOCENCIA".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- Acceder a "LISTA DE ESTUDIANTES"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BUSCA EL GRUPO EN LOS DEPLEGABLES Y PODRÁS EXPORTAR TODA LA INFORMACIÓN EN EXCEL.</a:t>
          </a:r>
          <a:endParaRPr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0</xdr:row>
      <xdr:rowOff>85725</xdr:rowOff>
    </xdr:from>
    <xdr:to>
      <xdr:col>6</xdr:col>
      <xdr:colOff>914400</xdr:colOff>
      <xdr:row>12</xdr:row>
      <xdr:rowOff>114300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CC41A72-A7B7-41E6-8E47-A1975A56A150}"/>
            </a:ext>
          </a:extLst>
        </xdr:cNvPr>
        <xdr:cNvSpPr txBox="1"/>
      </xdr:nvSpPr>
      <xdr:spPr>
        <a:xfrm>
          <a:off x="723900" y="85725"/>
          <a:ext cx="8248650" cy="2200275"/>
        </a:xfrm>
        <a:prstGeom prst="rect">
          <a:avLst/>
        </a:prstGeom>
        <a:solidFill>
          <a:schemeClr val="lt1"/>
        </a:solidFill>
        <a:ln w="76200" cmpd="sng">
          <a:solidFill>
            <a:srgbClr val="93F5E0"/>
          </a:solidFill>
        </a:ln>
      </xdr:spPr>
      <xdr:txBody>
        <a:bodyPr spcFirstLastPara="0" wrap="square" lIns="91440" tIns="45720" rIns="91440" bIns="45720" rtlCol="0" anchor="t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INSTRUCCIONES: </a:t>
          </a:r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1. </a:t>
          </a:r>
          <a:r>
            <a:rPr lang="en-US" sz="1100" b="0" i="0" u="sng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Indicar SÍ/NO si se ha tutorizado </a:t>
          </a: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el trabajo en "LISTADOS TFM". 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 hay dos filas por dos tribunales al mismo/a alumno, indicar solo en el segundo que el trabajo ha sido tutorizado para evitar pagos duplicados.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Si el pago ya se ha emitido con anterioridad, indicadlo en "COMENTARIOS"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2. </a:t>
          </a:r>
          <a:r>
            <a:rPr lang="en-US" sz="1100" b="0" i="0" u="sng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Indicar el NUMERO de "Créditos Profesionales" y Créditos Investigación"</a:t>
          </a: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según corresponda en la celda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3. Revisar en la hoja de pagos que estén todos/as los/as colaboradores/as que hayan dirigido algún TFT.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4. Valorar el pago de tribunales en el caso de que haya asistido a más o menos de los que correspondía en un inicio.</a:t>
          </a:r>
        </a:p>
        <a:p>
          <a:pPr marL="0" marR="0" indent="0" algn="l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5. </a:t>
          </a:r>
          <a:r>
            <a:rPr lang="en-US" sz="1100" b="0" i="0" u="sng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Confirmar a Gestión que la información disponible en la hoja "Pagos"</a:t>
          </a:r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 es correcta para que procedan con las órdenes de pago. </a:t>
          </a:r>
        </a:p>
      </xdr:txBody>
    </xdr:sp>
    <xdr:clientData/>
  </xdr:twoCellAnchor>
  <xdr:twoCellAnchor>
    <xdr:from>
      <xdr:col>11</xdr:col>
      <xdr:colOff>561975</xdr:colOff>
      <xdr:row>11</xdr:row>
      <xdr:rowOff>104775</xdr:rowOff>
    </xdr:from>
    <xdr:to>
      <xdr:col>15</xdr:col>
      <xdr:colOff>619125</xdr:colOff>
      <xdr:row>18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DB9D4BAE-D5F1-4F42-BA8C-9909AF07CDF0}"/>
            </a:ext>
            <a:ext uri="{147F2762-F138-4A5C-976F-8EAC2B608ADB}">
              <a16:predDERef xmlns:a16="http://schemas.microsoft.com/office/drawing/2014/main" pred="{9CC41A72-A7B7-41E6-8E47-A1975A56A150}"/>
            </a:ext>
          </a:extLst>
        </xdr:cNvPr>
        <xdr:cNvSpPr txBox="1"/>
      </xdr:nvSpPr>
      <xdr:spPr>
        <a:xfrm>
          <a:off x="10239375" y="2095500"/>
          <a:ext cx="4210050" cy="1390650"/>
        </a:xfrm>
        <a:prstGeom prst="rect">
          <a:avLst/>
        </a:prstGeom>
        <a:solidFill>
          <a:schemeClr val="lt1"/>
        </a:solidFill>
        <a:ln w="12700" cmpd="sng">
          <a:solidFill>
            <a:srgbClr val="93F5E0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Indicar cualquier comentario que se considere relevante a la hora de realizar el pago.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Ej. El pago ya se ha emitido con anterioridad.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Ej. Solo hay que pagar la mitad porque es una sustitución.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Ej. Solo hay que restar x tribunales porque el resto que debe ha sido por decisión de la dirección del título.</a:t>
          </a:r>
        </a:p>
      </xdr:txBody>
    </xdr:sp>
    <xdr:clientData/>
  </xdr:twoCellAnchor>
  <xdr:twoCellAnchor>
    <xdr:from>
      <xdr:col>11</xdr:col>
      <xdr:colOff>57150</xdr:colOff>
      <xdr:row>17</xdr:row>
      <xdr:rowOff>171450</xdr:rowOff>
    </xdr:from>
    <xdr:to>
      <xdr:col>11</xdr:col>
      <xdr:colOff>523875</xdr:colOff>
      <xdr:row>19</xdr:row>
      <xdr:rowOff>466725</xdr:rowOff>
    </xdr:to>
    <xdr:sp macro="" textlink="">
      <xdr:nvSpPr>
        <xdr:cNvPr id="4" name="Flecha doblada 3">
          <a:extLst>
            <a:ext uri="{FF2B5EF4-FFF2-40B4-BE49-F238E27FC236}">
              <a16:creationId xmlns:a16="http://schemas.microsoft.com/office/drawing/2014/main" id="{D2F5D927-A269-4221-B34D-77423B747015}"/>
            </a:ext>
            <a:ext uri="{147F2762-F138-4A5C-976F-8EAC2B608ADB}">
              <a16:predDERef xmlns:a16="http://schemas.microsoft.com/office/drawing/2014/main" pred="{DB9D4BAE-D5F1-4F42-BA8C-9909AF07CDF0}"/>
            </a:ext>
          </a:extLst>
        </xdr:cNvPr>
        <xdr:cNvSpPr/>
      </xdr:nvSpPr>
      <xdr:spPr>
        <a:xfrm>
          <a:off x="13763625" y="3295650"/>
          <a:ext cx="466725" cy="704850"/>
        </a:xfrm>
        <a:prstGeom prst="bentArrow">
          <a:avLst/>
        </a:prstGeom>
        <a:solidFill>
          <a:srgbClr val="93F5E0"/>
        </a:solidFill>
        <a:ln>
          <a:solidFill>
            <a:srgbClr val="93F5E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1057275</xdr:colOff>
      <xdr:row>0</xdr:row>
      <xdr:rowOff>133350</xdr:rowOff>
    </xdr:from>
    <xdr:to>
      <xdr:col>11</xdr:col>
      <xdr:colOff>1495425</xdr:colOff>
      <xdr:row>9</xdr:row>
      <xdr:rowOff>57150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C30A6FE-BCF4-4357-A890-B7E83A947968}"/>
            </a:ext>
            <a:ext uri="{147F2762-F138-4A5C-976F-8EAC2B608ADB}">
              <a16:predDERef xmlns:a16="http://schemas.microsoft.com/office/drawing/2014/main" pred="{D2F5D927-A269-4221-B34D-77423B747015}"/>
            </a:ext>
          </a:extLst>
        </xdr:cNvPr>
        <xdr:cNvSpPr txBox="1"/>
      </xdr:nvSpPr>
      <xdr:spPr>
        <a:xfrm>
          <a:off x="7553325" y="133350"/>
          <a:ext cx="3619500" cy="1552575"/>
        </a:xfrm>
        <a:prstGeom prst="rect">
          <a:avLst/>
        </a:prstGeom>
        <a:solidFill>
          <a:schemeClr val="lt1"/>
        </a:solidFill>
        <a:ln w="38100" cmpd="sng">
          <a:solidFill>
            <a:srgbClr val="93F5E0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 b="1" i="0" u="none" strike="noStrike">
              <a:solidFill>
                <a:srgbClr val="FFC000"/>
              </a:solidFill>
              <a:latin typeface="Arial" panose="020B0604020202020204" pitchFamily="34" charset="0"/>
              <a:cs typeface="Arial" panose="020B0604020202020204" pitchFamily="34" charset="0"/>
            </a:rPr>
            <a:t>IMPORTANTE: </a:t>
          </a:r>
          <a:endParaRPr lang="en-US" sz="1100" b="0" i="0" u="none" strike="noStrike">
            <a:solidFill>
              <a:srgbClr val="FFC000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Para evitar posibles errores es muy importante: 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- Que los nombres indicados en las asignaciones de TFT y de tribunal coincidan con los proporcionados desde Gestión (desplegables).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- Que se indique "SÍ" con acento en la columna de tutorizado y en la columna de "pago íntegro".</a:t>
          </a:r>
        </a:p>
        <a:p>
          <a:pPr marL="0" indent="0" algn="l"/>
          <a:r>
            <a:rPr lang="en-US" sz="1100" b="0" i="0" u="none" strike="noStrike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- Revisar detenidamente el registro. </a:t>
          </a:r>
        </a:p>
        <a:p>
          <a:pPr marL="0" indent="0" algn="l"/>
          <a:endParaRPr lang="en-US" sz="1100" b="0" i="0" u="none" strike="noStrike">
            <a:solidFill>
              <a:srgbClr val="000000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Registro%20ECTS%2026%20Ciencias%20Sociosanitarias%20y%20Aplicadas.xlsx" TargetMode="External"/><Relationship Id="rId2" Type="http://schemas.openxmlformats.org/officeDocument/2006/relationships/externalLinkPath" Target="https://gplaneta-my.sharepoint.com/personal/ugy946_psoplaneta_com/Documents/Facultad%20Ciencias%20de%20la%20Salud/DOCENTES/BBDD/CIENCIAS%20SOCIOSANITARIAS/Registro%20ECTS%2026%20Ciencias%20Sociosanitarias%20y%20Aplicadas.xlsx" TargetMode="External"/><Relationship Id="rId1" Type="http://schemas.openxmlformats.org/officeDocument/2006/relationships/externalLinkPath" Target="/personal/ugy946_psoplaneta_com/Documents/Facultad%20Ciencias%20de%20la%20Salud/DOCENTES/BBDD/CIENCIAS%20SOCIOSANITARIAS/Registro%20ECTS%2026%20Ciencias%20Sociosanitarias%20y%20Aplicadas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egistro%20Docentes%20FCCSS.xlsx" TargetMode="External"/><Relationship Id="rId2" Type="http://schemas.openxmlformats.org/officeDocument/2006/relationships/externalLinkPath" Target="https://gplaneta-my.sharepoint.com/personal/ugy946_psoplaneta_com/Documents/Facultad%20Ciencias%20de%20la%20Salud/DOCENTES/BBDD/Registro%20Docentes%20FCCSS.xlsx" TargetMode="External"/><Relationship Id="rId1" Type="http://schemas.openxmlformats.org/officeDocument/2006/relationships/externalLinkPath" Target="/personal/ugy946_psoplaneta_com/Documents/Facultad%20Ciencias%20de%20la%20Salud/DOCENTES/BBDD/Registro%20Docentes%20FCCS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9VX6-W4l1ki_lEHmAjH5Fd60v93w5mtMv2nKUf3IDD392CUtPAPiS5ZoCJfdDJBE" itemId="01U5M4NYYN54XNJVAGWVBJZZ7XCKFNYYAK">
      <xxl21:absoluteUrl r:id="rId2"/>
      <xxl21:relativeUrl r:id="rId3"/>
    </xxl21:alternateUrls>
    <sheetNames>
      <sheetName val="DOCENTES"/>
      <sheetName val="REGISTRO ECTS DOCENCIA"/>
      <sheetName val="REGISTRO ECTS TFT"/>
      <sheetName val="Registro ECTS 26 Ciencias Socio"/>
    </sheetNames>
    <sheetDataSet>
      <sheetData sheetId="0"/>
      <sheetData sheetId="1"/>
      <sheetData sheetId="2">
        <row r="1">
          <cell r="B1"/>
          <cell r="C1"/>
          <cell r="D1"/>
          <cell r="E1"/>
          <cell r="F1" t="str">
            <v>09MBIF</v>
          </cell>
          <cell r="G1" t="str">
            <v>10MGER</v>
          </cell>
          <cell r="H1" t="str">
            <v>20MBIO</v>
          </cell>
          <cell r="I1" t="str">
            <v>12MDGC</v>
          </cell>
          <cell r="J1" t="str">
            <v>09MBIF</v>
          </cell>
          <cell r="K1" t="str">
            <v>20MBIO</v>
          </cell>
          <cell r="L1" t="str">
            <v>11MDRO</v>
          </cell>
          <cell r="M1" t="str">
            <v>10MGER</v>
          </cell>
          <cell r="N1" t="str">
            <v>12MDGC</v>
          </cell>
          <cell r="O1" t="str">
            <v>08MNUC</v>
          </cell>
          <cell r="P1" t="str">
            <v>11MSAN</v>
          </cell>
          <cell r="Q1" t="str">
            <v>08MUNO</v>
          </cell>
        </row>
        <row r="2">
          <cell r="B2">
            <v>1</v>
          </cell>
          <cell r="C2">
            <v>2</v>
          </cell>
          <cell r="D2">
            <v>3</v>
          </cell>
          <cell r="E2">
            <v>4</v>
          </cell>
          <cell r="F2">
            <v>5</v>
          </cell>
          <cell r="G2">
            <v>6</v>
          </cell>
          <cell r="H2">
            <v>7</v>
          </cell>
          <cell r="I2">
            <v>8</v>
          </cell>
          <cell r="J2">
            <v>9</v>
          </cell>
          <cell r="K2">
            <v>10</v>
          </cell>
          <cell r="L2">
            <v>11</v>
          </cell>
          <cell r="M2">
            <v>12</v>
          </cell>
          <cell r="N2">
            <v>13</v>
          </cell>
          <cell r="O2">
            <v>14</v>
          </cell>
          <cell r="P2">
            <v>15</v>
          </cell>
          <cell r="Q2">
            <v>16</v>
          </cell>
        </row>
        <row r="3">
          <cell r="F3" t="str">
            <v>ABRIL</v>
          </cell>
          <cell r="G3"/>
          <cell r="H3"/>
          <cell r="I3"/>
          <cell r="J3" t="str">
            <v>OCTUBRE</v>
          </cell>
          <cell r="K3"/>
          <cell r="L3"/>
          <cell r="M3"/>
          <cell r="N3"/>
          <cell r="O3"/>
          <cell r="P3"/>
          <cell r="Q3"/>
        </row>
        <row r="4">
          <cell r="B4"/>
          <cell r="C4"/>
          <cell r="D4"/>
          <cell r="E4"/>
          <cell r="F4">
            <v>83</v>
          </cell>
          <cell r="G4">
            <v>48</v>
          </cell>
          <cell r="H4">
            <v>42</v>
          </cell>
          <cell r="I4">
            <v>84</v>
          </cell>
          <cell r="J4">
            <v>128</v>
          </cell>
          <cell r="K4">
            <v>66</v>
          </cell>
          <cell r="L4">
            <v>77</v>
          </cell>
          <cell r="M4">
            <v>74</v>
          </cell>
          <cell r="N4">
            <v>88</v>
          </cell>
          <cell r="O4">
            <v>101</v>
          </cell>
          <cell r="P4">
            <v>47</v>
          </cell>
          <cell r="Q4">
            <v>17</v>
          </cell>
          <cell r="U4"/>
          <cell r="V4"/>
          <cell r="W4"/>
          <cell r="X4"/>
          <cell r="Y4"/>
          <cell r="Z4"/>
          <cell r="AA4"/>
          <cell r="AB4"/>
        </row>
        <row r="5">
          <cell r="B5"/>
          <cell r="C5"/>
          <cell r="D5"/>
          <cell r="E5"/>
          <cell r="G5">
            <v>2</v>
          </cell>
          <cell r="L5">
            <v>6</v>
          </cell>
          <cell r="M5">
            <v>1</v>
          </cell>
          <cell r="O5">
            <v>11</v>
          </cell>
          <cell r="P5">
            <v>3</v>
          </cell>
          <cell r="U5"/>
          <cell r="V5"/>
          <cell r="W5"/>
          <cell r="X5"/>
          <cell r="Y5"/>
          <cell r="Z5"/>
          <cell r="AA5"/>
          <cell r="AB5"/>
        </row>
        <row r="6">
          <cell r="B6"/>
          <cell r="C6"/>
          <cell r="D6"/>
          <cell r="E6"/>
          <cell r="F6">
            <v>0.7</v>
          </cell>
          <cell r="G6">
            <v>0.7</v>
          </cell>
          <cell r="H6">
            <v>0.7</v>
          </cell>
          <cell r="I6">
            <v>0.7</v>
          </cell>
          <cell r="J6">
            <v>0.7</v>
          </cell>
          <cell r="K6">
            <v>0.7</v>
          </cell>
          <cell r="L6">
            <v>0.7</v>
          </cell>
          <cell r="M6">
            <v>0.7</v>
          </cell>
          <cell r="N6">
            <v>0.7</v>
          </cell>
          <cell r="O6">
            <v>0.7</v>
          </cell>
          <cell r="P6">
            <v>0.6</v>
          </cell>
          <cell r="Q6">
            <v>0.6</v>
          </cell>
          <cell r="U6"/>
          <cell r="V6"/>
          <cell r="W6"/>
          <cell r="X6"/>
          <cell r="Y6"/>
          <cell r="Z6"/>
          <cell r="AA6"/>
          <cell r="AB6"/>
        </row>
        <row r="7">
          <cell r="B7"/>
          <cell r="C7"/>
          <cell r="D7"/>
          <cell r="E7"/>
          <cell r="F7">
            <v>78</v>
          </cell>
          <cell r="G7">
            <v>47</v>
          </cell>
          <cell r="H7">
            <v>45</v>
          </cell>
          <cell r="I7">
            <v>74</v>
          </cell>
          <cell r="J7">
            <v>144</v>
          </cell>
          <cell r="K7">
            <v>76</v>
          </cell>
          <cell r="L7">
            <v>57</v>
          </cell>
          <cell r="M7">
            <v>67</v>
          </cell>
          <cell r="N7">
            <v>88</v>
          </cell>
          <cell r="O7">
            <v>77</v>
          </cell>
          <cell r="P7">
            <v>42</v>
          </cell>
          <cell r="Q7">
            <v>24</v>
          </cell>
          <cell r="U7"/>
          <cell r="V7"/>
          <cell r="W7"/>
          <cell r="X7"/>
          <cell r="Y7"/>
          <cell r="Z7"/>
          <cell r="AA7"/>
          <cell r="AB7"/>
        </row>
        <row r="8">
          <cell r="B8"/>
          <cell r="C8"/>
          <cell r="D8"/>
          <cell r="E8"/>
          <cell r="F8">
            <v>5</v>
          </cell>
          <cell r="G8">
            <v>3</v>
          </cell>
          <cell r="H8">
            <v>-3</v>
          </cell>
          <cell r="I8">
            <v>10</v>
          </cell>
          <cell r="J8">
            <v>-16</v>
          </cell>
          <cell r="K8">
            <v>-10</v>
          </cell>
          <cell r="L8">
            <v>26</v>
          </cell>
          <cell r="M8">
            <v>8</v>
          </cell>
          <cell r="N8">
            <v>0</v>
          </cell>
          <cell r="O8">
            <v>35</v>
          </cell>
          <cell r="P8">
            <v>8</v>
          </cell>
          <cell r="Q8">
            <v>-7</v>
          </cell>
          <cell r="U8"/>
          <cell r="V8"/>
          <cell r="W8"/>
          <cell r="X8"/>
          <cell r="Y8"/>
          <cell r="Z8"/>
          <cell r="AA8"/>
          <cell r="AB8"/>
        </row>
        <row r="9">
          <cell r="B9" t="str">
            <v>NOMBRE COMPLETO</v>
          </cell>
          <cell r="C9" t="str">
            <v>VINCULACIÓN</v>
          </cell>
          <cell r="D9" t="str">
            <v>CRÉDITOS DISPONIBLES PARA TFT</v>
          </cell>
          <cell r="E9" t="str">
            <v>CRÉDITOS ASIGNADOS</v>
          </cell>
          <cell r="F9" t="str">
            <v>MBIF</v>
          </cell>
          <cell r="G9" t="str">
            <v>MGER</v>
          </cell>
          <cell r="H9" t="str">
            <v>MBIO</v>
          </cell>
          <cell r="I9" t="str">
            <v>MDGC</v>
          </cell>
          <cell r="J9" t="str">
            <v>MBIF</v>
          </cell>
          <cell r="K9" t="str">
            <v>MBIO</v>
          </cell>
          <cell r="L9" t="str">
            <v>MDRO</v>
          </cell>
          <cell r="M9" t="str">
            <v>MGER</v>
          </cell>
          <cell r="N9" t="str">
            <v>MDGC</v>
          </cell>
          <cell r="O9" t="str">
            <v>MNUC</v>
          </cell>
          <cell r="P9" t="str">
            <v>MSAN</v>
          </cell>
          <cell r="Q9" t="str">
            <v>MUNO</v>
          </cell>
          <cell r="U9"/>
          <cell r="V9"/>
          <cell r="W9"/>
          <cell r="X9"/>
          <cell r="Y9"/>
          <cell r="Z9"/>
          <cell r="AA9"/>
          <cell r="AB9"/>
        </row>
        <row r="10">
          <cell r="B10" t="str">
            <v>Abarca Torralba, Mari Carmen</v>
          </cell>
          <cell r="C10" t="str">
            <v>Labour</v>
          </cell>
          <cell r="D10">
            <v>6</v>
          </cell>
          <cell r="E10">
            <v>5.6</v>
          </cell>
          <cell r="F10"/>
          <cell r="G10"/>
          <cell r="I10">
            <v>4</v>
          </cell>
          <cell r="J10"/>
          <cell r="K10"/>
          <cell r="L10"/>
          <cell r="M10"/>
          <cell r="N10">
            <v>4</v>
          </cell>
          <cell r="O10"/>
          <cell r="P10"/>
          <cell r="U10" t="str">
            <v>MDGC</v>
          </cell>
          <cell r="V10" t="str">
            <v>MDGC</v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</row>
        <row r="11">
          <cell r="B11" t="str">
            <v>Acosta González, Paola</v>
          </cell>
          <cell r="C11" t="str">
            <v>Labour</v>
          </cell>
          <cell r="D11">
            <v>6</v>
          </cell>
          <cell r="E11">
            <v>4.1999999999999993</v>
          </cell>
          <cell r="O11">
            <v>6</v>
          </cell>
          <cell r="U11" t="str">
            <v>MNUC</v>
          </cell>
          <cell r="V11" t="str">
            <v>MNUC</v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</row>
        <row r="12">
          <cell r="B12" t="str">
            <v>Araos Gómez, Pedro Fernando</v>
          </cell>
          <cell r="C12" t="str">
            <v>Labour</v>
          </cell>
          <cell r="D12">
            <v>39.83</v>
          </cell>
          <cell r="E12">
            <v>0</v>
          </cell>
          <cell r="O12">
            <v>0</v>
          </cell>
          <cell r="U12" t="str">
            <v>MNUC</v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</row>
        <row r="13">
          <cell r="B13" t="str">
            <v>Arce Recatalá, Cristina</v>
          </cell>
          <cell r="C13" t="str">
            <v>Labour</v>
          </cell>
          <cell r="D13" t="e">
            <v>#VALUE!</v>
          </cell>
          <cell r="E13">
            <v>0.7</v>
          </cell>
          <cell r="F13"/>
          <cell r="H13">
            <v>1</v>
          </cell>
          <cell r="I13"/>
          <cell r="J13"/>
          <cell r="K13">
            <v>0</v>
          </cell>
          <cell r="N13"/>
          <cell r="U13" t="str">
            <v>MBIO</v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</row>
        <row r="14">
          <cell r="B14" t="str">
            <v>Bartolomé del Pino, Leticia Elisa</v>
          </cell>
          <cell r="C14" t="str">
            <v>Labour</v>
          </cell>
          <cell r="D14">
            <v>7</v>
          </cell>
          <cell r="E14">
            <v>7</v>
          </cell>
          <cell r="F14"/>
          <cell r="H14">
            <v>5</v>
          </cell>
          <cell r="I14"/>
          <cell r="J14"/>
          <cell r="K14">
            <v>5</v>
          </cell>
          <cell r="N14"/>
          <cell r="U14" t="str">
            <v>MBIO</v>
          </cell>
          <cell r="V14" t="str">
            <v>MBIO</v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</row>
        <row r="15">
          <cell r="B15" t="str">
            <v>Belda Ferri, Lorena</v>
          </cell>
          <cell r="C15" t="str">
            <v>Labour</v>
          </cell>
          <cell r="D15">
            <v>15</v>
          </cell>
          <cell r="E15">
            <v>4.1999999999999993</v>
          </cell>
          <cell r="L15">
            <v>6</v>
          </cell>
          <cell r="U15" t="str">
            <v>MDRO</v>
          </cell>
          <cell r="V15" t="str">
            <v>MDRO</v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</row>
        <row r="16">
          <cell r="B16" t="str">
            <v>Benito Ballesteros, Álvaro</v>
          </cell>
          <cell r="C16" t="str">
            <v>Labour</v>
          </cell>
          <cell r="D16">
            <v>33.5</v>
          </cell>
          <cell r="E16">
            <v>1.4</v>
          </cell>
          <cell r="M16">
            <v>2</v>
          </cell>
          <cell r="U16" t="str">
            <v>MGER</v>
          </cell>
          <cell r="V16" t="str">
            <v>MSAN</v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</row>
        <row r="17">
          <cell r="B17" t="str">
            <v>Bezos Roseñada, Laura</v>
          </cell>
          <cell r="C17" t="str">
            <v>Labour</v>
          </cell>
          <cell r="D17">
            <v>3</v>
          </cell>
          <cell r="E17">
            <v>2.8</v>
          </cell>
          <cell r="F17"/>
          <cell r="H17"/>
          <cell r="I17">
            <v>1</v>
          </cell>
          <cell r="J17"/>
          <cell r="K17"/>
          <cell r="N17">
            <v>3</v>
          </cell>
          <cell r="U17" t="str">
            <v>MDGC</v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</row>
        <row r="18">
          <cell r="B18" t="str">
            <v>Blanco Núñez, Basilio</v>
          </cell>
          <cell r="C18" t="str">
            <v>Labour</v>
          </cell>
          <cell r="D18">
            <v>27</v>
          </cell>
          <cell r="E18">
            <v>0</v>
          </cell>
          <cell r="U18" t="str">
            <v>MDRO</v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 t="str">
            <v/>
          </cell>
        </row>
        <row r="19">
          <cell r="B19" t="str">
            <v>Borao Zabala, Luis</v>
          </cell>
          <cell r="C19" t="str">
            <v>Labour</v>
          </cell>
          <cell r="D19">
            <v>50</v>
          </cell>
          <cell r="E19">
            <v>1.4</v>
          </cell>
          <cell r="L19">
            <v>2</v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/>
        </row>
        <row r="20">
          <cell r="B20" t="str">
            <v>Cairós González, Mariana Elena</v>
          </cell>
          <cell r="C20" t="str">
            <v>Labour</v>
          </cell>
          <cell r="D20">
            <v>5.8000000000000007</v>
          </cell>
          <cell r="E20">
            <v>2.8</v>
          </cell>
          <cell r="O20">
            <v>4</v>
          </cell>
          <cell r="U20" t="str">
            <v>MNUC</v>
          </cell>
          <cell r="V20" t="str">
            <v>MPIM</v>
          </cell>
          <cell r="W20" t="str">
            <v/>
          </cell>
          <cell r="X20" t="str">
            <v/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</row>
        <row r="21">
          <cell r="B21" t="str">
            <v>Casaña Mohedo, Jorge</v>
          </cell>
          <cell r="C21" t="str">
            <v>Labour</v>
          </cell>
          <cell r="D21">
            <v>1</v>
          </cell>
          <cell r="E21">
            <v>1.4</v>
          </cell>
          <cell r="F21"/>
          <cell r="H21">
            <v>1</v>
          </cell>
          <cell r="I21"/>
          <cell r="J21"/>
          <cell r="K21">
            <v>1</v>
          </cell>
          <cell r="N21"/>
          <cell r="U21" t="str">
            <v>MBIO</v>
          </cell>
          <cell r="V21" t="str">
            <v>MBIO</v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/>
          </cell>
          <cell r="AB21" t="str">
            <v/>
          </cell>
          <cell r="AC21" t="str">
            <v/>
          </cell>
        </row>
        <row r="22">
          <cell r="B22" t="str">
            <v>Castañ Navarro, Isabel</v>
          </cell>
          <cell r="C22" t="str">
            <v>Labour</v>
          </cell>
          <cell r="D22">
            <v>1.7000000000000031</v>
          </cell>
          <cell r="E22">
            <v>2.8</v>
          </cell>
          <cell r="I22"/>
          <cell r="N22">
            <v>4</v>
          </cell>
          <cell r="Q22"/>
          <cell r="R22"/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 t="str">
            <v/>
          </cell>
        </row>
        <row r="23">
          <cell r="B23" t="str">
            <v>Castiñeira Reis, Marta</v>
          </cell>
          <cell r="C23" t="str">
            <v>Labour</v>
          </cell>
          <cell r="D23">
            <v>2</v>
          </cell>
          <cell r="E23">
            <v>2.1</v>
          </cell>
          <cell r="F23"/>
          <cell r="H23"/>
          <cell r="I23"/>
          <cell r="J23">
            <v>3</v>
          </cell>
          <cell r="K23"/>
          <cell r="N23"/>
          <cell r="Q23"/>
          <cell r="U23" t="str">
            <v>MBIF</v>
          </cell>
          <cell r="V23" t="str">
            <v>MBIF</v>
          </cell>
          <cell r="W23" t="str">
            <v>MBIF</v>
          </cell>
          <cell r="X23" t="str">
            <v/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 t="str">
            <v/>
          </cell>
        </row>
        <row r="24">
          <cell r="B24" t="str">
            <v>Chorén Rodríguez, Susana</v>
          </cell>
          <cell r="C24" t="str">
            <v>Labour</v>
          </cell>
          <cell r="D24">
            <v>4</v>
          </cell>
          <cell r="E24">
            <v>4.1999999999999993</v>
          </cell>
          <cell r="L24">
            <v>6</v>
          </cell>
          <cell r="U24" t="str">
            <v>MDRO</v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</row>
        <row r="25">
          <cell r="B25" t="str">
            <v>Cinalli Ramírez, Carina</v>
          </cell>
          <cell r="C25" t="str">
            <v>Labour</v>
          </cell>
          <cell r="D25">
            <v>32</v>
          </cell>
          <cell r="E25">
            <v>0</v>
          </cell>
          <cell r="F25"/>
          <cell r="H25"/>
          <cell r="I25"/>
          <cell r="J25"/>
          <cell r="K25"/>
          <cell r="N25"/>
          <cell r="U25" t="str">
            <v>MGER</v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</row>
        <row r="26">
          <cell r="B26" t="str">
            <v>Compañ Bertomeu, Álvaro</v>
          </cell>
          <cell r="C26" t="str">
            <v>Labour</v>
          </cell>
          <cell r="D26">
            <v>-2.9</v>
          </cell>
          <cell r="E26">
            <v>1.4</v>
          </cell>
          <cell r="F26"/>
          <cell r="H26">
            <v>2</v>
          </cell>
          <cell r="K26">
            <v>0</v>
          </cell>
          <cell r="N26"/>
          <cell r="Q26"/>
          <cell r="R26" t="str">
            <v>no se laboraliza hasta abril</v>
          </cell>
          <cell r="U26" t="str">
            <v>MBIO</v>
          </cell>
          <cell r="V26" t="str">
            <v>MBIO</v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</row>
        <row r="27">
          <cell r="B27" t="str">
            <v>De Anzola Guerra, Miren Zuriñe</v>
          </cell>
          <cell r="C27" t="str">
            <v>Labour</v>
          </cell>
          <cell r="D27">
            <v>0</v>
          </cell>
          <cell r="E27">
            <v>0</v>
          </cell>
          <cell r="U27" t="str">
            <v>MGER</v>
          </cell>
          <cell r="V27" t="str">
            <v>MGER</v>
          </cell>
          <cell r="W27" t="str">
            <v/>
          </cell>
          <cell r="X27" t="str">
            <v/>
          </cell>
          <cell r="Y27" t="str">
            <v/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</row>
        <row r="28">
          <cell r="B28" t="str">
            <v>de la Rosa Gámiz, María Dolores</v>
          </cell>
          <cell r="C28" t="str">
            <v>Labour</v>
          </cell>
          <cell r="D28">
            <v>50</v>
          </cell>
          <cell r="E28">
            <v>0.7</v>
          </cell>
          <cell r="O28">
            <v>1</v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</row>
        <row r="29">
          <cell r="B29" t="str">
            <v>Del Saz Lara, Andrea</v>
          </cell>
          <cell r="C29" t="str">
            <v>Labour</v>
          </cell>
          <cell r="D29" t="e">
            <v>#VALUE!</v>
          </cell>
          <cell r="E29">
            <v>0</v>
          </cell>
          <cell r="F29"/>
          <cell r="H29"/>
          <cell r="I29"/>
          <cell r="J29"/>
          <cell r="K29"/>
          <cell r="N29"/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</row>
        <row r="30">
          <cell r="B30" t="str">
            <v>Del Saz Navarro, Dulcenombre de María</v>
          </cell>
          <cell r="C30" t="str">
            <v>Labour</v>
          </cell>
          <cell r="D30">
            <v>7</v>
          </cell>
          <cell r="E30">
            <v>7</v>
          </cell>
          <cell r="H30"/>
          <cell r="I30"/>
          <cell r="J30">
            <v>10</v>
          </cell>
          <cell r="K30"/>
          <cell r="N30"/>
          <cell r="Q30"/>
          <cell r="U30" t="str">
            <v>MBIF</v>
          </cell>
          <cell r="V30" t="str">
            <v>MBIF</v>
          </cell>
          <cell r="W30" t="str">
            <v>MBIF</v>
          </cell>
          <cell r="X30" t="str">
            <v/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</row>
        <row r="31">
          <cell r="B31" t="str">
            <v>Di Serio, Angela</v>
          </cell>
          <cell r="C31" t="str">
            <v>Labour</v>
          </cell>
          <cell r="D31">
            <v>0</v>
          </cell>
          <cell r="E31">
            <v>0</v>
          </cell>
          <cell r="F31"/>
          <cell r="H31"/>
          <cell r="I31"/>
          <cell r="J31"/>
          <cell r="K31"/>
          <cell r="N31"/>
          <cell r="U31" t="str">
            <v>MBIF</v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</row>
        <row r="32">
          <cell r="B32" t="str">
            <v>Díaz Cordobés, José Luis</v>
          </cell>
          <cell r="C32" t="str">
            <v>Labour</v>
          </cell>
          <cell r="D32">
            <v>24</v>
          </cell>
          <cell r="E32">
            <v>0.7</v>
          </cell>
          <cell r="G32">
            <v>1</v>
          </cell>
          <cell r="M32">
            <v>0</v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</row>
        <row r="33">
          <cell r="B33" t="str">
            <v>Díaz Vidal, Tania</v>
          </cell>
          <cell r="C33" t="str">
            <v>Labour</v>
          </cell>
          <cell r="D33">
            <v>3.5</v>
          </cell>
          <cell r="E33">
            <v>3.5</v>
          </cell>
          <cell r="F33">
            <v>2</v>
          </cell>
          <cell r="H33"/>
          <cell r="I33"/>
          <cell r="J33">
            <v>3</v>
          </cell>
          <cell r="K33"/>
          <cell r="N33"/>
          <cell r="Q33"/>
          <cell r="U33" t="str">
            <v>MBIF</v>
          </cell>
          <cell r="V33" t="str">
            <v>MBIF</v>
          </cell>
          <cell r="W33" t="str">
            <v/>
          </cell>
          <cell r="X33" t="str">
            <v/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</row>
        <row r="34">
          <cell r="B34" t="str">
            <v>Duarte Clíments, Gonzalo</v>
          </cell>
          <cell r="C34" t="str">
            <v>Labour</v>
          </cell>
          <cell r="D34" t="e">
            <v>#VALUE!</v>
          </cell>
          <cell r="E34">
            <v>0</v>
          </cell>
          <cell r="F34"/>
          <cell r="H34"/>
          <cell r="I34"/>
          <cell r="J34"/>
          <cell r="K34"/>
          <cell r="N34"/>
          <cell r="U34" t="str">
            <v>MBIO</v>
          </cell>
          <cell r="V34" t="str">
            <v>MBIO</v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</row>
        <row r="35">
          <cell r="B35" t="str">
            <v>Dueñas Zambrana, Carmen</v>
          </cell>
          <cell r="C35" t="str">
            <v>Labour</v>
          </cell>
          <cell r="D35">
            <v>12</v>
          </cell>
          <cell r="E35">
            <v>5.8</v>
          </cell>
          <cell r="M35">
            <v>4</v>
          </cell>
          <cell r="P35">
            <v>5</v>
          </cell>
          <cell r="U35" t="str">
            <v>MSAN</v>
          </cell>
          <cell r="V35" t="str">
            <v/>
          </cell>
          <cell r="W35" t="str">
            <v/>
          </cell>
          <cell r="X35" t="str">
            <v/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</row>
        <row r="36">
          <cell r="B36" t="str">
            <v>Escobar Vicent, Alejandro</v>
          </cell>
          <cell r="C36" t="str">
            <v>Labour</v>
          </cell>
          <cell r="D36">
            <v>14</v>
          </cell>
          <cell r="E36">
            <v>0</v>
          </cell>
          <cell r="F36"/>
          <cell r="H36"/>
          <cell r="I36"/>
          <cell r="J36"/>
          <cell r="K36"/>
          <cell r="N36"/>
          <cell r="U36" t="str">
            <v>MBIO</v>
          </cell>
          <cell r="V36" t="str">
            <v>MBIO</v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</row>
        <row r="37">
          <cell r="B37" t="str">
            <v>Eslava Pérez, Dalila</v>
          </cell>
          <cell r="C37" t="str">
            <v>Labour</v>
          </cell>
          <cell r="D37">
            <v>-2.16</v>
          </cell>
          <cell r="E37">
            <v>0.7</v>
          </cell>
          <cell r="L37">
            <v>1</v>
          </cell>
          <cell r="U37" t="str">
            <v>MDRO</v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</row>
        <row r="38">
          <cell r="B38" t="str">
            <v>Fayos Monfort, Isabel</v>
          </cell>
          <cell r="C38" t="str">
            <v>Labour</v>
          </cell>
          <cell r="D38">
            <v>0</v>
          </cell>
          <cell r="E38">
            <v>0</v>
          </cell>
          <cell r="F38"/>
          <cell r="H38"/>
          <cell r="I38"/>
          <cell r="J38"/>
          <cell r="K38"/>
          <cell r="N38"/>
          <cell r="U38" t="str">
            <v>MBIF</v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</row>
        <row r="39">
          <cell r="B39" t="str">
            <v>Fernández Alcaraz, Camino</v>
          </cell>
          <cell r="C39" t="str">
            <v>Labour</v>
          </cell>
          <cell r="D39">
            <v>48</v>
          </cell>
          <cell r="E39">
            <v>0</v>
          </cell>
          <cell r="U39" t="str">
            <v>MNUC</v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</row>
        <row r="40">
          <cell r="B40" t="str">
            <v>Fernández Dolón, Juan</v>
          </cell>
          <cell r="C40" t="str">
            <v>Labour</v>
          </cell>
          <cell r="D40">
            <v>2</v>
          </cell>
          <cell r="E40">
            <v>2.8</v>
          </cell>
          <cell r="F40"/>
          <cell r="H40"/>
          <cell r="I40">
            <v>2</v>
          </cell>
          <cell r="J40"/>
          <cell r="K40"/>
          <cell r="N40">
            <v>2</v>
          </cell>
          <cell r="U40" t="str">
            <v>MDGC</v>
          </cell>
          <cell r="V40" t="str">
            <v>MDGC</v>
          </cell>
          <cell r="W40" t="str">
            <v>MDGC</v>
          </cell>
          <cell r="X40" t="str">
            <v>MDGC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</row>
        <row r="41">
          <cell r="B41" t="str">
            <v>Fernández Fillol, Carmen</v>
          </cell>
          <cell r="C41" t="str">
            <v>Labour</v>
          </cell>
          <cell r="D41">
            <v>46.1</v>
          </cell>
          <cell r="E41">
            <v>0</v>
          </cell>
          <cell r="U41" t="str">
            <v>MNUC</v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</row>
        <row r="42">
          <cell r="B42" t="str">
            <v>García Pérez, Icíar</v>
          </cell>
          <cell r="C42" t="str">
            <v>Labour</v>
          </cell>
          <cell r="D42">
            <v>7.2999999999999972</v>
          </cell>
          <cell r="E42">
            <v>7</v>
          </cell>
          <cell r="F42"/>
          <cell r="H42"/>
          <cell r="I42">
            <v>5</v>
          </cell>
          <cell r="J42"/>
          <cell r="K42"/>
          <cell r="N42">
            <v>5</v>
          </cell>
          <cell r="U42" t="str">
            <v>MDGC</v>
          </cell>
          <cell r="V42" t="str">
            <v>MDGC</v>
          </cell>
          <cell r="W42" t="str">
            <v>MDGC</v>
          </cell>
          <cell r="X42" t="str">
            <v>MDGC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</row>
        <row r="43">
          <cell r="B43" t="str">
            <v>García Tejedor, Aurora</v>
          </cell>
          <cell r="C43" t="str">
            <v>Labour</v>
          </cell>
          <cell r="D43">
            <v>-14.3</v>
          </cell>
          <cell r="E43">
            <v>0</v>
          </cell>
          <cell r="F43"/>
          <cell r="H43"/>
          <cell r="I43"/>
          <cell r="J43"/>
          <cell r="K43"/>
          <cell r="N43"/>
          <cell r="U43" t="str">
            <v>MDGC</v>
          </cell>
          <cell r="V43" t="str">
            <v>MDGC</v>
          </cell>
          <cell r="W43" t="str">
            <v>MDGC</v>
          </cell>
          <cell r="X43" t="str">
            <v>MDGC</v>
          </cell>
          <cell r="Y43" t="str">
            <v>MDGC</v>
          </cell>
          <cell r="Z43" t="str">
            <v>MDGC</v>
          </cell>
          <cell r="AA43" t="str">
            <v/>
          </cell>
          <cell r="AB43" t="str">
            <v/>
          </cell>
          <cell r="AC43" t="str">
            <v/>
          </cell>
        </row>
        <row r="44">
          <cell r="B44" t="str">
            <v>García Vela, Sara</v>
          </cell>
          <cell r="C44" t="str">
            <v>Labour</v>
          </cell>
          <cell r="D44" t="e">
            <v>#VALUE!</v>
          </cell>
          <cell r="E44">
            <v>0</v>
          </cell>
          <cell r="F44"/>
          <cell r="H44"/>
          <cell r="I44"/>
          <cell r="Q44"/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</row>
        <row r="45">
          <cell r="B45" t="str">
            <v>Garrido Chaves, Ruth</v>
          </cell>
          <cell r="C45" t="str">
            <v>Labour</v>
          </cell>
          <cell r="D45">
            <v>44</v>
          </cell>
          <cell r="E45">
            <v>0.7</v>
          </cell>
          <cell r="O45">
            <v>1</v>
          </cell>
          <cell r="U45" t="str">
            <v>MNUC</v>
          </cell>
          <cell r="V45" t="str">
            <v/>
          </cell>
          <cell r="W45" t="str">
            <v/>
          </cell>
          <cell r="X45" t="str">
            <v/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</row>
        <row r="46">
          <cell r="B46" t="str">
            <v>Gea Caballero, Vicente Antonio</v>
          </cell>
          <cell r="C46" t="str">
            <v>Labour</v>
          </cell>
          <cell r="D46">
            <v>5.3</v>
          </cell>
          <cell r="E46">
            <v>0.7</v>
          </cell>
          <cell r="F46"/>
          <cell r="H46"/>
          <cell r="I46"/>
          <cell r="J46"/>
          <cell r="K46">
            <v>1</v>
          </cell>
          <cell r="N46"/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</row>
        <row r="47">
          <cell r="B47" t="str">
            <v>Gil Bernabé, Sara</v>
          </cell>
          <cell r="C47" t="str">
            <v>Labour</v>
          </cell>
          <cell r="D47">
            <v>-10.6</v>
          </cell>
          <cell r="E47">
            <v>1.8</v>
          </cell>
          <cell r="F47"/>
          <cell r="Q47">
            <v>3</v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</row>
        <row r="48">
          <cell r="B48" t="str">
            <v>Gómez Martínez, Sandra</v>
          </cell>
          <cell r="C48" t="str">
            <v>Labour</v>
          </cell>
          <cell r="D48">
            <v>3</v>
          </cell>
          <cell r="E48">
            <v>1.4</v>
          </cell>
          <cell r="N48">
            <v>2</v>
          </cell>
          <cell r="U48" t="str">
            <v>MDGC</v>
          </cell>
          <cell r="V48" t="str">
            <v/>
          </cell>
          <cell r="W48" t="str">
            <v/>
          </cell>
          <cell r="X48" t="str">
            <v/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</row>
        <row r="49">
          <cell r="B49" t="str">
            <v>Guillem Saiz, Javier</v>
          </cell>
          <cell r="C49" t="str">
            <v>Labour</v>
          </cell>
          <cell r="D49">
            <v>36</v>
          </cell>
          <cell r="E49">
            <v>1.4</v>
          </cell>
          <cell r="M49">
            <v>2</v>
          </cell>
          <cell r="U49" t="str">
            <v>MGER</v>
          </cell>
          <cell r="V49" t="str">
            <v>MGER</v>
          </cell>
          <cell r="W49" t="str">
            <v>MGER</v>
          </cell>
          <cell r="X49" t="str">
            <v/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</row>
        <row r="50">
          <cell r="B50" t="str">
            <v>Gutiérrez Macías, Laura</v>
          </cell>
          <cell r="C50" t="str">
            <v>Labour</v>
          </cell>
          <cell r="D50">
            <v>4</v>
          </cell>
          <cell r="E50">
            <v>4.1999999999999993</v>
          </cell>
          <cell r="F50">
            <v>4</v>
          </cell>
          <cell r="H50"/>
          <cell r="I50"/>
          <cell r="J50">
            <v>2</v>
          </cell>
          <cell r="K50"/>
          <cell r="N50"/>
          <cell r="U50"/>
          <cell r="V50"/>
          <cell r="W50"/>
          <cell r="X50"/>
          <cell r="Y50"/>
          <cell r="Z50"/>
          <cell r="AA50"/>
          <cell r="AB50"/>
          <cell r="AC50"/>
        </row>
        <row r="51">
          <cell r="B51" t="str">
            <v>Hernández Sánchez, Francisco Esteban</v>
          </cell>
          <cell r="C51" t="str">
            <v>Labour</v>
          </cell>
          <cell r="D51">
            <v>0</v>
          </cell>
          <cell r="E51">
            <v>0</v>
          </cell>
          <cell r="F51"/>
          <cell r="H51"/>
          <cell r="I51"/>
          <cell r="J51"/>
          <cell r="K51"/>
          <cell r="N51"/>
          <cell r="U51" t="str">
            <v>MBIO</v>
          </cell>
          <cell r="V51" t="str">
            <v>MBIO</v>
          </cell>
          <cell r="W51" t="str">
            <v/>
          </cell>
          <cell r="X51" t="str">
            <v/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</row>
        <row r="52">
          <cell r="B52" t="str">
            <v>Herrera Pérez, Salvador</v>
          </cell>
          <cell r="C52" t="str">
            <v>Labour</v>
          </cell>
          <cell r="D52">
            <v>25.2</v>
          </cell>
          <cell r="E52">
            <v>2.1</v>
          </cell>
          <cell r="O52">
            <v>3</v>
          </cell>
          <cell r="U52" t="str">
            <v>MNUC</v>
          </cell>
          <cell r="V52" t="str">
            <v>MNUC</v>
          </cell>
          <cell r="W52" t="str">
            <v/>
          </cell>
          <cell r="X52" t="str">
            <v/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</row>
        <row r="53">
          <cell r="B53" t="str">
            <v>Hmadcha Afif, Abdelkrim</v>
          </cell>
          <cell r="C53" t="str">
            <v>Labour</v>
          </cell>
          <cell r="D53">
            <v>-4.0999999999999996</v>
          </cell>
          <cell r="E53">
            <v>1.4</v>
          </cell>
          <cell r="F53"/>
          <cell r="H53">
            <v>1</v>
          </cell>
          <cell r="I53"/>
          <cell r="J53"/>
          <cell r="K53">
            <v>1</v>
          </cell>
          <cell r="N53"/>
          <cell r="U53" t="str">
            <v>MBIO</v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</row>
        <row r="54">
          <cell r="B54" t="str">
            <v>Iantzi Vicente, Stella</v>
          </cell>
          <cell r="C54" t="str">
            <v>Labour</v>
          </cell>
          <cell r="D54">
            <v>3.399999999999999</v>
          </cell>
          <cell r="E54">
            <v>2.7</v>
          </cell>
          <cell r="G54">
            <v>2</v>
          </cell>
          <cell r="M54">
            <v>1</v>
          </cell>
          <cell r="P54">
            <v>1</v>
          </cell>
          <cell r="U54" t="str">
            <v>MGER</v>
          </cell>
          <cell r="V54" t="str">
            <v>MGER</v>
          </cell>
          <cell r="W54" t="str">
            <v>MGER</v>
          </cell>
          <cell r="X54" t="str">
            <v>MGER</v>
          </cell>
          <cell r="Y54" t="str">
            <v>MGER</v>
          </cell>
          <cell r="Z54" t="str">
            <v>MGER</v>
          </cell>
          <cell r="AA54" t="str">
            <v>MGER</v>
          </cell>
          <cell r="AB54" t="str">
            <v>MSAN</v>
          </cell>
          <cell r="AC54" t="str">
            <v>MSAN</v>
          </cell>
        </row>
        <row r="55">
          <cell r="B55" t="str">
            <v>Lairón Peris, Maria</v>
          </cell>
          <cell r="C55" t="str">
            <v>Labour</v>
          </cell>
          <cell r="D55">
            <v>6</v>
          </cell>
          <cell r="E55">
            <v>6.2999999999999989</v>
          </cell>
          <cell r="F55">
            <v>7</v>
          </cell>
          <cell r="H55"/>
          <cell r="I55"/>
          <cell r="J55">
            <v>2</v>
          </cell>
          <cell r="K55"/>
          <cell r="N55"/>
          <cell r="U55"/>
          <cell r="V55"/>
          <cell r="W55"/>
          <cell r="X55"/>
          <cell r="Y55"/>
          <cell r="Z55"/>
          <cell r="AA55"/>
          <cell r="AB55"/>
          <cell r="AC55"/>
        </row>
        <row r="56">
          <cell r="B56" t="str">
            <v>Leal Quiñones, Alejandro</v>
          </cell>
          <cell r="C56" t="str">
            <v>Labour</v>
          </cell>
          <cell r="D56">
            <v>38</v>
          </cell>
          <cell r="E56">
            <v>0</v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/>
          </cell>
          <cell r="AB56" t="str">
            <v/>
          </cell>
          <cell r="AC56" t="str">
            <v/>
          </cell>
        </row>
        <row r="57">
          <cell r="B57" t="str">
            <v>Lillo Crespo, Manuel</v>
          </cell>
          <cell r="C57" t="str">
            <v>Labour</v>
          </cell>
          <cell r="D57">
            <v>-5.5</v>
          </cell>
          <cell r="E57">
            <v>3.5</v>
          </cell>
          <cell r="F57"/>
          <cell r="H57"/>
          <cell r="I57">
            <v>2</v>
          </cell>
          <cell r="J57"/>
          <cell r="K57"/>
          <cell r="N57">
            <v>3</v>
          </cell>
          <cell r="Q57"/>
          <cell r="U57" t="str">
            <v>MDGC</v>
          </cell>
          <cell r="V57" t="str">
            <v>MDGC</v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/>
          </cell>
          <cell r="AB57" t="str">
            <v/>
          </cell>
          <cell r="AC57" t="str">
            <v/>
          </cell>
        </row>
        <row r="58">
          <cell r="B58" t="str">
            <v>López García, Gabriel</v>
          </cell>
          <cell r="C58" t="str">
            <v>Labour</v>
          </cell>
          <cell r="D58" t="e">
            <v>#VALUE!</v>
          </cell>
          <cell r="E58">
            <v>0</v>
          </cell>
          <cell r="F58"/>
          <cell r="H58"/>
          <cell r="I58"/>
          <cell r="J58"/>
          <cell r="K58"/>
          <cell r="N58"/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/>
          </cell>
          <cell r="AB58" t="str">
            <v/>
          </cell>
          <cell r="AC58" t="str">
            <v/>
          </cell>
        </row>
        <row r="59">
          <cell r="B59" t="str">
            <v>Lozano García, Alejandro</v>
          </cell>
          <cell r="C59" t="str">
            <v>Labour</v>
          </cell>
          <cell r="D59">
            <v>46</v>
          </cell>
          <cell r="E59">
            <v>1.4</v>
          </cell>
          <cell r="O59">
            <v>2</v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/>
          </cell>
          <cell r="AB59" t="str">
            <v/>
          </cell>
          <cell r="AC59" t="str">
            <v/>
          </cell>
        </row>
        <row r="60">
          <cell r="B60" t="str">
            <v>Mariñas Pardo, Luis Antonio</v>
          </cell>
          <cell r="C60" t="str">
            <v>Labour</v>
          </cell>
          <cell r="D60">
            <v>9.9999999999999603E-2</v>
          </cell>
          <cell r="E60">
            <v>5.6</v>
          </cell>
          <cell r="F60"/>
          <cell r="H60">
            <v>3</v>
          </cell>
          <cell r="I60"/>
          <cell r="J60"/>
          <cell r="K60">
            <v>5</v>
          </cell>
          <cell r="N60"/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/>
          </cell>
          <cell r="AB60" t="str">
            <v/>
          </cell>
          <cell r="AC60" t="str">
            <v/>
          </cell>
        </row>
        <row r="61">
          <cell r="B61" t="str">
            <v>Mármol López, María Isabel</v>
          </cell>
          <cell r="C61" t="str">
            <v>Labour</v>
          </cell>
          <cell r="D61">
            <v>9.3999999999999986</v>
          </cell>
          <cell r="E61">
            <v>7</v>
          </cell>
          <cell r="F61"/>
          <cell r="H61">
            <v>2</v>
          </cell>
          <cell r="I61">
            <v>3</v>
          </cell>
          <cell r="J61"/>
          <cell r="K61">
            <v>2</v>
          </cell>
          <cell r="N61">
            <v>3</v>
          </cell>
          <cell r="U61" t="str">
            <v>MBIO</v>
          </cell>
          <cell r="V61" t="str">
            <v>MBIO</v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/>
          </cell>
          <cell r="AB61" t="str">
            <v/>
          </cell>
          <cell r="AC61" t="str">
            <v/>
          </cell>
        </row>
        <row r="62">
          <cell r="B62" t="str">
            <v>Martínez Varea, Alicia María</v>
          </cell>
          <cell r="C62" t="str">
            <v>Labour</v>
          </cell>
          <cell r="D62">
            <v>0</v>
          </cell>
          <cell r="E62">
            <v>0</v>
          </cell>
          <cell r="F62"/>
          <cell r="H62"/>
          <cell r="I62"/>
          <cell r="J62"/>
          <cell r="K62"/>
          <cell r="N62"/>
          <cell r="U62" t="str">
            <v>MDGC</v>
          </cell>
          <cell r="V62" t="str">
            <v>MDGC</v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/>
          </cell>
          <cell r="AB62" t="str">
            <v/>
          </cell>
          <cell r="AC62" t="str">
            <v/>
          </cell>
        </row>
        <row r="63">
          <cell r="B63" t="str">
            <v>Mateu Mollá, Joaquín</v>
          </cell>
          <cell r="C63" t="str">
            <v>Labour</v>
          </cell>
          <cell r="D63">
            <v>-9.9999999999999603E-2</v>
          </cell>
          <cell r="E63">
            <v>1.4</v>
          </cell>
          <cell r="G63">
            <v>1</v>
          </cell>
          <cell r="M63">
            <v>1</v>
          </cell>
          <cell r="U63" t="str">
            <v>MGER</v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/>
          </cell>
          <cell r="AB63" t="str">
            <v/>
          </cell>
          <cell r="AC63" t="str">
            <v/>
          </cell>
        </row>
        <row r="64">
          <cell r="B64" t="str">
            <v>Mena Romero, Adriana</v>
          </cell>
          <cell r="C64" t="str">
            <v>Labour</v>
          </cell>
          <cell r="D64">
            <v>3.5</v>
          </cell>
          <cell r="E64">
            <v>0</v>
          </cell>
          <cell r="F64"/>
          <cell r="H64"/>
          <cell r="I64"/>
          <cell r="J64"/>
          <cell r="K64"/>
          <cell r="N64"/>
          <cell r="U64" t="str">
            <v>MBIO</v>
          </cell>
          <cell r="V64" t="str">
            <v>MUNO</v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/>
          </cell>
          <cell r="AB64" t="str">
            <v/>
          </cell>
          <cell r="AC64" t="str">
            <v/>
          </cell>
        </row>
        <row r="65">
          <cell r="B65" t="str">
            <v>Mesas Fernández, Javier</v>
          </cell>
          <cell r="C65" t="str">
            <v>Labour</v>
          </cell>
          <cell r="D65">
            <v>7.6999999999999993</v>
          </cell>
          <cell r="E65">
            <v>6</v>
          </cell>
          <cell r="G65">
            <v>3</v>
          </cell>
          <cell r="M65">
            <v>3</v>
          </cell>
          <cell r="P65">
            <v>3</v>
          </cell>
          <cell r="U65" t="str">
            <v>MGER</v>
          </cell>
          <cell r="V65" t="str">
            <v>MGER</v>
          </cell>
          <cell r="W65" t="str">
            <v>MSAN</v>
          </cell>
          <cell r="X65" t="str">
            <v/>
          </cell>
          <cell r="Y65" t="str">
            <v/>
          </cell>
          <cell r="Z65" t="str">
            <v/>
          </cell>
          <cell r="AA65" t="str">
            <v/>
          </cell>
          <cell r="AB65" t="str">
            <v/>
          </cell>
          <cell r="AC65" t="str">
            <v/>
          </cell>
        </row>
        <row r="66">
          <cell r="B66" t="str">
            <v>Moret Alcázar, Rosa María</v>
          </cell>
          <cell r="C66" t="str">
            <v>Labour</v>
          </cell>
          <cell r="D66">
            <v>48</v>
          </cell>
          <cell r="E66">
            <v>0</v>
          </cell>
          <cell r="U66" t="str">
            <v>MGER</v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/>
          </cell>
          <cell r="AB66" t="str">
            <v/>
          </cell>
          <cell r="AC66" t="str">
            <v/>
          </cell>
        </row>
        <row r="67">
          <cell r="B67" t="str">
            <v>Muro Pérez Aradros, Cecilia</v>
          </cell>
          <cell r="C67" t="str">
            <v>Labour</v>
          </cell>
          <cell r="D67">
            <v>41</v>
          </cell>
          <cell r="E67">
            <v>2.1</v>
          </cell>
          <cell r="G67">
            <v>1</v>
          </cell>
          <cell r="M67">
            <v>2</v>
          </cell>
          <cell r="U67" t="str">
            <v>MGER</v>
          </cell>
          <cell r="V67" t="str">
            <v>MGER</v>
          </cell>
          <cell r="W67" t="str">
            <v>MGER</v>
          </cell>
          <cell r="X67" t="str">
            <v/>
          </cell>
          <cell r="Y67" t="str">
            <v/>
          </cell>
          <cell r="Z67" t="str">
            <v/>
          </cell>
          <cell r="AA67" t="str">
            <v/>
          </cell>
          <cell r="AB67" t="str">
            <v/>
          </cell>
          <cell r="AC67" t="str">
            <v/>
          </cell>
        </row>
        <row r="68">
          <cell r="B68" t="str">
            <v>Mut Ronda, Salvador</v>
          </cell>
          <cell r="C68" t="str">
            <v>Labour</v>
          </cell>
          <cell r="D68">
            <v>-5.6</v>
          </cell>
          <cell r="E68">
            <v>5.6</v>
          </cell>
          <cell r="F68"/>
          <cell r="H68">
            <v>4</v>
          </cell>
          <cell r="I68"/>
          <cell r="J68"/>
          <cell r="K68">
            <v>4</v>
          </cell>
          <cell r="N68"/>
          <cell r="U68" t="str">
            <v>MDGC</v>
          </cell>
          <cell r="V68" t="str">
            <v>MDGC</v>
          </cell>
          <cell r="W68" t="str">
            <v/>
          </cell>
          <cell r="X68" t="str">
            <v/>
          </cell>
          <cell r="Y68" t="str">
            <v/>
          </cell>
          <cell r="Z68" t="str">
            <v/>
          </cell>
          <cell r="AA68" t="str">
            <v/>
          </cell>
          <cell r="AB68" t="str">
            <v/>
          </cell>
          <cell r="AC68" t="str">
            <v/>
          </cell>
        </row>
        <row r="69">
          <cell r="B69" t="str">
            <v>Navarro Rubio, Gemma</v>
          </cell>
          <cell r="C69" t="str">
            <v>Labour</v>
          </cell>
          <cell r="D69" t="e">
            <v>#VALUE!</v>
          </cell>
          <cell r="E69">
            <v>0</v>
          </cell>
          <cell r="F69"/>
          <cell r="H69"/>
          <cell r="I69"/>
          <cell r="J69"/>
          <cell r="K69"/>
          <cell r="N69"/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/>
          </cell>
          <cell r="AB69" t="str">
            <v/>
          </cell>
          <cell r="AC69" t="str">
            <v/>
          </cell>
        </row>
        <row r="70">
          <cell r="B70" t="str">
            <v>Navarro Tapia, Elisabet</v>
          </cell>
          <cell r="C70" t="str">
            <v>Labour</v>
          </cell>
          <cell r="D70">
            <v>0.89999999999999902</v>
          </cell>
          <cell r="E70">
            <v>0</v>
          </cell>
          <cell r="F70"/>
          <cell r="H70"/>
          <cell r="I70"/>
          <cell r="J70"/>
          <cell r="K70"/>
          <cell r="N70"/>
          <cell r="U70" t="str">
            <v>MUNO</v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/>
          </cell>
          <cell r="AB70" t="str">
            <v/>
          </cell>
          <cell r="AC70" t="str">
            <v/>
          </cell>
        </row>
        <row r="71">
          <cell r="B71" t="str">
            <v>Francisco Javier Barrio Álvarez</v>
          </cell>
          <cell r="C71" t="e">
            <v>#VALUE!</v>
          </cell>
          <cell r="D71" t="e">
            <v>#VALUE!</v>
          </cell>
          <cell r="E71">
            <v>2.1</v>
          </cell>
          <cell r="J71"/>
          <cell r="M71">
            <v>3</v>
          </cell>
          <cell r="Q71"/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/>
          </cell>
          <cell r="AB71" t="str">
            <v/>
          </cell>
          <cell r="AC71" t="str">
            <v/>
          </cell>
        </row>
        <row r="72">
          <cell r="B72" t="str">
            <v>Nieto Sachica, Juan</v>
          </cell>
          <cell r="C72" t="str">
            <v>Labour</v>
          </cell>
          <cell r="D72">
            <v>-9.4</v>
          </cell>
          <cell r="E72">
            <v>0.6</v>
          </cell>
          <cell r="F72"/>
          <cell r="Q72">
            <v>1</v>
          </cell>
          <cell r="U72" t="str">
            <v>MUNO</v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/>
          </cell>
          <cell r="AB72" t="str">
            <v/>
          </cell>
          <cell r="AC72" t="str">
            <v/>
          </cell>
        </row>
        <row r="73">
          <cell r="B73" t="str">
            <v>Otero Requeijo, Miriam</v>
          </cell>
          <cell r="C73" t="str">
            <v>Labour</v>
          </cell>
          <cell r="D73">
            <v>39.6</v>
          </cell>
          <cell r="E73">
            <v>0.7</v>
          </cell>
          <cell r="L73">
            <v>1</v>
          </cell>
          <cell r="U73" t="str">
            <v>MDRO</v>
          </cell>
          <cell r="V73" t="str">
            <v>MDRO</v>
          </cell>
          <cell r="W73" t="str">
            <v>MDRO</v>
          </cell>
          <cell r="X73" t="str">
            <v/>
          </cell>
          <cell r="Y73" t="str">
            <v/>
          </cell>
          <cell r="Z73" t="str">
            <v/>
          </cell>
          <cell r="AA73" t="str">
            <v/>
          </cell>
          <cell r="AB73" t="str">
            <v/>
          </cell>
          <cell r="AC73" t="str">
            <v/>
          </cell>
        </row>
        <row r="74">
          <cell r="B74" t="str">
            <v>Parejo Pedrajas, Sergi</v>
          </cell>
          <cell r="C74" t="str">
            <v>Labour</v>
          </cell>
          <cell r="D74" t="e">
            <v>#VALUE!</v>
          </cell>
          <cell r="E74">
            <v>0</v>
          </cell>
          <cell r="F74"/>
          <cell r="H74"/>
          <cell r="I74"/>
          <cell r="J74"/>
          <cell r="K74"/>
          <cell r="N74"/>
          <cell r="Q74"/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/>
          </cell>
          <cell r="AB74" t="str">
            <v/>
          </cell>
          <cell r="AC74" t="str">
            <v/>
          </cell>
        </row>
        <row r="75">
          <cell r="B75" t="str">
            <v>Parra Rizo, María Antonia</v>
          </cell>
          <cell r="C75" t="str">
            <v>Labour</v>
          </cell>
          <cell r="D75">
            <v>-0.95000000000000295</v>
          </cell>
          <cell r="E75">
            <v>2.1</v>
          </cell>
          <cell r="G75">
            <v>3</v>
          </cell>
          <cell r="H75"/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/>
          </cell>
          <cell r="AB75" t="str">
            <v/>
          </cell>
          <cell r="AC75" t="str">
            <v/>
          </cell>
        </row>
        <row r="76">
          <cell r="B76" t="str">
            <v>Pedelini Gassmann, Leda</v>
          </cell>
          <cell r="C76" t="str">
            <v>Labour</v>
          </cell>
          <cell r="D76">
            <v>-12</v>
          </cell>
          <cell r="E76">
            <v>0</v>
          </cell>
          <cell r="F76"/>
          <cell r="H76"/>
          <cell r="I76"/>
          <cell r="J76"/>
          <cell r="K76"/>
          <cell r="N76"/>
          <cell r="U76" t="str">
            <v>MBIO</v>
          </cell>
          <cell r="V76" t="str">
            <v>MBIO</v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/>
          </cell>
          <cell r="AB76" t="str">
            <v/>
          </cell>
          <cell r="AC76" t="str">
            <v/>
          </cell>
        </row>
        <row r="77">
          <cell r="B77" t="str">
            <v>Pedrero Tomé, Roberto</v>
          </cell>
          <cell r="C77" t="str">
            <v>Labour</v>
          </cell>
          <cell r="D77">
            <v>2.5</v>
          </cell>
          <cell r="E77">
            <v>2.8</v>
          </cell>
          <cell r="F77"/>
          <cell r="H77"/>
          <cell r="I77"/>
          <cell r="J77">
            <v>4</v>
          </cell>
          <cell r="K77"/>
          <cell r="N77"/>
          <cell r="Q77"/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/>
          </cell>
          <cell r="AB77" t="str">
            <v/>
          </cell>
          <cell r="AC77" t="str">
            <v/>
          </cell>
        </row>
        <row r="78">
          <cell r="B78" t="str">
            <v>Pellín Amorós, María</v>
          </cell>
          <cell r="C78" t="str">
            <v>Labour</v>
          </cell>
          <cell r="D78">
            <v>-5.8</v>
          </cell>
          <cell r="E78">
            <v>1.8</v>
          </cell>
          <cell r="F78"/>
          <cell r="Q78">
            <v>3</v>
          </cell>
          <cell r="U78" t="str">
            <v>MUNO</v>
          </cell>
          <cell r="V78" t="str">
            <v/>
          </cell>
          <cell r="W78" t="str">
            <v/>
          </cell>
          <cell r="X78" t="str">
            <v/>
          </cell>
          <cell r="Y78" t="str">
            <v/>
          </cell>
          <cell r="Z78" t="str">
            <v/>
          </cell>
          <cell r="AA78" t="str">
            <v/>
          </cell>
          <cell r="AB78" t="str">
            <v/>
          </cell>
          <cell r="AC78" t="str">
            <v/>
          </cell>
        </row>
        <row r="79">
          <cell r="B79" t="str">
            <v>Pérez Hernández, Javier</v>
          </cell>
          <cell r="C79" t="str">
            <v>Labour</v>
          </cell>
          <cell r="D79">
            <v>-5.9</v>
          </cell>
          <cell r="E79">
            <v>0</v>
          </cell>
          <cell r="F79"/>
          <cell r="H79"/>
          <cell r="I79"/>
          <cell r="J79"/>
          <cell r="K79"/>
          <cell r="N79"/>
          <cell r="U79" t="str">
            <v>MUNO</v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/>
          </cell>
          <cell r="AB79" t="str">
            <v/>
          </cell>
          <cell r="AC79" t="str">
            <v/>
          </cell>
        </row>
        <row r="80">
          <cell r="B80" t="str">
            <v>Píriz Bartivas, José Luis</v>
          </cell>
          <cell r="C80" t="str">
            <v>Labour</v>
          </cell>
          <cell r="D80">
            <v>-8.3999999999999986</v>
          </cell>
          <cell r="E80">
            <v>1.4</v>
          </cell>
          <cell r="F80"/>
          <cell r="H80">
            <v>1</v>
          </cell>
          <cell r="I80"/>
          <cell r="J80"/>
          <cell r="K80">
            <v>1</v>
          </cell>
          <cell r="N80"/>
          <cell r="U80" t="str">
            <v>MBIO</v>
          </cell>
          <cell r="V80" t="str">
            <v>MBIO</v>
          </cell>
          <cell r="W80" t="str">
            <v/>
          </cell>
          <cell r="X80" t="str">
            <v/>
          </cell>
          <cell r="Y80" t="str">
            <v/>
          </cell>
          <cell r="Z80" t="str">
            <v/>
          </cell>
          <cell r="AA80" t="str">
            <v/>
          </cell>
          <cell r="AB80" t="str">
            <v/>
          </cell>
          <cell r="AC80" t="str">
            <v/>
          </cell>
        </row>
        <row r="81">
          <cell r="B81" t="str">
            <v>Pitarch Albado, Carla</v>
          </cell>
          <cell r="C81" t="str">
            <v>Labour</v>
          </cell>
          <cell r="D81"/>
          <cell r="E81">
            <v>0</v>
          </cell>
          <cell r="Q81"/>
          <cell r="R81"/>
          <cell r="U81" t="str">
            <v/>
          </cell>
          <cell r="V81" t="str">
            <v/>
          </cell>
          <cell r="W81" t="str">
            <v/>
          </cell>
          <cell r="X81" t="str">
            <v/>
          </cell>
          <cell r="Y81" t="str">
            <v/>
          </cell>
          <cell r="Z81" t="str">
            <v/>
          </cell>
          <cell r="AA81" t="str">
            <v/>
          </cell>
          <cell r="AB81" t="str">
            <v/>
          </cell>
          <cell r="AC81" t="str">
            <v/>
          </cell>
        </row>
        <row r="82">
          <cell r="B82" t="str">
            <v>Plaza Moreno, Elena</v>
          </cell>
          <cell r="C82" t="str">
            <v>Labour</v>
          </cell>
          <cell r="D82">
            <v>5.8</v>
          </cell>
          <cell r="E82">
            <v>0</v>
          </cell>
          <cell r="F82"/>
          <cell r="H82"/>
          <cell r="I82"/>
          <cell r="J82"/>
          <cell r="K82"/>
          <cell r="N82"/>
          <cell r="U82" t="str">
            <v>MDGC</v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/>
          </cell>
          <cell r="AB82" t="str">
            <v/>
          </cell>
          <cell r="AC82" t="str">
            <v/>
          </cell>
        </row>
        <row r="83">
          <cell r="B83" t="str">
            <v>Pórcar Gozalbo, Nadia</v>
          </cell>
          <cell r="C83" t="str">
            <v>Labour</v>
          </cell>
          <cell r="D83">
            <v>4.8</v>
          </cell>
          <cell r="E83">
            <v>0</v>
          </cell>
          <cell r="F83"/>
          <cell r="H83"/>
          <cell r="I83"/>
          <cell r="J83"/>
          <cell r="K83"/>
          <cell r="N83"/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/>
          </cell>
          <cell r="AB83" t="str">
            <v/>
          </cell>
          <cell r="AC83" t="str">
            <v/>
          </cell>
        </row>
        <row r="84">
          <cell r="B84" t="str">
            <v>Puig Pérez, Sara</v>
          </cell>
          <cell r="C84" t="str">
            <v>Labour</v>
          </cell>
          <cell r="D84" t="e">
            <v>#VALUE!</v>
          </cell>
          <cell r="E84">
            <v>0</v>
          </cell>
          <cell r="U84" t="str">
            <v>MGER</v>
          </cell>
          <cell r="V84" t="str">
            <v>PEXT</v>
          </cell>
          <cell r="W84" t="str">
            <v>PEXT</v>
          </cell>
          <cell r="X84">
            <v>0</v>
          </cell>
          <cell r="Y84">
            <v>0</v>
          </cell>
          <cell r="Z84" t="str">
            <v>MGER</v>
          </cell>
          <cell r="AA84" t="str">
            <v/>
          </cell>
          <cell r="AB84" t="str">
            <v/>
          </cell>
          <cell r="AC84" t="str">
            <v/>
          </cell>
        </row>
        <row r="85">
          <cell r="B85" t="str">
            <v>Ramiro Mena, Francisco de Borja</v>
          </cell>
          <cell r="C85" t="str">
            <v>Labour</v>
          </cell>
          <cell r="D85">
            <v>4</v>
          </cell>
          <cell r="E85">
            <v>4.2</v>
          </cell>
          <cell r="P85">
            <v>7</v>
          </cell>
          <cell r="U85" t="str">
            <v>MSAN</v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/>
          </cell>
          <cell r="AB85" t="str">
            <v/>
          </cell>
          <cell r="AC85" t="str">
            <v/>
          </cell>
        </row>
        <row r="86">
          <cell r="B86" t="str">
            <v>Ramos Cantó, Juana</v>
          </cell>
          <cell r="C86" t="str">
            <v>Labour</v>
          </cell>
          <cell r="D86">
            <v>3</v>
          </cell>
          <cell r="E86">
            <v>3</v>
          </cell>
          <cell r="P86">
            <v>5</v>
          </cell>
          <cell r="U86" t="str">
            <v>MSAN</v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/>
          </cell>
          <cell r="AB86" t="str">
            <v/>
          </cell>
          <cell r="AC86" t="str">
            <v/>
          </cell>
        </row>
        <row r="87">
          <cell r="B87" t="str">
            <v>Ramos Josa, Pedro Francisco</v>
          </cell>
          <cell r="C87" t="str">
            <v>Labour</v>
          </cell>
          <cell r="D87" t="str">
            <v>0</v>
          </cell>
          <cell r="E87">
            <v>0</v>
          </cell>
          <cell r="F87"/>
          <cell r="H87"/>
          <cell r="I87"/>
          <cell r="J87"/>
          <cell r="K87"/>
          <cell r="N87"/>
          <cell r="U87" t="str">
            <v>MBIO</v>
          </cell>
          <cell r="V87" t="str">
            <v>MBIO</v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/>
          </cell>
          <cell r="AB87" t="str">
            <v/>
          </cell>
          <cell r="AC87" t="str">
            <v/>
          </cell>
        </row>
        <row r="88">
          <cell r="B88" t="str">
            <v>Revenga Frauca, Juan</v>
          </cell>
          <cell r="C88" t="str">
            <v>Labour</v>
          </cell>
          <cell r="D88">
            <v>0.6</v>
          </cell>
          <cell r="E88">
            <v>0</v>
          </cell>
          <cell r="F88"/>
          <cell r="H88"/>
          <cell r="I88"/>
          <cell r="J88"/>
          <cell r="K88"/>
          <cell r="N88"/>
          <cell r="Q88"/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/>
          </cell>
          <cell r="AB88" t="str">
            <v/>
          </cell>
          <cell r="AC88" t="str">
            <v/>
          </cell>
        </row>
        <row r="89">
          <cell r="B89" t="str">
            <v>Ribes Fortanet, Diana</v>
          </cell>
          <cell r="C89" t="str">
            <v>Labour</v>
          </cell>
          <cell r="D89">
            <v>50</v>
          </cell>
          <cell r="E89">
            <v>1.4</v>
          </cell>
          <cell r="O89">
            <v>2</v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/>
          </cell>
          <cell r="AB89" t="str">
            <v/>
          </cell>
          <cell r="AC89" t="str">
            <v/>
          </cell>
        </row>
        <row r="90">
          <cell r="B90" t="str">
            <v>Rodríguez Cobo, Iria</v>
          </cell>
          <cell r="C90" t="str">
            <v>Labour</v>
          </cell>
          <cell r="D90">
            <v>0</v>
          </cell>
          <cell r="E90">
            <v>0</v>
          </cell>
          <cell r="F90"/>
          <cell r="H90"/>
          <cell r="I90"/>
          <cell r="J90"/>
          <cell r="K90"/>
          <cell r="N90"/>
          <cell r="Q90"/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/>
          </cell>
          <cell r="AB90" t="str">
            <v/>
          </cell>
          <cell r="AC90" t="str">
            <v/>
          </cell>
        </row>
        <row r="91">
          <cell r="B91" t="str">
            <v>Rodríguez Hernández, Valerie Nicole</v>
          </cell>
          <cell r="C91" t="str">
            <v>Labour</v>
          </cell>
          <cell r="D91" t="e">
            <v>#VALUE!</v>
          </cell>
          <cell r="E91">
            <v>0</v>
          </cell>
          <cell r="U91" t="str">
            <v>MNUC</v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/>
          </cell>
          <cell r="AB91" t="str">
            <v/>
          </cell>
          <cell r="AC91" t="str">
            <v/>
          </cell>
        </row>
        <row r="92">
          <cell r="B92" t="str">
            <v>Rodríguez Valenzuela, María del Valle</v>
          </cell>
          <cell r="C92" t="str">
            <v>Labour</v>
          </cell>
          <cell r="D92">
            <v>6</v>
          </cell>
          <cell r="E92">
            <v>5.8</v>
          </cell>
          <cell r="G92">
            <v>4</v>
          </cell>
          <cell r="P92">
            <v>5</v>
          </cell>
          <cell r="U92" t="str">
            <v>MSAN</v>
          </cell>
          <cell r="V92" t="str">
            <v>MSAN</v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/>
          </cell>
          <cell r="AB92" t="str">
            <v/>
          </cell>
          <cell r="AC92" t="str">
            <v/>
          </cell>
        </row>
        <row r="93">
          <cell r="B93" t="str">
            <v>Rollán García, Pedro</v>
          </cell>
          <cell r="C93" t="str">
            <v>Labour</v>
          </cell>
          <cell r="D93">
            <v>0</v>
          </cell>
          <cell r="E93">
            <v>0</v>
          </cell>
          <cell r="F93"/>
          <cell r="H93"/>
          <cell r="I93"/>
          <cell r="J93"/>
          <cell r="K93"/>
          <cell r="N93"/>
          <cell r="U93"/>
          <cell r="V93"/>
          <cell r="W93"/>
          <cell r="X93"/>
          <cell r="Y93"/>
          <cell r="Z93"/>
          <cell r="AA93"/>
          <cell r="AB93"/>
          <cell r="AC93"/>
        </row>
        <row r="94">
          <cell r="B94" t="str">
            <v>Rubiño Díaz, José Ángel</v>
          </cell>
          <cell r="C94" t="str">
            <v>Labour</v>
          </cell>
          <cell r="D94">
            <v>15.8</v>
          </cell>
          <cell r="E94">
            <v>4.8999999999999986</v>
          </cell>
          <cell r="G94">
            <v>1</v>
          </cell>
          <cell r="M94">
            <v>2</v>
          </cell>
          <cell r="O94">
            <v>4</v>
          </cell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</row>
        <row r="95">
          <cell r="B95" t="str">
            <v>Rubio Mangas, David</v>
          </cell>
          <cell r="C95" t="str">
            <v>Labour</v>
          </cell>
          <cell r="D95">
            <v>2.8</v>
          </cell>
          <cell r="E95">
            <v>2.8</v>
          </cell>
          <cell r="F95"/>
          <cell r="G95"/>
          <cell r="H95"/>
          <cell r="I95"/>
          <cell r="J95">
            <v>4</v>
          </cell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 t="str">
            <v>MBIF</v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/>
          </cell>
          <cell r="AB95" t="str">
            <v/>
          </cell>
          <cell r="AC95" t="str">
            <v/>
          </cell>
          <cell r="AD95"/>
        </row>
        <row r="96">
          <cell r="B96" t="str">
            <v>Ruiz Figueroa, Ismael</v>
          </cell>
          <cell r="C96" t="str">
            <v>Labour</v>
          </cell>
          <cell r="D96">
            <v>0</v>
          </cell>
          <cell r="E96">
            <v>3</v>
          </cell>
          <cell r="P96">
            <v>5</v>
          </cell>
          <cell r="U96" t="str">
            <v>MSAN</v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/>
          </cell>
          <cell r="AB96" t="str">
            <v/>
          </cell>
          <cell r="AC96" t="str">
            <v/>
          </cell>
        </row>
        <row r="97">
          <cell r="B97" t="str">
            <v>Ruiz Hontangas, Antonio</v>
          </cell>
          <cell r="C97" t="str">
            <v>Labour</v>
          </cell>
          <cell r="D97">
            <v>0</v>
          </cell>
          <cell r="E97">
            <v>0</v>
          </cell>
          <cell r="F97"/>
          <cell r="H97"/>
          <cell r="I97"/>
          <cell r="J97"/>
          <cell r="K97"/>
          <cell r="N97"/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/>
          </cell>
          <cell r="AB97" t="str">
            <v/>
          </cell>
          <cell r="AC97" t="str">
            <v/>
          </cell>
        </row>
        <row r="98">
          <cell r="B98" t="str">
            <v>Ruiz Oliva, Elena</v>
          </cell>
          <cell r="C98" t="str">
            <v>Labour</v>
          </cell>
          <cell r="D98">
            <v>7.2999999999999989</v>
          </cell>
          <cell r="E98">
            <v>2.1</v>
          </cell>
          <cell r="H98">
            <v>1</v>
          </cell>
          <cell r="K98">
            <v>2</v>
          </cell>
          <cell r="Q98"/>
          <cell r="R98"/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/>
          </cell>
          <cell r="AB98" t="str">
            <v/>
          </cell>
          <cell r="AC98" t="str">
            <v/>
          </cell>
        </row>
        <row r="99">
          <cell r="B99" t="str">
            <v>Saa Casal, Alba</v>
          </cell>
          <cell r="C99" t="str">
            <v>Labour</v>
          </cell>
          <cell r="D99">
            <v>7.7</v>
          </cell>
          <cell r="E99">
            <v>4.8999999999999986</v>
          </cell>
          <cell r="F99"/>
          <cell r="H99">
            <v>3</v>
          </cell>
          <cell r="I99"/>
          <cell r="J99"/>
          <cell r="K99">
            <v>4</v>
          </cell>
          <cell r="N99"/>
          <cell r="U99" t="str">
            <v>MBIO</v>
          </cell>
          <cell r="V99" t="str">
            <v>MBIO</v>
          </cell>
          <cell r="W99" t="str">
            <v>MBIO</v>
          </cell>
          <cell r="X99" t="str">
            <v>MBIO</v>
          </cell>
          <cell r="Y99" t="str">
            <v/>
          </cell>
          <cell r="Z99" t="str">
            <v/>
          </cell>
          <cell r="AA99" t="str">
            <v/>
          </cell>
          <cell r="AB99" t="str">
            <v/>
          </cell>
          <cell r="AC99" t="str">
            <v/>
          </cell>
        </row>
        <row r="100">
          <cell r="B100" t="str">
            <v>Salamanca Fernández, Alicia</v>
          </cell>
          <cell r="C100" t="str">
            <v>Labour</v>
          </cell>
          <cell r="D100">
            <v>1.399999999999999</v>
          </cell>
          <cell r="E100">
            <v>1.4</v>
          </cell>
          <cell r="L100">
            <v>2</v>
          </cell>
          <cell r="Q100"/>
          <cell r="R100"/>
          <cell r="S100"/>
          <cell r="T100"/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/>
          </cell>
          <cell r="AB100" t="str">
            <v/>
          </cell>
          <cell r="AC100" t="str">
            <v/>
          </cell>
        </row>
        <row r="101">
          <cell r="B101" t="str">
            <v>Sánchez Hernando, Beatriz</v>
          </cell>
          <cell r="C101" t="str">
            <v>Labour</v>
          </cell>
          <cell r="D101">
            <v>6.5</v>
          </cell>
          <cell r="E101">
            <v>0</v>
          </cell>
          <cell r="F101"/>
          <cell r="H101"/>
          <cell r="I101"/>
          <cell r="J101"/>
          <cell r="K101"/>
          <cell r="N101"/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/>
          </cell>
          <cell r="AB101" t="str">
            <v/>
          </cell>
          <cell r="AC101" t="str">
            <v/>
          </cell>
        </row>
        <row r="102">
          <cell r="B102" t="str">
            <v>Sánchez Solano, Sonia</v>
          </cell>
          <cell r="C102" t="str">
            <v>Labour</v>
          </cell>
          <cell r="D102">
            <v>6</v>
          </cell>
          <cell r="E102">
            <v>0</v>
          </cell>
          <cell r="F102"/>
          <cell r="H102"/>
          <cell r="I102"/>
          <cell r="J102"/>
          <cell r="K102"/>
          <cell r="N102"/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/>
          </cell>
          <cell r="AB102" t="str">
            <v/>
          </cell>
          <cell r="AC102" t="str">
            <v/>
          </cell>
        </row>
        <row r="103">
          <cell r="B103" t="str">
            <v>Sánchez-Toledo Ledesma, Agustín</v>
          </cell>
          <cell r="C103" t="str">
            <v>Labour</v>
          </cell>
          <cell r="D103" t="e">
            <v>#VALUE!</v>
          </cell>
          <cell r="E103">
            <v>0</v>
          </cell>
          <cell r="U103" t="str">
            <v>MGER</v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/>
          </cell>
          <cell r="AB103" t="str">
            <v/>
          </cell>
          <cell r="AC103" t="str">
            <v/>
          </cell>
        </row>
        <row r="104">
          <cell r="B104" t="str">
            <v>Sanz Gómez, Sergio</v>
          </cell>
          <cell r="C104" t="str">
            <v>Labour</v>
          </cell>
          <cell r="D104" t="e">
            <v>#VALUE!</v>
          </cell>
          <cell r="E104">
            <v>0</v>
          </cell>
          <cell r="U104" t="str">
            <v>MNUC</v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/>
          </cell>
          <cell r="AB104" t="str">
            <v/>
          </cell>
          <cell r="AC104" t="str">
            <v/>
          </cell>
        </row>
        <row r="105">
          <cell r="B105" t="str">
            <v>Sarrias Arrabal, Esteban</v>
          </cell>
          <cell r="C105" t="str">
            <v>Labour</v>
          </cell>
          <cell r="D105">
            <v>17.920000000000002</v>
          </cell>
          <cell r="E105">
            <v>1.4</v>
          </cell>
          <cell r="O105">
            <v>2</v>
          </cell>
          <cell r="U105" t="str">
            <v>MNUC</v>
          </cell>
          <cell r="V105" t="str">
            <v>MNUC</v>
          </cell>
          <cell r="W105" t="str">
            <v>MNUC</v>
          </cell>
          <cell r="X105" t="str">
            <v/>
          </cell>
          <cell r="Y105" t="str">
            <v/>
          </cell>
          <cell r="Z105" t="str">
            <v/>
          </cell>
          <cell r="AA105" t="str">
            <v/>
          </cell>
          <cell r="AB105" t="str">
            <v/>
          </cell>
          <cell r="AC105" t="str">
            <v/>
          </cell>
        </row>
        <row r="106">
          <cell r="B106" t="str">
            <v>Seguí López-Peñalver, Raimundo</v>
          </cell>
          <cell r="C106" t="str">
            <v>Labour</v>
          </cell>
          <cell r="D106">
            <v>0</v>
          </cell>
          <cell r="E106">
            <v>0</v>
          </cell>
          <cell r="F106"/>
          <cell r="H106">
            <v>0</v>
          </cell>
          <cell r="I106"/>
          <cell r="J106"/>
          <cell r="K106"/>
          <cell r="N106"/>
          <cell r="U106" t="str">
            <v>MBIO</v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/>
          </cell>
          <cell r="AB106" t="str">
            <v/>
          </cell>
          <cell r="AC106" t="str">
            <v/>
          </cell>
        </row>
        <row r="107">
          <cell r="B107" t="str">
            <v>Sendra Ortola, Miquel</v>
          </cell>
          <cell r="C107" t="str">
            <v>Labour</v>
          </cell>
          <cell r="D107" t="e">
            <v>#VALUE!</v>
          </cell>
          <cell r="E107">
            <v>5.6</v>
          </cell>
          <cell r="F107">
            <v>2</v>
          </cell>
          <cell r="J107">
            <v>6</v>
          </cell>
          <cell r="K107"/>
          <cell r="Q107"/>
          <cell r="R107"/>
          <cell r="U107" t="str">
            <v>MBIF</v>
          </cell>
          <cell r="V107" t="str">
            <v>MBIF</v>
          </cell>
          <cell r="W107" t="str">
            <v>MBIF</v>
          </cell>
          <cell r="X107" t="str">
            <v>MBIF</v>
          </cell>
          <cell r="Y107" t="str">
            <v>MBIF</v>
          </cell>
          <cell r="Z107" t="str">
            <v/>
          </cell>
          <cell r="AA107" t="str">
            <v/>
          </cell>
          <cell r="AB107" t="str">
            <v/>
          </cell>
          <cell r="AC107" t="str">
            <v/>
          </cell>
        </row>
        <row r="108">
          <cell r="B108" t="str">
            <v>Silva López, Mariana</v>
          </cell>
          <cell r="C108" t="str">
            <v>Labour</v>
          </cell>
          <cell r="D108">
            <v>0.6</v>
          </cell>
          <cell r="E108">
            <v>0</v>
          </cell>
          <cell r="F108"/>
          <cell r="H108"/>
          <cell r="I108"/>
          <cell r="J108"/>
          <cell r="K108"/>
          <cell r="N108"/>
          <cell r="U108" t="str">
            <v/>
          </cell>
          <cell r="V108" t="str">
            <v/>
          </cell>
          <cell r="W108" t="str">
            <v/>
          </cell>
          <cell r="X108" t="str">
            <v/>
          </cell>
          <cell r="Y108" t="str">
            <v/>
          </cell>
          <cell r="Z108" t="str">
            <v/>
          </cell>
          <cell r="AA108" t="str">
            <v/>
          </cell>
          <cell r="AB108" t="str">
            <v/>
          </cell>
          <cell r="AC108" t="str">
            <v/>
          </cell>
        </row>
        <row r="109">
          <cell r="B109" t="str">
            <v>Soler Vila, Paula</v>
          </cell>
          <cell r="C109" t="str">
            <v>Labour</v>
          </cell>
          <cell r="D109">
            <v>2.8</v>
          </cell>
          <cell r="E109">
            <v>2.8</v>
          </cell>
          <cell r="F109"/>
          <cell r="H109"/>
          <cell r="I109"/>
          <cell r="J109">
            <v>4</v>
          </cell>
          <cell r="K109"/>
          <cell r="N109"/>
          <cell r="U109"/>
          <cell r="V109"/>
          <cell r="W109"/>
          <cell r="X109"/>
          <cell r="Y109"/>
          <cell r="Z109"/>
          <cell r="AA109"/>
          <cell r="AB109"/>
          <cell r="AC109"/>
        </row>
        <row r="110">
          <cell r="B110" t="str">
            <v>Soria Urios, Gema</v>
          </cell>
          <cell r="C110" t="str">
            <v>Labour</v>
          </cell>
          <cell r="D110">
            <v>32.4</v>
          </cell>
          <cell r="E110">
            <v>1.4</v>
          </cell>
          <cell r="G110">
            <v>1</v>
          </cell>
          <cell r="M110">
            <v>1</v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/>
          </cell>
          <cell r="AB110" t="str">
            <v/>
          </cell>
          <cell r="AC110" t="str">
            <v/>
          </cell>
        </row>
        <row r="111">
          <cell r="B111" t="str">
            <v>Suárez López, María Pilar</v>
          </cell>
          <cell r="C111" t="str">
            <v>Labour</v>
          </cell>
          <cell r="D111">
            <v>17.7</v>
          </cell>
          <cell r="E111">
            <v>0.7</v>
          </cell>
          <cell r="M111">
            <v>1</v>
          </cell>
          <cell r="N111"/>
          <cell r="Q111"/>
          <cell r="R111"/>
          <cell r="S111"/>
          <cell r="T111"/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/>
          </cell>
          <cell r="AB111" t="str">
            <v/>
          </cell>
          <cell r="AC111" t="str">
            <v/>
          </cell>
        </row>
        <row r="112">
          <cell r="B112" t="str">
            <v>Tarazona Santabalbina, Francisco José</v>
          </cell>
          <cell r="C112" t="str">
            <v>Labour</v>
          </cell>
          <cell r="D112" t="e">
            <v>#VALUE!</v>
          </cell>
          <cell r="E112">
            <v>0</v>
          </cell>
          <cell r="U112" t="str">
            <v>MGER</v>
          </cell>
          <cell r="V112" t="str">
            <v>MGER</v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/>
          </cell>
          <cell r="AB112" t="str">
            <v/>
          </cell>
          <cell r="AC112" t="str">
            <v/>
          </cell>
        </row>
        <row r="113">
          <cell r="B113" t="str">
            <v>Tormo Irún, María Pilar</v>
          </cell>
          <cell r="C113" t="str">
            <v>Labour</v>
          </cell>
          <cell r="D113" t="e">
            <v>#VALUE!</v>
          </cell>
          <cell r="E113">
            <v>0</v>
          </cell>
          <cell r="U113" t="str">
            <v>MDRO</v>
          </cell>
          <cell r="V113" t="str">
            <v/>
          </cell>
          <cell r="W113" t="str">
            <v/>
          </cell>
          <cell r="X113" t="str">
            <v/>
          </cell>
          <cell r="Y113" t="str">
            <v/>
          </cell>
          <cell r="Z113" t="str">
            <v/>
          </cell>
          <cell r="AA113" t="str">
            <v/>
          </cell>
          <cell r="AB113" t="str">
            <v/>
          </cell>
          <cell r="AC113" t="str">
            <v/>
          </cell>
        </row>
        <row r="114">
          <cell r="B114"/>
          <cell r="C114" t="e">
            <v>#VALUE!</v>
          </cell>
          <cell r="D114" t="e">
            <v>#VALUE!</v>
          </cell>
          <cell r="E114">
            <v>0</v>
          </cell>
          <cell r="H114"/>
          <cell r="I114"/>
          <cell r="J114"/>
          <cell r="K114"/>
          <cell r="N114"/>
          <cell r="Q114"/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/>
          </cell>
          <cell r="AB114" t="str">
            <v/>
          </cell>
          <cell r="AC114" t="str">
            <v/>
          </cell>
        </row>
        <row r="115">
          <cell r="B115" t="str">
            <v>Torres Martínez, Susana</v>
          </cell>
          <cell r="C115" t="str">
            <v>Labour</v>
          </cell>
          <cell r="D115">
            <v>3</v>
          </cell>
          <cell r="E115">
            <v>3</v>
          </cell>
          <cell r="F115"/>
          <cell r="Q115">
            <v>5</v>
          </cell>
          <cell r="U115" t="str">
            <v>MUNO</v>
          </cell>
          <cell r="V115" t="str">
            <v>MUNO</v>
          </cell>
          <cell r="W115" t="str">
            <v/>
          </cell>
          <cell r="X115" t="str">
            <v/>
          </cell>
          <cell r="Y115" t="str">
            <v/>
          </cell>
          <cell r="Z115" t="str">
            <v/>
          </cell>
          <cell r="AA115" t="str">
            <v/>
          </cell>
          <cell r="AB115" t="str">
            <v/>
          </cell>
          <cell r="AC115" t="str">
            <v/>
          </cell>
        </row>
        <row r="116">
          <cell r="B116" t="str">
            <v>Torres Moral, Teresa</v>
          </cell>
          <cell r="C116" t="str">
            <v>Labour</v>
          </cell>
          <cell r="D116" t="e">
            <v>#VALUE!</v>
          </cell>
          <cell r="E116">
            <v>6.3</v>
          </cell>
          <cell r="F116">
            <v>5</v>
          </cell>
          <cell r="J116">
            <v>4</v>
          </cell>
          <cell r="K116"/>
          <cell r="N116"/>
          <cell r="Q116"/>
          <cell r="U116" t="str">
            <v>MBIF</v>
          </cell>
          <cell r="V116" t="str">
            <v>MBIF</v>
          </cell>
          <cell r="W116" t="str">
            <v>MBIF</v>
          </cell>
          <cell r="X116" t="str">
            <v/>
          </cell>
          <cell r="Y116" t="str">
            <v/>
          </cell>
          <cell r="Z116" t="str">
            <v/>
          </cell>
          <cell r="AA116" t="str">
            <v/>
          </cell>
          <cell r="AB116" t="str">
            <v/>
          </cell>
          <cell r="AC116" t="str">
            <v/>
          </cell>
        </row>
        <row r="117">
          <cell r="B117" t="str">
            <v>Tronchoni León, Jordi</v>
          </cell>
          <cell r="C117" t="str">
            <v>Labour</v>
          </cell>
          <cell r="D117" t="e">
            <v>#VALUE!</v>
          </cell>
          <cell r="E117">
            <v>0</v>
          </cell>
          <cell r="F117"/>
          <cell r="H117"/>
          <cell r="I117"/>
          <cell r="J117"/>
          <cell r="K117"/>
          <cell r="N117"/>
          <cell r="U117" t="str">
            <v>MBIF</v>
          </cell>
          <cell r="V117" t="str">
            <v>MBIF</v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/>
          </cell>
          <cell r="AB117" t="str">
            <v/>
          </cell>
          <cell r="AC117" t="str">
            <v/>
          </cell>
        </row>
        <row r="118">
          <cell r="B118" t="str">
            <v>Vallalta Rueda, Juan Francisco</v>
          </cell>
          <cell r="C118" t="str">
            <v>Labour</v>
          </cell>
          <cell r="D118" t="e">
            <v>#VALUE!</v>
          </cell>
          <cell r="E118">
            <v>6.2999999999999989</v>
          </cell>
          <cell r="F118">
            <v>1</v>
          </cell>
          <cell r="H118"/>
          <cell r="I118">
            <v>2</v>
          </cell>
          <cell r="J118">
            <v>2</v>
          </cell>
          <cell r="K118"/>
          <cell r="N118">
            <v>4</v>
          </cell>
          <cell r="U118" t="str">
            <v>MBIF</v>
          </cell>
          <cell r="V118" t="str">
            <v>MDGC</v>
          </cell>
          <cell r="W118" t="str">
            <v>MDGC</v>
          </cell>
          <cell r="X118" t="str">
            <v>MBIF</v>
          </cell>
          <cell r="Y118" t="str">
            <v>MDGC</v>
          </cell>
          <cell r="Z118" t="str">
            <v>MDGC</v>
          </cell>
          <cell r="AA118" t="str">
            <v/>
          </cell>
          <cell r="AB118" t="str">
            <v/>
          </cell>
          <cell r="AC118" t="str">
            <v/>
          </cell>
        </row>
        <row r="119">
          <cell r="B119" t="str">
            <v>Valles González, Beatriz Rosa</v>
          </cell>
          <cell r="C119" t="str">
            <v>Labour</v>
          </cell>
          <cell r="D119">
            <v>0</v>
          </cell>
          <cell r="E119">
            <v>0</v>
          </cell>
          <cell r="F119"/>
          <cell r="H119"/>
          <cell r="I119"/>
          <cell r="J119"/>
          <cell r="K119"/>
          <cell r="N119"/>
          <cell r="U119" t="str">
            <v/>
          </cell>
          <cell r="V119" t="str">
            <v/>
          </cell>
          <cell r="W119" t="str">
            <v/>
          </cell>
          <cell r="X119" t="str">
            <v/>
          </cell>
          <cell r="Y119" t="str">
            <v/>
          </cell>
          <cell r="Z119" t="str">
            <v/>
          </cell>
          <cell r="AA119" t="str">
            <v/>
          </cell>
          <cell r="AB119" t="str">
            <v/>
          </cell>
          <cell r="AC119" t="str">
            <v/>
          </cell>
        </row>
        <row r="120">
          <cell r="B120" t="str">
            <v>Vara Ciruelos, Diana</v>
          </cell>
          <cell r="C120" t="str">
            <v>Labour</v>
          </cell>
          <cell r="D120">
            <v>0.7</v>
          </cell>
          <cell r="E120">
            <v>0</v>
          </cell>
          <cell r="F120"/>
          <cell r="H120"/>
          <cell r="I120"/>
          <cell r="J120"/>
          <cell r="K120"/>
          <cell r="N120"/>
          <cell r="Q120"/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/>
          </cell>
          <cell r="AB120" t="str">
            <v/>
          </cell>
          <cell r="AC120" t="str">
            <v/>
          </cell>
        </row>
        <row r="121">
          <cell r="B121" t="str">
            <v>Vázquez Martínez, Andrea</v>
          </cell>
          <cell r="C121" t="str">
            <v>Labour</v>
          </cell>
          <cell r="D121">
            <v>17</v>
          </cell>
          <cell r="E121">
            <v>2</v>
          </cell>
          <cell r="L121">
            <v>2</v>
          </cell>
          <cell r="P121">
            <v>1</v>
          </cell>
          <cell r="U121"/>
          <cell r="V121"/>
          <cell r="W121"/>
          <cell r="X121"/>
          <cell r="Y121"/>
          <cell r="Z121"/>
          <cell r="AA121"/>
          <cell r="AB121"/>
          <cell r="AC121"/>
        </row>
        <row r="122">
          <cell r="B122" t="str">
            <v>Viejo Sánchez, Aitana</v>
          </cell>
          <cell r="C122" t="str">
            <v>Labour</v>
          </cell>
          <cell r="D122">
            <v>3.6</v>
          </cell>
          <cell r="E122">
            <v>0</v>
          </cell>
          <cell r="F122"/>
          <cell r="H122"/>
          <cell r="I122"/>
          <cell r="J122"/>
          <cell r="K122"/>
          <cell r="N122"/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/>
          </cell>
          <cell r="AB122" t="str">
            <v/>
          </cell>
          <cell r="AC122" t="str">
            <v/>
          </cell>
        </row>
        <row r="123">
          <cell r="B123" t="str">
            <v>Vila Candel, Rafael</v>
          </cell>
          <cell r="C123" t="str">
            <v>Labour</v>
          </cell>
          <cell r="D123">
            <v>0</v>
          </cell>
          <cell r="E123">
            <v>0</v>
          </cell>
          <cell r="F123"/>
          <cell r="H123"/>
          <cell r="I123"/>
          <cell r="J123"/>
          <cell r="K123"/>
          <cell r="N123"/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/>
          </cell>
          <cell r="AB123" t="str">
            <v/>
          </cell>
          <cell r="AC123" t="str">
            <v/>
          </cell>
        </row>
        <row r="124">
          <cell r="B124" t="str">
            <v>Vila López, Vanessa</v>
          </cell>
          <cell r="C124" t="str">
            <v>Labour</v>
          </cell>
          <cell r="D124">
            <v>6.7</v>
          </cell>
          <cell r="E124">
            <v>3.5</v>
          </cell>
          <cell r="F124"/>
          <cell r="H124">
            <v>2</v>
          </cell>
          <cell r="I124"/>
          <cell r="J124"/>
          <cell r="K124">
            <v>3</v>
          </cell>
          <cell r="N124"/>
          <cell r="U124" t="str">
            <v>MBIO</v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/>
          </cell>
          <cell r="AB124" t="str">
            <v/>
          </cell>
          <cell r="AC124" t="str">
            <v/>
          </cell>
        </row>
        <row r="125">
          <cell r="B125" t="str">
            <v>Villalba Felipe, Adrián</v>
          </cell>
          <cell r="C125" t="str">
            <v>Labour</v>
          </cell>
          <cell r="D125">
            <v>7</v>
          </cell>
          <cell r="E125">
            <v>6.6999999999999993</v>
          </cell>
          <cell r="F125"/>
          <cell r="H125">
            <v>1</v>
          </cell>
          <cell r="I125"/>
          <cell r="J125"/>
          <cell r="K125">
            <v>6</v>
          </cell>
          <cell r="N125"/>
          <cell r="Q125">
            <v>3</v>
          </cell>
          <cell r="U125" t="str">
            <v>MBIO</v>
          </cell>
          <cell r="V125" t="str">
            <v>MUNO</v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/>
          </cell>
          <cell r="AB125" t="str">
            <v/>
          </cell>
          <cell r="AC125" t="str">
            <v/>
          </cell>
        </row>
        <row r="126">
          <cell r="B126"/>
          <cell r="C126" t="e">
            <v>#VALUE!</v>
          </cell>
          <cell r="D126" t="e">
            <v>#VALUE!</v>
          </cell>
          <cell r="E126">
            <v>0</v>
          </cell>
          <cell r="F126"/>
          <cell r="Q126"/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/>
          </cell>
          <cell r="AB126" t="str">
            <v/>
          </cell>
          <cell r="AC126" t="str">
            <v/>
          </cell>
        </row>
        <row r="127">
          <cell r="B127" t="str">
            <v>Villanueva Blasco, Víctor José</v>
          </cell>
          <cell r="C127" t="str">
            <v>Labour</v>
          </cell>
          <cell r="D127">
            <v>8</v>
          </cell>
          <cell r="E127">
            <v>1.4</v>
          </cell>
          <cell r="L127">
            <v>2</v>
          </cell>
          <cell r="U127" t="str">
            <v>MDRO</v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  <cell r="AA127" t="str">
            <v/>
          </cell>
          <cell r="AB127" t="str">
            <v/>
          </cell>
          <cell r="AC127" t="str">
            <v/>
          </cell>
        </row>
        <row r="128">
          <cell r="B128" t="str">
            <v>Villanueva Silvestre, Verónica</v>
          </cell>
          <cell r="C128" t="str">
            <v>Labour</v>
          </cell>
          <cell r="D128">
            <v>24</v>
          </cell>
          <cell r="E128">
            <v>0.7</v>
          </cell>
          <cell r="L128">
            <v>1</v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/>
          </cell>
          <cell r="AB128" t="str">
            <v/>
          </cell>
          <cell r="AC128" t="str">
            <v/>
          </cell>
        </row>
        <row r="129">
          <cell r="B129" t="str">
            <v>Abarca Sos, Alberto</v>
          </cell>
          <cell r="C129" t="str">
            <v>Professional</v>
          </cell>
          <cell r="D129" t="str">
            <v>5,9</v>
          </cell>
          <cell r="E129">
            <v>0</v>
          </cell>
          <cell r="F129"/>
          <cell r="H129"/>
          <cell r="I129"/>
          <cell r="J129"/>
          <cell r="K129"/>
          <cell r="N129"/>
          <cell r="Q129"/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  <cell r="AA129" t="str">
            <v/>
          </cell>
          <cell r="AB129" t="str">
            <v/>
          </cell>
          <cell r="AC129" t="str">
            <v/>
          </cell>
        </row>
        <row r="130">
          <cell r="B130" t="str">
            <v>Aceituno Solís, Javier</v>
          </cell>
          <cell r="C130" t="str">
            <v>Professional</v>
          </cell>
          <cell r="D130">
            <v>5.9</v>
          </cell>
          <cell r="E130">
            <v>0</v>
          </cell>
          <cell r="K130"/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/>
          </cell>
          <cell r="AB130" t="str">
            <v/>
          </cell>
          <cell r="AC130" t="str">
            <v/>
          </cell>
        </row>
        <row r="131">
          <cell r="B131" t="str">
            <v>Adam Artigues, Anna</v>
          </cell>
          <cell r="C131" t="str">
            <v>Professional</v>
          </cell>
          <cell r="D131" t="str">
            <v>5,9</v>
          </cell>
          <cell r="E131">
            <v>4.1999999999999993</v>
          </cell>
          <cell r="F131"/>
          <cell r="H131">
            <v>2</v>
          </cell>
          <cell r="K131">
            <v>4</v>
          </cell>
          <cell r="Q131"/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/>
          </cell>
          <cell r="AB131" t="str">
            <v/>
          </cell>
          <cell r="AC131" t="str">
            <v/>
          </cell>
        </row>
        <row r="132">
          <cell r="B132" t="str">
            <v>Agrafojo Nieto, María Helena</v>
          </cell>
          <cell r="C132" t="str">
            <v>Professional</v>
          </cell>
          <cell r="D132">
            <v>5.9</v>
          </cell>
          <cell r="E132">
            <v>4.8999999999999986</v>
          </cell>
          <cell r="G132">
            <v>1</v>
          </cell>
          <cell r="M132">
            <v>6</v>
          </cell>
          <cell r="U132"/>
          <cell r="V132"/>
          <cell r="W132"/>
          <cell r="X132"/>
          <cell r="Y132"/>
          <cell r="Z132"/>
          <cell r="AA132"/>
          <cell r="AB132"/>
          <cell r="AC132"/>
        </row>
        <row r="133">
          <cell r="B133" t="str">
            <v>Aguasanta Regalado, Miriam Elizabeth</v>
          </cell>
          <cell r="C133" t="str">
            <v>Professional</v>
          </cell>
          <cell r="D133">
            <v>5.9</v>
          </cell>
          <cell r="E133">
            <v>0</v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/>
          </cell>
          <cell r="AB133" t="str">
            <v/>
          </cell>
          <cell r="AC133" t="str">
            <v/>
          </cell>
        </row>
        <row r="134">
          <cell r="B134" t="str">
            <v>Aguayo Romero, Virginia</v>
          </cell>
          <cell r="C134" t="str">
            <v>Professional</v>
          </cell>
          <cell r="D134">
            <v>5.9</v>
          </cell>
          <cell r="E134">
            <v>0</v>
          </cell>
          <cell r="L134"/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/>
          </cell>
          <cell r="AB134" t="str">
            <v/>
          </cell>
          <cell r="AC134" t="str">
            <v/>
          </cell>
        </row>
        <row r="135">
          <cell r="B135" t="str">
            <v>Aguilera Martínez, Penélope</v>
          </cell>
          <cell r="C135" t="str">
            <v>Professional</v>
          </cell>
          <cell r="D135">
            <v>5.9</v>
          </cell>
          <cell r="E135">
            <v>0</v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/>
          </cell>
          <cell r="AB135" t="str">
            <v/>
          </cell>
          <cell r="AC135" t="str">
            <v/>
          </cell>
        </row>
        <row r="136">
          <cell r="B136" t="str">
            <v>Aguirre Camacho, Aldo</v>
          </cell>
          <cell r="C136" t="str">
            <v>Professional</v>
          </cell>
          <cell r="D136" t="str">
            <v>5,9</v>
          </cell>
          <cell r="E136">
            <v>1.4</v>
          </cell>
          <cell r="F136"/>
          <cell r="H136">
            <v>2</v>
          </cell>
          <cell r="I136"/>
          <cell r="J136"/>
          <cell r="K136"/>
          <cell r="N136"/>
          <cell r="Q136"/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/>
          </cell>
          <cell r="AB136" t="str">
            <v/>
          </cell>
          <cell r="AC136" t="str">
            <v/>
          </cell>
        </row>
        <row r="137">
          <cell r="B137" t="str">
            <v>Aguirre Sánchez, Miguel</v>
          </cell>
          <cell r="C137" t="str">
            <v>Professional</v>
          </cell>
          <cell r="D137">
            <v>5.9</v>
          </cell>
          <cell r="E137">
            <v>0</v>
          </cell>
          <cell r="Q137"/>
          <cell r="R137"/>
          <cell r="S137"/>
          <cell r="T137"/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/>
          </cell>
          <cell r="AB137" t="str">
            <v/>
          </cell>
          <cell r="AC137" t="str">
            <v/>
          </cell>
        </row>
        <row r="138">
          <cell r="B138" t="str">
            <v>Alcaide Leyva, José Manuel</v>
          </cell>
          <cell r="C138" t="str">
            <v>Professional</v>
          </cell>
          <cell r="D138" t="str">
            <v>5,9</v>
          </cell>
          <cell r="E138">
            <v>0</v>
          </cell>
          <cell r="F138"/>
          <cell r="H138"/>
          <cell r="I138"/>
          <cell r="J138"/>
          <cell r="K138"/>
          <cell r="N138"/>
          <cell r="Q138"/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/>
          </cell>
          <cell r="AB138" t="str">
            <v/>
          </cell>
          <cell r="AC138" t="str">
            <v/>
          </cell>
        </row>
        <row r="139">
          <cell r="B139" t="str">
            <v>Alché Ramírez, Juan de Dios</v>
          </cell>
          <cell r="C139" t="str">
            <v>Professional</v>
          </cell>
          <cell r="D139" t="str">
            <v>5,9</v>
          </cell>
          <cell r="E139">
            <v>0</v>
          </cell>
          <cell r="F139"/>
          <cell r="H139"/>
          <cell r="I139"/>
          <cell r="J139"/>
          <cell r="K139"/>
          <cell r="N139"/>
          <cell r="Q139"/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/>
          </cell>
          <cell r="AB139" t="str">
            <v/>
          </cell>
          <cell r="AC139" t="str">
            <v/>
          </cell>
        </row>
        <row r="140">
          <cell r="B140" t="str">
            <v>Alconada Padilla, Roberto</v>
          </cell>
          <cell r="C140" t="str">
            <v>Professional</v>
          </cell>
          <cell r="D140">
            <v>5.9</v>
          </cell>
          <cell r="E140">
            <v>0</v>
          </cell>
          <cell r="U140" t="str">
            <v/>
          </cell>
          <cell r="V140" t="str">
            <v/>
          </cell>
          <cell r="W140" t="str">
            <v/>
          </cell>
          <cell r="X140" t="str">
            <v/>
          </cell>
          <cell r="Y140" t="str">
            <v/>
          </cell>
          <cell r="Z140" t="str">
            <v/>
          </cell>
          <cell r="AA140" t="str">
            <v/>
          </cell>
          <cell r="AB140" t="str">
            <v/>
          </cell>
          <cell r="AC140" t="str">
            <v/>
          </cell>
        </row>
        <row r="141">
          <cell r="B141" t="str">
            <v>Almaraz Morocho, David</v>
          </cell>
          <cell r="C141" t="str">
            <v>Professional</v>
          </cell>
          <cell r="D141">
            <v>5.9</v>
          </cell>
          <cell r="E141">
            <v>0</v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/>
          </cell>
          <cell r="AB141" t="str">
            <v/>
          </cell>
          <cell r="AC141" t="str">
            <v/>
          </cell>
        </row>
        <row r="142">
          <cell r="B142" t="str">
            <v>Almeida Toledano, Laura</v>
          </cell>
          <cell r="C142" t="str">
            <v>Professional</v>
          </cell>
          <cell r="D142" t="str">
            <v>5,9</v>
          </cell>
          <cell r="E142">
            <v>0</v>
          </cell>
          <cell r="F142"/>
          <cell r="H142"/>
          <cell r="I142"/>
          <cell r="J142"/>
          <cell r="K142"/>
          <cell r="N142"/>
          <cell r="Q142"/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/>
          </cell>
          <cell r="AB142" t="str">
            <v/>
          </cell>
          <cell r="AC142" t="str">
            <v/>
          </cell>
        </row>
        <row r="143">
          <cell r="B143" t="str">
            <v>Alonso del Real Arias, Javier</v>
          </cell>
          <cell r="C143" t="str">
            <v>Professional</v>
          </cell>
          <cell r="D143" t="str">
            <v>5,9</v>
          </cell>
          <cell r="E143">
            <v>0</v>
          </cell>
          <cell r="F143"/>
          <cell r="H143"/>
          <cell r="I143"/>
          <cell r="J143"/>
          <cell r="K143"/>
          <cell r="N143"/>
          <cell r="Q143"/>
          <cell r="U143" t="str">
            <v/>
          </cell>
          <cell r="V143" t="str">
            <v/>
          </cell>
          <cell r="W143" t="str">
            <v/>
          </cell>
          <cell r="X143" t="str">
            <v/>
          </cell>
          <cell r="Y143" t="str">
            <v/>
          </cell>
          <cell r="Z143" t="str">
            <v/>
          </cell>
          <cell r="AA143" t="str">
            <v/>
          </cell>
          <cell r="AB143" t="str">
            <v/>
          </cell>
          <cell r="AC143" t="str">
            <v/>
          </cell>
        </row>
        <row r="144">
          <cell r="B144" t="str">
            <v>Alonso Guillén, María Sandra</v>
          </cell>
          <cell r="C144" t="str">
            <v>Professional</v>
          </cell>
          <cell r="D144">
            <v>5.9</v>
          </cell>
          <cell r="E144">
            <v>0</v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/>
          </cell>
          <cell r="AB144" t="str">
            <v/>
          </cell>
          <cell r="AC144" t="str">
            <v/>
          </cell>
        </row>
        <row r="145">
          <cell r="B145" t="str">
            <v>Alonso Riera, María Ángeles</v>
          </cell>
          <cell r="C145" t="str">
            <v>Professional</v>
          </cell>
          <cell r="D145">
            <v>5.9</v>
          </cell>
          <cell r="E145">
            <v>0</v>
          </cell>
          <cell r="Q145"/>
          <cell r="R145"/>
          <cell r="S145"/>
          <cell r="T145"/>
          <cell r="U145" t="str">
            <v/>
          </cell>
          <cell r="V145" t="str">
            <v/>
          </cell>
          <cell r="W145" t="str">
            <v/>
          </cell>
          <cell r="X145" t="str">
            <v/>
          </cell>
          <cell r="Y145" t="str">
            <v/>
          </cell>
          <cell r="Z145" t="str">
            <v/>
          </cell>
          <cell r="AA145" t="str">
            <v/>
          </cell>
          <cell r="AB145" t="str">
            <v/>
          </cell>
          <cell r="AC145" t="str">
            <v/>
          </cell>
        </row>
        <row r="146">
          <cell r="B146" t="str">
            <v>Alonso Vaquerizo, Irene</v>
          </cell>
          <cell r="C146" t="str">
            <v>Professional</v>
          </cell>
          <cell r="D146">
            <v>5.9</v>
          </cell>
          <cell r="E146">
            <v>0</v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/>
          </cell>
          <cell r="AB146" t="str">
            <v/>
          </cell>
          <cell r="AC146" t="str">
            <v/>
          </cell>
        </row>
        <row r="147">
          <cell r="B147" t="str">
            <v>Alvarado Muñoz-Quiros, Ayla María</v>
          </cell>
          <cell r="C147" t="str">
            <v>Professional</v>
          </cell>
          <cell r="D147" t="str">
            <v>5,9</v>
          </cell>
          <cell r="E147">
            <v>7</v>
          </cell>
          <cell r="F147"/>
          <cell r="H147"/>
          <cell r="I147">
            <v>2</v>
          </cell>
          <cell r="J147"/>
          <cell r="K147"/>
          <cell r="N147">
            <v>8</v>
          </cell>
          <cell r="Q147"/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/>
          </cell>
          <cell r="AB147" t="str">
            <v/>
          </cell>
          <cell r="AC147" t="str">
            <v/>
          </cell>
        </row>
        <row r="148">
          <cell r="B148" t="str">
            <v>Alvarenga Capurró, Claudia Beatriz</v>
          </cell>
          <cell r="C148" t="str">
            <v>Professional</v>
          </cell>
          <cell r="D148">
            <v>5.9</v>
          </cell>
          <cell r="E148">
            <v>0</v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/>
          </cell>
          <cell r="AB148" t="str">
            <v/>
          </cell>
          <cell r="AC148" t="str">
            <v/>
          </cell>
        </row>
        <row r="149">
          <cell r="B149" t="str">
            <v>Álvarez Ferradas, Carla</v>
          </cell>
          <cell r="C149" t="str">
            <v>Professional</v>
          </cell>
          <cell r="D149">
            <v>5.9</v>
          </cell>
          <cell r="E149">
            <v>3.5</v>
          </cell>
          <cell r="O149">
            <v>5</v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/>
          </cell>
          <cell r="AB149" t="str">
            <v/>
          </cell>
          <cell r="AC149" t="str">
            <v/>
          </cell>
        </row>
        <row r="150">
          <cell r="B150" t="str">
            <v>Álvarez Muelas, Ana</v>
          </cell>
          <cell r="C150" t="str">
            <v>Professional</v>
          </cell>
          <cell r="D150">
            <v>5.9</v>
          </cell>
          <cell r="E150">
            <v>0</v>
          </cell>
          <cell r="U150"/>
          <cell r="V150"/>
          <cell r="W150"/>
          <cell r="X150"/>
          <cell r="Y150"/>
          <cell r="Z150"/>
          <cell r="AA150"/>
          <cell r="AB150"/>
          <cell r="AC150"/>
          <cell r="AD150"/>
        </row>
        <row r="151">
          <cell r="B151" t="str">
            <v>Amezcua Valmala, Nerea</v>
          </cell>
          <cell r="C151" t="str">
            <v>Professional</v>
          </cell>
          <cell r="D151">
            <v>5.9</v>
          </cell>
          <cell r="E151">
            <v>0</v>
          </cell>
          <cell r="F151"/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/>
          </cell>
          <cell r="AB151" t="str">
            <v/>
          </cell>
          <cell r="AC151" t="str">
            <v/>
          </cell>
        </row>
        <row r="152">
          <cell r="B152" t="str">
            <v>Amor González, Antonio Manuel</v>
          </cell>
          <cell r="C152" t="str">
            <v>Professional</v>
          </cell>
          <cell r="D152">
            <v>5.9</v>
          </cell>
          <cell r="E152">
            <v>1.4</v>
          </cell>
          <cell r="L152">
            <v>2</v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/>
          </cell>
          <cell r="AB152" t="str">
            <v/>
          </cell>
          <cell r="AC152" t="str">
            <v/>
          </cell>
        </row>
        <row r="153">
          <cell r="B153" t="str">
            <v>Amores Marreiros, Rubén</v>
          </cell>
          <cell r="C153" t="str">
            <v>Professional</v>
          </cell>
          <cell r="D153">
            <v>5.9</v>
          </cell>
          <cell r="E153">
            <v>0</v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/>
          </cell>
          <cell r="AB153" t="str">
            <v/>
          </cell>
          <cell r="AC153" t="str">
            <v/>
          </cell>
        </row>
        <row r="154">
          <cell r="B154" t="str">
            <v>Andrés Blasco, Irene</v>
          </cell>
          <cell r="C154" t="str">
            <v>Professional</v>
          </cell>
          <cell r="D154" t="str">
            <v>5,9</v>
          </cell>
          <cell r="E154">
            <v>0</v>
          </cell>
          <cell r="Q154"/>
          <cell r="R154"/>
          <cell r="U154" t="str">
            <v/>
          </cell>
          <cell r="V154" t="str">
            <v/>
          </cell>
          <cell r="W154" t="str">
            <v/>
          </cell>
          <cell r="X154" t="str">
            <v/>
          </cell>
          <cell r="Y154" t="str">
            <v/>
          </cell>
          <cell r="Z154" t="str">
            <v/>
          </cell>
          <cell r="AA154" t="str">
            <v/>
          </cell>
          <cell r="AB154" t="str">
            <v/>
          </cell>
          <cell r="AC154" t="str">
            <v/>
          </cell>
        </row>
        <row r="155">
          <cell r="B155" t="str">
            <v>Antón Blasco, José Antonio</v>
          </cell>
          <cell r="C155" t="str">
            <v>Professional</v>
          </cell>
          <cell r="D155" t="str">
            <v>5,9</v>
          </cell>
          <cell r="E155">
            <v>7</v>
          </cell>
          <cell r="F155"/>
          <cell r="H155"/>
          <cell r="I155">
            <v>5</v>
          </cell>
          <cell r="J155"/>
          <cell r="K155"/>
          <cell r="N155">
            <v>5</v>
          </cell>
          <cell r="Q155"/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/>
          </cell>
          <cell r="AB155" t="str">
            <v/>
          </cell>
          <cell r="AC155" t="str">
            <v/>
          </cell>
        </row>
        <row r="156">
          <cell r="B156" t="str">
            <v>Antón Riquelme, Ana Asunción</v>
          </cell>
          <cell r="C156" t="str">
            <v>Professional</v>
          </cell>
          <cell r="D156">
            <v>5.9</v>
          </cell>
          <cell r="E156">
            <v>0</v>
          </cell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C156"/>
        </row>
        <row r="157">
          <cell r="B157" t="str">
            <v>Aracil Bolaños, Ignacio</v>
          </cell>
          <cell r="C157" t="str">
            <v>Professional</v>
          </cell>
          <cell r="D157">
            <v>5.9</v>
          </cell>
          <cell r="E157">
            <v>0</v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/>
          </cell>
          <cell r="AB157" t="str">
            <v/>
          </cell>
          <cell r="AC157" t="str">
            <v/>
          </cell>
          <cell r="AD157"/>
        </row>
        <row r="158">
          <cell r="B158" t="str">
            <v>Aras López, Rosa María</v>
          </cell>
          <cell r="C158" t="str">
            <v>Professional</v>
          </cell>
          <cell r="D158" t="str">
            <v>5,9</v>
          </cell>
          <cell r="E158">
            <v>0</v>
          </cell>
          <cell r="F158"/>
          <cell r="H158"/>
          <cell r="I158"/>
          <cell r="J158"/>
          <cell r="K158"/>
          <cell r="N158"/>
          <cell r="Q158"/>
          <cell r="U158" t="str">
            <v/>
          </cell>
          <cell r="V158" t="str">
            <v/>
          </cell>
          <cell r="W158" t="str">
            <v/>
          </cell>
          <cell r="X158" t="str">
            <v/>
          </cell>
          <cell r="Y158" t="str">
            <v/>
          </cell>
          <cell r="Z158" t="str">
            <v/>
          </cell>
          <cell r="AA158" t="str">
            <v/>
          </cell>
          <cell r="AB158" t="str">
            <v/>
          </cell>
          <cell r="AC158" t="str">
            <v/>
          </cell>
        </row>
        <row r="159">
          <cell r="B159" t="str">
            <v>Argudo Palacios, Aarón</v>
          </cell>
          <cell r="C159" t="str">
            <v>Professional</v>
          </cell>
          <cell r="D159">
            <v>5.9</v>
          </cell>
          <cell r="E159">
            <v>0</v>
          </cell>
          <cell r="I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</row>
        <row r="160">
          <cell r="B160" t="str">
            <v>Arredondo Koriat, Arantxa Yagoda</v>
          </cell>
          <cell r="C160" t="str">
            <v>Professional</v>
          </cell>
          <cell r="D160">
            <v>5.9</v>
          </cell>
          <cell r="E160">
            <v>0</v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/>
          </cell>
          <cell r="AB160" t="str">
            <v/>
          </cell>
          <cell r="AC160" t="str">
            <v/>
          </cell>
        </row>
        <row r="161">
          <cell r="B161" t="str">
            <v>Arribas Guerrero, Juan</v>
          </cell>
          <cell r="C161" t="str">
            <v>Professional</v>
          </cell>
          <cell r="D161" t="str">
            <v>5,9</v>
          </cell>
          <cell r="E161">
            <v>2.1</v>
          </cell>
          <cell r="F161"/>
          <cell r="H161"/>
          <cell r="I161">
            <v>3</v>
          </cell>
          <cell r="J161"/>
          <cell r="K161"/>
          <cell r="N161"/>
          <cell r="Q161"/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/>
          </cell>
          <cell r="AB161" t="str">
            <v/>
          </cell>
          <cell r="AC161" t="str">
            <v/>
          </cell>
        </row>
        <row r="162">
          <cell r="B162" t="str">
            <v>Arrivillaga Henríquez, Jazzmin Celeste</v>
          </cell>
          <cell r="C162" t="str">
            <v>Professional</v>
          </cell>
          <cell r="D162" t="str">
            <v>5,9</v>
          </cell>
          <cell r="E162">
            <v>0</v>
          </cell>
          <cell r="F162"/>
          <cell r="H162"/>
          <cell r="I162"/>
          <cell r="J162"/>
          <cell r="K162"/>
          <cell r="N162"/>
          <cell r="Q162"/>
          <cell r="U162" t="str">
            <v/>
          </cell>
          <cell r="V162" t="str">
            <v/>
          </cell>
          <cell r="W162" t="str">
            <v/>
          </cell>
          <cell r="X162" t="str">
            <v/>
          </cell>
          <cell r="Y162" t="str">
            <v/>
          </cell>
          <cell r="Z162" t="str">
            <v/>
          </cell>
          <cell r="AA162" t="str">
            <v/>
          </cell>
          <cell r="AB162" t="str">
            <v/>
          </cell>
          <cell r="AC162" t="str">
            <v/>
          </cell>
        </row>
        <row r="163">
          <cell r="B163" t="str">
            <v>Arrona Altamirano, Alhelí de la Aurora</v>
          </cell>
          <cell r="C163" t="str">
            <v>Professional</v>
          </cell>
          <cell r="D163">
            <v>5.9</v>
          </cell>
          <cell r="E163">
            <v>0</v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/>
          </cell>
          <cell r="AB163" t="str">
            <v/>
          </cell>
          <cell r="AC163" t="str">
            <v/>
          </cell>
        </row>
        <row r="164">
          <cell r="B164" t="str">
            <v>Arumí Trujillo, Clàudia</v>
          </cell>
          <cell r="C164" t="str">
            <v>Professional</v>
          </cell>
          <cell r="D164" t="str">
            <v>5,9</v>
          </cell>
          <cell r="E164">
            <v>0</v>
          </cell>
          <cell r="F164"/>
          <cell r="H164"/>
          <cell r="I164"/>
          <cell r="J164"/>
          <cell r="K164"/>
          <cell r="N164"/>
          <cell r="Q164"/>
          <cell r="R164"/>
          <cell r="S164"/>
          <cell r="T164"/>
          <cell r="U164" t="str">
            <v/>
          </cell>
          <cell r="V164" t="str">
            <v/>
          </cell>
          <cell r="W164" t="str">
            <v/>
          </cell>
          <cell r="X164" t="str">
            <v/>
          </cell>
          <cell r="Y164" t="str">
            <v/>
          </cell>
          <cell r="Z164" t="str">
            <v/>
          </cell>
          <cell r="AA164" t="str">
            <v/>
          </cell>
          <cell r="AB164" t="str">
            <v/>
          </cell>
          <cell r="AC164" t="str">
            <v/>
          </cell>
          <cell r="AD164"/>
        </row>
        <row r="165">
          <cell r="B165" t="str">
            <v>Aste Leiva, Bruno Fernando</v>
          </cell>
          <cell r="C165" t="str">
            <v>Professional</v>
          </cell>
          <cell r="D165">
            <v>5.9</v>
          </cell>
          <cell r="E165">
            <v>0</v>
          </cell>
          <cell r="Q165"/>
          <cell r="R165"/>
          <cell r="S165"/>
          <cell r="T165"/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/>
          </cell>
          <cell r="AB165" t="str">
            <v/>
          </cell>
          <cell r="AC165" t="str">
            <v/>
          </cell>
        </row>
        <row r="166">
          <cell r="B166" t="str">
            <v>Atanes Gómez, Alexandra</v>
          </cell>
          <cell r="C166" t="str">
            <v>Professional</v>
          </cell>
          <cell r="D166">
            <v>5.9</v>
          </cell>
          <cell r="E166">
            <v>0</v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/>
          </cell>
          <cell r="AB166" t="str">
            <v/>
          </cell>
          <cell r="AC166" t="str">
            <v/>
          </cell>
          <cell r="AD166"/>
        </row>
        <row r="167">
          <cell r="B167" t="str">
            <v>Baixauli Muñoz, Raquel</v>
          </cell>
          <cell r="C167" t="str">
            <v>Professional</v>
          </cell>
          <cell r="D167" t="str">
            <v>5,9</v>
          </cell>
          <cell r="E167">
            <v>0</v>
          </cell>
          <cell r="F167"/>
          <cell r="H167"/>
          <cell r="I167"/>
          <cell r="J167"/>
          <cell r="K167"/>
          <cell r="N167"/>
          <cell r="Q167"/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/>
          </cell>
          <cell r="AB167" t="str">
            <v/>
          </cell>
          <cell r="AC167" t="str">
            <v/>
          </cell>
          <cell r="AD167"/>
        </row>
        <row r="168">
          <cell r="B168" t="str">
            <v>Ballesteros Pérez, Francisco</v>
          </cell>
          <cell r="C168" t="str">
            <v>Professional</v>
          </cell>
          <cell r="D168">
            <v>5.9</v>
          </cell>
          <cell r="E168">
            <v>0.7</v>
          </cell>
          <cell r="G168">
            <v>1</v>
          </cell>
          <cell r="I168"/>
          <cell r="M168"/>
          <cell r="Q168"/>
          <cell r="R168"/>
          <cell r="S168"/>
          <cell r="T168"/>
          <cell r="U168" t="str">
            <v/>
          </cell>
          <cell r="V168" t="str">
            <v/>
          </cell>
          <cell r="W168" t="str">
            <v/>
          </cell>
          <cell r="X168" t="str">
            <v/>
          </cell>
          <cell r="Y168" t="str">
            <v/>
          </cell>
          <cell r="Z168" t="str">
            <v/>
          </cell>
          <cell r="AA168" t="str">
            <v/>
          </cell>
          <cell r="AB168" t="str">
            <v/>
          </cell>
          <cell r="AC168" t="str">
            <v/>
          </cell>
          <cell r="AD168"/>
        </row>
        <row r="169">
          <cell r="B169" t="str">
            <v>Balmaseda Rubina, Aitor</v>
          </cell>
          <cell r="C169" t="str">
            <v>Professional</v>
          </cell>
          <cell r="D169" t="str">
            <v>5,9</v>
          </cell>
          <cell r="E169">
            <v>0</v>
          </cell>
          <cell r="F169"/>
          <cell r="H169"/>
          <cell r="I169"/>
          <cell r="J169"/>
          <cell r="K169"/>
          <cell r="N169"/>
          <cell r="Q169"/>
          <cell r="R169"/>
          <cell r="S169"/>
          <cell r="T169"/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/>
          </cell>
          <cell r="AB169" t="str">
            <v/>
          </cell>
          <cell r="AC169" t="str">
            <v/>
          </cell>
          <cell r="AD169"/>
        </row>
        <row r="170">
          <cell r="B170" t="str">
            <v>Balo García, Aránzazu</v>
          </cell>
          <cell r="C170" t="str">
            <v>Professional</v>
          </cell>
          <cell r="D170">
            <v>5.9</v>
          </cell>
          <cell r="E170">
            <v>1.4</v>
          </cell>
          <cell r="G170">
            <v>2</v>
          </cell>
          <cell r="Q170"/>
          <cell r="R170"/>
          <cell r="S170"/>
          <cell r="T170"/>
          <cell r="U170" t="str">
            <v/>
          </cell>
          <cell r="V170" t="str">
            <v/>
          </cell>
          <cell r="W170" t="str">
            <v/>
          </cell>
          <cell r="X170" t="str">
            <v/>
          </cell>
          <cell r="Y170" t="str">
            <v/>
          </cell>
          <cell r="Z170" t="str">
            <v/>
          </cell>
          <cell r="AA170" t="str">
            <v/>
          </cell>
          <cell r="AB170" t="str">
            <v/>
          </cell>
          <cell r="AC170" t="str">
            <v/>
          </cell>
          <cell r="AD170"/>
        </row>
        <row r="171">
          <cell r="B171" t="str">
            <v>Barba Colmenero, Francisca</v>
          </cell>
          <cell r="C171" t="str">
            <v>Professional</v>
          </cell>
          <cell r="D171">
            <v>5.9</v>
          </cell>
          <cell r="E171">
            <v>0</v>
          </cell>
          <cell r="Q171"/>
          <cell r="R171"/>
          <cell r="S171"/>
          <cell r="T171"/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/>
          </cell>
          <cell r="AB171" t="str">
            <v/>
          </cell>
          <cell r="AC171" t="str">
            <v/>
          </cell>
        </row>
        <row r="172">
          <cell r="B172" t="str">
            <v>Barragán Arnal, Rocío</v>
          </cell>
          <cell r="C172" t="str">
            <v>Professional</v>
          </cell>
          <cell r="D172" t="str">
            <v>5,9</v>
          </cell>
          <cell r="E172">
            <v>0</v>
          </cell>
          <cell r="F172"/>
          <cell r="H172"/>
          <cell r="I172"/>
          <cell r="J172"/>
          <cell r="K172"/>
          <cell r="N172"/>
          <cell r="Q172"/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/>
          </cell>
          <cell r="AB172" t="str">
            <v/>
          </cell>
          <cell r="AC172" t="str">
            <v/>
          </cell>
        </row>
        <row r="173">
          <cell r="B173" t="str">
            <v>Barrasa Notario, Ángel</v>
          </cell>
          <cell r="C173" t="str">
            <v>Professional</v>
          </cell>
          <cell r="D173">
            <v>5.9</v>
          </cell>
          <cell r="E173">
            <v>0</v>
          </cell>
          <cell r="Q173"/>
          <cell r="R173"/>
          <cell r="S173"/>
          <cell r="T173"/>
          <cell r="U173" t="str">
            <v/>
          </cell>
          <cell r="V173" t="str">
            <v/>
          </cell>
          <cell r="W173" t="str">
            <v/>
          </cell>
          <cell r="X173" t="str">
            <v/>
          </cell>
          <cell r="Y173" t="str">
            <v/>
          </cell>
          <cell r="Z173" t="str">
            <v/>
          </cell>
          <cell r="AA173" t="str">
            <v/>
          </cell>
          <cell r="AB173" t="str">
            <v/>
          </cell>
          <cell r="AC173" t="str">
            <v/>
          </cell>
        </row>
        <row r="174">
          <cell r="B174" t="str">
            <v>Barrientos Trigo, Sergio</v>
          </cell>
          <cell r="C174" t="str">
            <v>Professional</v>
          </cell>
          <cell r="D174" t="str">
            <v>5,9</v>
          </cell>
          <cell r="E174">
            <v>0</v>
          </cell>
          <cell r="F174"/>
          <cell r="H174"/>
          <cell r="I174"/>
          <cell r="J174"/>
          <cell r="K174"/>
          <cell r="N174"/>
          <cell r="Q174"/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/>
          </cell>
          <cell r="AB174" t="str">
            <v/>
          </cell>
          <cell r="AC174" t="str">
            <v/>
          </cell>
        </row>
        <row r="175">
          <cell r="B175" t="str">
            <v>Barrio Martínez, Sara</v>
          </cell>
          <cell r="C175" t="str">
            <v>Professional</v>
          </cell>
          <cell r="D175">
            <v>5.9</v>
          </cell>
          <cell r="E175">
            <v>0</v>
          </cell>
          <cell r="Q175"/>
          <cell r="R175"/>
          <cell r="S175"/>
          <cell r="T175"/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/>
          </cell>
          <cell r="AB175" t="str">
            <v/>
          </cell>
          <cell r="AC175" t="str">
            <v/>
          </cell>
        </row>
        <row r="176">
          <cell r="B176" t="str">
            <v>Bautista Aranda, Nazaret</v>
          </cell>
          <cell r="C176" t="str">
            <v>Professional</v>
          </cell>
          <cell r="D176">
            <v>5.9</v>
          </cell>
          <cell r="E176">
            <v>0</v>
          </cell>
          <cell r="J176"/>
          <cell r="Q176"/>
          <cell r="R176"/>
          <cell r="S176"/>
          <cell r="T176"/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/>
          </cell>
          <cell r="AB176" t="str">
            <v/>
          </cell>
          <cell r="AC176" t="str">
            <v/>
          </cell>
        </row>
        <row r="177">
          <cell r="B177" t="str">
            <v>Baz Montero, Servando</v>
          </cell>
          <cell r="C177" t="str">
            <v>Professional</v>
          </cell>
          <cell r="D177" t="str">
            <v>5,9</v>
          </cell>
          <cell r="E177">
            <v>5.6</v>
          </cell>
          <cell r="I177">
            <v>4</v>
          </cell>
          <cell r="N177">
            <v>4</v>
          </cell>
          <cell r="Q177"/>
          <cell r="R177"/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/>
          </cell>
          <cell r="AB177" t="str">
            <v/>
          </cell>
          <cell r="AC177" t="str">
            <v/>
          </cell>
        </row>
        <row r="178">
          <cell r="B178" t="str">
            <v>Benetó Gandía, Noelia</v>
          </cell>
          <cell r="C178" t="str">
            <v>Professional</v>
          </cell>
          <cell r="D178" t="str">
            <v>5,9</v>
          </cell>
          <cell r="E178">
            <v>0</v>
          </cell>
          <cell r="F178"/>
          <cell r="H178"/>
          <cell r="I178"/>
          <cell r="J178"/>
          <cell r="K178"/>
          <cell r="N178"/>
          <cell r="Q178"/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/>
          </cell>
          <cell r="AB178" t="str">
            <v/>
          </cell>
          <cell r="AC178" t="str">
            <v/>
          </cell>
        </row>
        <row r="179">
          <cell r="B179" t="str">
            <v>Benito Lara, Elena</v>
          </cell>
          <cell r="C179" t="str">
            <v>Professional</v>
          </cell>
          <cell r="D179">
            <v>5.9</v>
          </cell>
          <cell r="E179">
            <v>0</v>
          </cell>
          <cell r="Q179"/>
          <cell r="R179"/>
          <cell r="S179"/>
          <cell r="T179"/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/>
          </cell>
          <cell r="AB179" t="str">
            <v/>
          </cell>
          <cell r="AC179" t="str">
            <v/>
          </cell>
          <cell r="AD179"/>
        </row>
        <row r="180">
          <cell r="B180" t="str">
            <v>Bensaboura L'Assri, Ibtissam</v>
          </cell>
          <cell r="C180" t="str">
            <v>Professional</v>
          </cell>
          <cell r="D180" t="str">
            <v>5,9</v>
          </cell>
          <cell r="E180">
            <v>0</v>
          </cell>
          <cell r="F180"/>
          <cell r="H180"/>
          <cell r="I180"/>
          <cell r="J180"/>
          <cell r="K180"/>
          <cell r="N180"/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/>
          </cell>
          <cell r="AB180" t="str">
            <v/>
          </cell>
          <cell r="AC180" t="str">
            <v/>
          </cell>
          <cell r="AD180"/>
        </row>
        <row r="181">
          <cell r="B181" t="str">
            <v>Bermejo Ruiz, José Luis</v>
          </cell>
          <cell r="C181" t="str">
            <v>Professional</v>
          </cell>
          <cell r="D181">
            <v>5.9</v>
          </cell>
          <cell r="E181">
            <v>0</v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/>
          </cell>
          <cell r="AB181" t="str">
            <v/>
          </cell>
          <cell r="AC181" t="str">
            <v/>
          </cell>
        </row>
        <row r="182">
          <cell r="B182" t="str">
            <v>Bernárdez Menéndez, Cristina</v>
          </cell>
          <cell r="C182" t="str">
            <v>Professional</v>
          </cell>
          <cell r="D182">
            <v>5.9</v>
          </cell>
          <cell r="E182">
            <v>0</v>
          </cell>
        </row>
        <row r="183">
          <cell r="B183" t="str">
            <v>Berral Ortiz, Blanca</v>
          </cell>
          <cell r="C183" t="str">
            <v>Professional</v>
          </cell>
          <cell r="D183">
            <v>5.9</v>
          </cell>
          <cell r="E183">
            <v>0</v>
          </cell>
          <cell r="I183"/>
          <cell r="U183"/>
          <cell r="V183"/>
          <cell r="W183"/>
          <cell r="X183"/>
          <cell r="Y183"/>
          <cell r="Z183"/>
          <cell r="AA183"/>
          <cell r="AB183"/>
          <cell r="AC183"/>
          <cell r="AD183"/>
        </row>
        <row r="184">
          <cell r="B184" t="str">
            <v>Berrio Beltrán, Ángela</v>
          </cell>
          <cell r="C184" t="str">
            <v>Professional</v>
          </cell>
          <cell r="D184">
            <v>5.9</v>
          </cell>
          <cell r="E184">
            <v>0</v>
          </cell>
          <cell r="I184"/>
          <cell r="N184"/>
          <cell r="Q184"/>
          <cell r="R184"/>
          <cell r="S184"/>
          <cell r="T184"/>
        </row>
        <row r="185">
          <cell r="B185" t="str">
            <v>Bertomeu Heras, Vanessa</v>
          </cell>
          <cell r="C185" t="str">
            <v>Professional</v>
          </cell>
          <cell r="D185">
            <v>5.9</v>
          </cell>
          <cell r="E185">
            <v>0</v>
          </cell>
        </row>
        <row r="186">
          <cell r="B186" t="str">
            <v>Bescós Marco, Pedro David</v>
          </cell>
          <cell r="C186" t="str">
            <v>Professional</v>
          </cell>
          <cell r="D186">
            <v>5.9</v>
          </cell>
          <cell r="E186">
            <v>0</v>
          </cell>
          <cell r="I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</row>
        <row r="187">
          <cell r="B187" t="str">
            <v>Bigay Mercedes, Bary Georderly</v>
          </cell>
          <cell r="C187" t="str">
            <v>Professional</v>
          </cell>
          <cell r="D187" t="str">
            <v>5,9</v>
          </cell>
          <cell r="E187">
            <v>7</v>
          </cell>
          <cell r="F187">
            <v>1</v>
          </cell>
          <cell r="H187"/>
          <cell r="I187"/>
          <cell r="J187">
            <v>9</v>
          </cell>
          <cell r="K187"/>
          <cell r="N187"/>
          <cell r="Q187"/>
        </row>
        <row r="188">
          <cell r="B188" t="str">
            <v>Bisetto Pons, David</v>
          </cell>
          <cell r="C188" t="str">
            <v>Professional</v>
          </cell>
          <cell r="D188">
            <v>5.9</v>
          </cell>
          <cell r="E188">
            <v>0</v>
          </cell>
          <cell r="I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</row>
        <row r="189">
          <cell r="B189" t="str">
            <v>Blanco Donoso, Luis Manuel</v>
          </cell>
          <cell r="C189" t="str">
            <v>Professional</v>
          </cell>
          <cell r="D189">
            <v>5.9</v>
          </cell>
          <cell r="E189">
            <v>0</v>
          </cell>
          <cell r="I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</row>
        <row r="190">
          <cell r="B190" t="str">
            <v>Blanco Fernández, Susana</v>
          </cell>
          <cell r="C190" t="str">
            <v>Professional</v>
          </cell>
          <cell r="D190">
            <v>5.9</v>
          </cell>
          <cell r="E190">
            <v>0</v>
          </cell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</row>
        <row r="191">
          <cell r="B191" t="str">
            <v>Blaya Sánchez, Miguel Ángel</v>
          </cell>
          <cell r="C191" t="str">
            <v>Professional</v>
          </cell>
          <cell r="D191">
            <v>5.9</v>
          </cell>
          <cell r="E191">
            <v>0</v>
          </cell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</row>
        <row r="192">
          <cell r="B192" t="str">
            <v>Bobo Jiménez, Verónica</v>
          </cell>
          <cell r="C192" t="str">
            <v>Professional</v>
          </cell>
          <cell r="D192">
            <v>5.9</v>
          </cell>
          <cell r="E192">
            <v>7</v>
          </cell>
          <cell r="O192">
            <v>10</v>
          </cell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</row>
        <row r="193">
          <cell r="B193" t="str">
            <v>Boemo Prieto, María Teresa</v>
          </cell>
          <cell r="C193" t="str">
            <v>Professional</v>
          </cell>
          <cell r="D193">
            <v>5.9</v>
          </cell>
          <cell r="E193">
            <v>0</v>
          </cell>
        </row>
        <row r="194">
          <cell r="B194" t="str">
            <v>Bogetti, Celeste</v>
          </cell>
          <cell r="C194" t="str">
            <v>Professional</v>
          </cell>
          <cell r="D194">
            <v>5.9</v>
          </cell>
          <cell r="E194">
            <v>0</v>
          </cell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C194"/>
          <cell r="AD194"/>
        </row>
        <row r="195">
          <cell r="B195" t="str">
            <v>Bonito Gadella, Juan Carlos</v>
          </cell>
          <cell r="C195" t="str">
            <v>Professional</v>
          </cell>
          <cell r="D195" t="str">
            <v>5,9</v>
          </cell>
          <cell r="E195">
            <v>0</v>
          </cell>
          <cell r="F195"/>
          <cell r="H195"/>
          <cell r="I195"/>
          <cell r="J195"/>
          <cell r="K195"/>
          <cell r="N195"/>
          <cell r="Q195"/>
          <cell r="R195"/>
          <cell r="S195"/>
          <cell r="T195"/>
        </row>
        <row r="196">
          <cell r="B196" t="str">
            <v>Bonzi, Carolina</v>
          </cell>
          <cell r="C196" t="str">
            <v>Professional</v>
          </cell>
          <cell r="D196" t="str">
            <v>5,9</v>
          </cell>
          <cell r="E196">
            <v>4.1999999999999993</v>
          </cell>
          <cell r="J196">
            <v>6</v>
          </cell>
          <cell r="K196"/>
          <cell r="N196"/>
          <cell r="Q196"/>
        </row>
        <row r="197">
          <cell r="B197" t="str">
            <v>Bove Farré, Isabel</v>
          </cell>
          <cell r="C197" t="str">
            <v>Professional</v>
          </cell>
          <cell r="D197" t="str">
            <v>5,9</v>
          </cell>
          <cell r="E197">
            <v>0</v>
          </cell>
          <cell r="F197"/>
          <cell r="H197"/>
          <cell r="I197"/>
          <cell r="J197"/>
          <cell r="K197"/>
          <cell r="N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</row>
        <row r="198">
          <cell r="B198" t="str">
            <v>Bravo Correa, Montserrat</v>
          </cell>
          <cell r="C198" t="str">
            <v>Professional</v>
          </cell>
          <cell r="D198">
            <v>5.9</v>
          </cell>
          <cell r="E198">
            <v>0</v>
          </cell>
        </row>
        <row r="199">
          <cell r="B199" t="str">
            <v>Bretaña Alberdi, Ione</v>
          </cell>
          <cell r="C199" t="str">
            <v>Professional</v>
          </cell>
          <cell r="D199">
            <v>5.9</v>
          </cell>
          <cell r="E199">
            <v>0</v>
          </cell>
        </row>
        <row r="200">
          <cell r="B200" t="str">
            <v>Brito Sánchez, Ana Isabel</v>
          </cell>
          <cell r="C200" t="str">
            <v>Professional</v>
          </cell>
          <cell r="D200">
            <v>5.9</v>
          </cell>
          <cell r="E200">
            <v>0</v>
          </cell>
        </row>
        <row r="201">
          <cell r="B201" t="str">
            <v>Brocal Ruiz, Rebeca</v>
          </cell>
          <cell r="C201" t="str">
            <v>Professional</v>
          </cell>
          <cell r="D201">
            <v>5.9</v>
          </cell>
          <cell r="E201">
            <v>1.4</v>
          </cell>
          <cell r="O201">
            <v>2</v>
          </cell>
          <cell r="U201"/>
          <cell r="V201"/>
          <cell r="W201"/>
          <cell r="X201"/>
          <cell r="Y201"/>
          <cell r="Z201"/>
          <cell r="AA201"/>
          <cell r="AB201"/>
          <cell r="AC201"/>
          <cell r="AD201"/>
        </row>
        <row r="202">
          <cell r="B202" t="str">
            <v>Budia Velo, José Miguel</v>
          </cell>
          <cell r="C202" t="str">
            <v>Professional</v>
          </cell>
          <cell r="D202">
            <v>5.9</v>
          </cell>
          <cell r="E202">
            <v>0</v>
          </cell>
        </row>
        <row r="203">
          <cell r="B203" t="str">
            <v>Bueno Fortes, Santiago</v>
          </cell>
          <cell r="C203" t="str">
            <v>Professional</v>
          </cell>
          <cell r="D203" t="str">
            <v>5,9</v>
          </cell>
          <cell r="E203">
            <v>0</v>
          </cell>
          <cell r="F203"/>
          <cell r="H203"/>
          <cell r="I203"/>
          <cell r="J203"/>
          <cell r="K203"/>
          <cell r="N203"/>
          <cell r="Q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</row>
        <row r="204">
          <cell r="B204" t="str">
            <v>Bullón Benito, Elisa</v>
          </cell>
          <cell r="C204" t="str">
            <v>Professional</v>
          </cell>
          <cell r="D204">
            <v>5.9</v>
          </cell>
          <cell r="E204">
            <v>0</v>
          </cell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</row>
        <row r="205">
          <cell r="B205" t="str">
            <v>Burdeos Palau, Elena</v>
          </cell>
          <cell r="C205" t="str">
            <v>Professional</v>
          </cell>
          <cell r="D205" t="str">
            <v>5,9</v>
          </cell>
          <cell r="E205">
            <v>0</v>
          </cell>
          <cell r="F205"/>
          <cell r="H205"/>
          <cell r="I205"/>
          <cell r="J205"/>
          <cell r="K205"/>
          <cell r="N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</row>
        <row r="206">
          <cell r="B206" t="str">
            <v>Burgos Jiménez, Rubén Jorge</v>
          </cell>
          <cell r="C206" t="str">
            <v>Professional</v>
          </cell>
          <cell r="D206">
            <v>5.9</v>
          </cell>
          <cell r="E206">
            <v>2.1</v>
          </cell>
          <cell r="G206">
            <v>3</v>
          </cell>
          <cell r="Q206"/>
          <cell r="R206"/>
          <cell r="S206"/>
          <cell r="T206"/>
        </row>
        <row r="207">
          <cell r="B207" t="str">
            <v>Burgos Panadero, Rebeca</v>
          </cell>
          <cell r="C207" t="str">
            <v>Professional</v>
          </cell>
          <cell r="D207" t="str">
            <v>5,9</v>
          </cell>
          <cell r="E207">
            <v>0</v>
          </cell>
          <cell r="Q207"/>
          <cell r="R207" t="str">
            <v>No asignar en abril</v>
          </cell>
          <cell r="U207"/>
          <cell r="V207"/>
          <cell r="W207"/>
          <cell r="X207"/>
          <cell r="Y207"/>
          <cell r="Z207"/>
          <cell r="AA207"/>
          <cell r="AB207"/>
          <cell r="AC207"/>
          <cell r="AD207"/>
        </row>
        <row r="208">
          <cell r="B208" t="str">
            <v>Cabello Vives, Mercedes Yolanda</v>
          </cell>
          <cell r="C208" t="str">
            <v>Professional</v>
          </cell>
          <cell r="D208" t="str">
            <v>5,9</v>
          </cell>
          <cell r="E208">
            <v>1.4</v>
          </cell>
          <cell r="F208"/>
          <cell r="H208"/>
          <cell r="I208">
            <v>2</v>
          </cell>
          <cell r="J208"/>
          <cell r="K208"/>
          <cell r="Q208"/>
        </row>
        <row r="209">
          <cell r="B209" t="str">
            <v>Cabo Meseguer, Asensio Francisco</v>
          </cell>
          <cell r="C209" t="str">
            <v>Professional</v>
          </cell>
          <cell r="D209">
            <v>5.9</v>
          </cell>
          <cell r="E209">
            <v>0</v>
          </cell>
          <cell r="N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C209"/>
          <cell r="AD209"/>
        </row>
        <row r="210">
          <cell r="B210" t="str">
            <v>Cabré García, Marta</v>
          </cell>
          <cell r="C210" t="str">
            <v>Professional</v>
          </cell>
          <cell r="D210">
            <v>5.9</v>
          </cell>
          <cell r="E210">
            <v>0</v>
          </cell>
          <cell r="I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C210"/>
          <cell r="AD210"/>
        </row>
        <row r="211">
          <cell r="B211" t="str">
            <v>Calle Ibáñez, Ada Jianmei</v>
          </cell>
          <cell r="C211" t="str">
            <v>Professional</v>
          </cell>
          <cell r="D211" t="str">
            <v>5,9</v>
          </cell>
          <cell r="E211">
            <v>0</v>
          </cell>
          <cell r="F211"/>
          <cell r="H211"/>
          <cell r="I211"/>
          <cell r="J211"/>
          <cell r="K211"/>
          <cell r="N211"/>
          <cell r="Q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</row>
        <row r="212">
          <cell r="B212" t="str">
            <v>Camacho Ruiz, Julio Ángel</v>
          </cell>
          <cell r="C212" t="str">
            <v>Professional</v>
          </cell>
          <cell r="D212">
            <v>5.9</v>
          </cell>
          <cell r="E212">
            <v>0</v>
          </cell>
          <cell r="I212"/>
        </row>
        <row r="213">
          <cell r="B213" t="str">
            <v>Cámara Navarro, Nuria</v>
          </cell>
          <cell r="C213" t="str">
            <v>Professional</v>
          </cell>
          <cell r="D213" t="str">
            <v>5,9</v>
          </cell>
          <cell r="E213">
            <v>0</v>
          </cell>
          <cell r="F213"/>
          <cell r="H213"/>
          <cell r="I213"/>
          <cell r="J213"/>
          <cell r="K213"/>
          <cell r="N213"/>
          <cell r="Q213"/>
          <cell r="U213"/>
          <cell r="V213"/>
          <cell r="W213"/>
          <cell r="X213"/>
          <cell r="Y213"/>
          <cell r="Z213"/>
          <cell r="AA213"/>
          <cell r="AB213"/>
          <cell r="AC213"/>
          <cell r="AD213"/>
        </row>
        <row r="214">
          <cell r="B214" t="str">
            <v>Cámara Navarro, Raquel</v>
          </cell>
          <cell r="C214" t="str">
            <v>Professional</v>
          </cell>
          <cell r="D214" t="str">
            <v>5,9</v>
          </cell>
          <cell r="E214">
            <v>0</v>
          </cell>
          <cell r="F214"/>
          <cell r="H214"/>
          <cell r="I214"/>
          <cell r="J214"/>
          <cell r="K214"/>
          <cell r="N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</row>
        <row r="215">
          <cell r="B215" t="str">
            <v>Campos de Miranda, Vanessa Helena</v>
          </cell>
          <cell r="C215" t="str">
            <v>Professional</v>
          </cell>
          <cell r="D215">
            <v>5.9</v>
          </cell>
          <cell r="E215">
            <v>0</v>
          </cell>
          <cell r="I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</row>
        <row r="216">
          <cell r="B216" t="str">
            <v>Camprodon Boadas, Patricia</v>
          </cell>
          <cell r="C216" t="str">
            <v>Professional</v>
          </cell>
          <cell r="D216">
            <v>5.9</v>
          </cell>
          <cell r="E216">
            <v>0</v>
          </cell>
          <cell r="I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</row>
        <row r="217">
          <cell r="B217" t="str">
            <v>Cañas Cañas, Rubén</v>
          </cell>
          <cell r="C217" t="str">
            <v>Professional</v>
          </cell>
          <cell r="D217" t="str">
            <v>5,9</v>
          </cell>
          <cell r="E217">
            <v>0</v>
          </cell>
          <cell r="F217"/>
          <cell r="H217"/>
          <cell r="I217"/>
          <cell r="J217"/>
          <cell r="K217"/>
          <cell r="N217"/>
          <cell r="Q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</row>
        <row r="218">
          <cell r="B218" t="str">
            <v>Cantón Habas, Vanesa</v>
          </cell>
          <cell r="C218" t="str">
            <v>Professional</v>
          </cell>
          <cell r="D218" t="str">
            <v>5,9</v>
          </cell>
          <cell r="E218">
            <v>0</v>
          </cell>
          <cell r="F218"/>
          <cell r="H218"/>
          <cell r="I218"/>
          <cell r="J218"/>
          <cell r="K218"/>
          <cell r="N218"/>
          <cell r="Q218"/>
        </row>
        <row r="219">
          <cell r="B219" t="str">
            <v>Caparrós González, Rafael Arcangel</v>
          </cell>
          <cell r="C219" t="str">
            <v>Professional</v>
          </cell>
          <cell r="D219">
            <v>5.9</v>
          </cell>
          <cell r="E219">
            <v>0</v>
          </cell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</row>
        <row r="220">
          <cell r="B220" t="str">
            <v>Carbajo García, Maria Cristina</v>
          </cell>
          <cell r="C220" t="str">
            <v>Professional</v>
          </cell>
          <cell r="D220" t="str">
            <v>5,9</v>
          </cell>
          <cell r="E220">
            <v>0</v>
          </cell>
          <cell r="F220"/>
          <cell r="H220"/>
          <cell r="I220"/>
          <cell r="J220"/>
          <cell r="K220"/>
          <cell r="N220"/>
          <cell r="Q220"/>
          <cell r="R220"/>
          <cell r="S220"/>
          <cell r="T220"/>
        </row>
        <row r="221">
          <cell r="B221" t="str">
            <v>Cárcel Valle, Lucía</v>
          </cell>
          <cell r="C221" t="str">
            <v>Professional</v>
          </cell>
          <cell r="D221">
            <v>5.9</v>
          </cell>
          <cell r="E221">
            <v>0</v>
          </cell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</row>
        <row r="222">
          <cell r="B222" t="str">
            <v>Carda Diéguez, Miguel</v>
          </cell>
          <cell r="C222" t="str">
            <v>Professional</v>
          </cell>
          <cell r="D222" t="str">
            <v>5,9</v>
          </cell>
          <cell r="E222">
            <v>0</v>
          </cell>
          <cell r="F222"/>
          <cell r="H222"/>
          <cell r="I222"/>
          <cell r="J222"/>
          <cell r="K222"/>
          <cell r="N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</row>
        <row r="223">
          <cell r="B223" t="str">
            <v>Carrascosa Martinez, Esther</v>
          </cell>
          <cell r="C223" t="str">
            <v>Professional</v>
          </cell>
          <cell r="D223" t="str">
            <v>5,9</v>
          </cell>
          <cell r="E223">
            <v>0</v>
          </cell>
          <cell r="I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</row>
        <row r="224">
          <cell r="B224" t="str">
            <v>Carreras del Rincón, Joan</v>
          </cell>
          <cell r="C224" t="str">
            <v>Professional</v>
          </cell>
          <cell r="D224">
            <v>5.9</v>
          </cell>
          <cell r="E224">
            <v>0</v>
          </cell>
          <cell r="I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C224"/>
          <cell r="AD224"/>
        </row>
        <row r="225">
          <cell r="B225" t="str">
            <v>Carrero Puerto, María de los Ángeles</v>
          </cell>
          <cell r="C225" t="str">
            <v>Professional</v>
          </cell>
          <cell r="D225">
            <v>5.9</v>
          </cell>
          <cell r="E225">
            <v>0</v>
          </cell>
          <cell r="Q225"/>
          <cell r="R225"/>
          <cell r="S225"/>
          <cell r="T225"/>
        </row>
        <row r="226">
          <cell r="B226" t="str">
            <v>Cartas Cejudo, Paz</v>
          </cell>
          <cell r="C226" t="str">
            <v>Professional</v>
          </cell>
          <cell r="D226" t="str">
            <v>5,9</v>
          </cell>
          <cell r="E226">
            <v>3.5</v>
          </cell>
          <cell r="F226"/>
          <cell r="H226"/>
          <cell r="I226"/>
          <cell r="J226">
            <v>5</v>
          </cell>
          <cell r="K226"/>
          <cell r="N226"/>
          <cell r="Q226"/>
        </row>
        <row r="227">
          <cell r="B227" t="str">
            <v>Casabó Vallés, Germán</v>
          </cell>
          <cell r="C227" t="str">
            <v>Professional</v>
          </cell>
          <cell r="D227" t="str">
            <v>5,9</v>
          </cell>
          <cell r="E227">
            <v>0</v>
          </cell>
          <cell r="F227"/>
          <cell r="H227"/>
          <cell r="I227"/>
          <cell r="J227"/>
          <cell r="K227"/>
          <cell r="N227"/>
          <cell r="Q227"/>
        </row>
        <row r="228">
          <cell r="B228" t="str">
            <v>Castro Cañizares, Danilka</v>
          </cell>
          <cell r="C228" t="str">
            <v>Professional</v>
          </cell>
          <cell r="D228">
            <v>5.9</v>
          </cell>
          <cell r="E228">
            <v>3.5</v>
          </cell>
          <cell r="G228">
            <v>2</v>
          </cell>
          <cell r="M228">
            <v>3</v>
          </cell>
        </row>
        <row r="229">
          <cell r="B229" t="str">
            <v>Castro Zavala, Adriana</v>
          </cell>
          <cell r="C229" t="str">
            <v>Professional</v>
          </cell>
          <cell r="D229">
            <v>5.9</v>
          </cell>
          <cell r="E229">
            <v>0</v>
          </cell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</row>
        <row r="230">
          <cell r="B230" t="str">
            <v>Catalán Prades, Laura</v>
          </cell>
          <cell r="C230" t="str">
            <v>Professional</v>
          </cell>
          <cell r="D230" t="str">
            <v>5,9</v>
          </cell>
          <cell r="E230">
            <v>0</v>
          </cell>
          <cell r="F230"/>
          <cell r="H230"/>
          <cell r="I230"/>
          <cell r="J230"/>
          <cell r="K230"/>
          <cell r="N230"/>
          <cell r="Q230"/>
          <cell r="U230"/>
          <cell r="V230"/>
          <cell r="W230"/>
          <cell r="X230"/>
          <cell r="Y230"/>
          <cell r="Z230"/>
          <cell r="AA230"/>
          <cell r="AB230"/>
          <cell r="AC230"/>
          <cell r="AD230"/>
        </row>
        <row r="231">
          <cell r="B231" t="str">
            <v>Caudet Pastor, Carlos</v>
          </cell>
          <cell r="C231" t="str">
            <v>Professional</v>
          </cell>
          <cell r="D231">
            <v>5.9</v>
          </cell>
          <cell r="E231">
            <v>0</v>
          </cell>
          <cell r="I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C231"/>
          <cell r="AD231"/>
        </row>
        <row r="232">
          <cell r="B232" t="str">
            <v>Caurcel Cara, María Jesús</v>
          </cell>
          <cell r="C232" t="str">
            <v>Professional</v>
          </cell>
          <cell r="D232">
            <v>5.9</v>
          </cell>
          <cell r="E232">
            <v>0</v>
          </cell>
          <cell r="I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</row>
        <row r="233">
          <cell r="B233" t="str">
            <v>Centelles González, Olga</v>
          </cell>
          <cell r="C233" t="str">
            <v>Professional</v>
          </cell>
          <cell r="D233">
            <v>5.9</v>
          </cell>
          <cell r="E233">
            <v>0</v>
          </cell>
        </row>
        <row r="234">
          <cell r="B234" t="str">
            <v>Cerdá Blasco, María Eugenia</v>
          </cell>
          <cell r="C234" t="str">
            <v>Professional</v>
          </cell>
          <cell r="D234" t="str">
            <v>5,9</v>
          </cell>
          <cell r="E234">
            <v>0</v>
          </cell>
          <cell r="F234"/>
          <cell r="H234"/>
          <cell r="N234"/>
          <cell r="Q234"/>
        </row>
        <row r="235">
          <cell r="B235" t="str">
            <v>Cervera Vidal, Raimundo</v>
          </cell>
          <cell r="C235" t="str">
            <v>Professional</v>
          </cell>
          <cell r="D235" t="str">
            <v>5,9</v>
          </cell>
          <cell r="E235">
            <v>0</v>
          </cell>
          <cell r="F235"/>
          <cell r="H235"/>
          <cell r="I235"/>
          <cell r="J235"/>
          <cell r="K235"/>
          <cell r="N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</row>
        <row r="236">
          <cell r="B236" t="str">
            <v>Céspedes Rubio, Claudia Lorena</v>
          </cell>
          <cell r="C236" t="str">
            <v>Professional</v>
          </cell>
          <cell r="D236">
            <v>5.9</v>
          </cell>
          <cell r="E236">
            <v>0</v>
          </cell>
          <cell r="F236"/>
          <cell r="G236"/>
          <cell r="H236"/>
          <cell r="I236"/>
          <cell r="J236"/>
          <cell r="K236"/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C236"/>
          <cell r="AD236"/>
        </row>
        <row r="237">
          <cell r="B237" t="str">
            <v>Chaves Martínez, Felipe Javier</v>
          </cell>
          <cell r="C237" t="str">
            <v>Professional</v>
          </cell>
          <cell r="D237" t="str">
            <v>5,9</v>
          </cell>
          <cell r="E237">
            <v>0</v>
          </cell>
          <cell r="F237"/>
          <cell r="H237"/>
          <cell r="I237"/>
          <cell r="J237"/>
          <cell r="K237"/>
          <cell r="N237"/>
          <cell r="Q237"/>
          <cell r="U237"/>
          <cell r="V237"/>
          <cell r="W237"/>
          <cell r="X237"/>
          <cell r="Y237"/>
          <cell r="Z237"/>
          <cell r="AA237"/>
          <cell r="AB237"/>
          <cell r="AC237"/>
          <cell r="AD237"/>
        </row>
        <row r="238">
          <cell r="B238" t="str">
            <v>Chico Muciño, Verónica</v>
          </cell>
          <cell r="C238" t="str">
            <v>Professional</v>
          </cell>
          <cell r="D238">
            <v>5.9</v>
          </cell>
          <cell r="E238">
            <v>0</v>
          </cell>
          <cell r="I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</row>
        <row r="239">
          <cell r="B239" t="str">
            <v>Climent Rubio, Andrés</v>
          </cell>
          <cell r="C239" t="str">
            <v>Professional</v>
          </cell>
          <cell r="D239" t="str">
            <v>5,9</v>
          </cell>
          <cell r="E239">
            <v>0</v>
          </cell>
          <cell r="F239"/>
          <cell r="H239"/>
          <cell r="I239"/>
          <cell r="J239"/>
          <cell r="K239"/>
          <cell r="N239"/>
          <cell r="Q239"/>
        </row>
        <row r="240">
          <cell r="B240" t="str">
            <v>Cobo Sánchez, José Luis</v>
          </cell>
          <cell r="C240" t="str">
            <v>Professional</v>
          </cell>
          <cell r="D240" t="str">
            <v>5,9</v>
          </cell>
          <cell r="E240">
            <v>1.4</v>
          </cell>
          <cell r="F240"/>
          <cell r="H240"/>
          <cell r="I240">
            <v>2</v>
          </cell>
          <cell r="J240"/>
          <cell r="K240"/>
          <cell r="N240"/>
          <cell r="Q240"/>
          <cell r="R240" t="str">
            <v>este año no tiene disponibilidad</v>
          </cell>
        </row>
        <row r="241">
          <cell r="B241" t="str">
            <v>Cócola Coria, Facundo Nicolás</v>
          </cell>
          <cell r="C241" t="str">
            <v>Professional</v>
          </cell>
          <cell r="D241">
            <v>5.9</v>
          </cell>
          <cell r="E241">
            <v>2.8</v>
          </cell>
          <cell r="L241">
            <v>4</v>
          </cell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</row>
        <row r="242">
          <cell r="B242" t="str">
            <v>Collado Ruano, Javier</v>
          </cell>
          <cell r="C242" t="str">
            <v>Professional</v>
          </cell>
          <cell r="D242">
            <v>5.9</v>
          </cell>
          <cell r="E242">
            <v>0</v>
          </cell>
          <cell r="I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</row>
        <row r="243">
          <cell r="B243" t="str">
            <v>Collantes Mora, Ana</v>
          </cell>
          <cell r="C243" t="str">
            <v>Professional</v>
          </cell>
          <cell r="D243">
            <v>5.9</v>
          </cell>
          <cell r="E243">
            <v>0</v>
          </cell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</row>
        <row r="244">
          <cell r="B244" t="str">
            <v>Colunga Santos, Silvia</v>
          </cell>
          <cell r="C244" t="str">
            <v>Professional</v>
          </cell>
          <cell r="D244">
            <v>5.9</v>
          </cell>
          <cell r="E244">
            <v>0</v>
          </cell>
          <cell r="I244"/>
          <cell r="Q244"/>
          <cell r="R244"/>
          <cell r="S244"/>
          <cell r="T244"/>
        </row>
        <row r="245">
          <cell r="B245" t="str">
            <v>Combadiera Gallardo, Lorena</v>
          </cell>
          <cell r="C245" t="str">
            <v>Professional</v>
          </cell>
          <cell r="D245">
            <v>5.9</v>
          </cell>
          <cell r="E245">
            <v>0</v>
          </cell>
        </row>
        <row r="246">
          <cell r="B246" t="str">
            <v>Conejero Gascón, Daniel</v>
          </cell>
          <cell r="C246" t="str">
            <v>Professional</v>
          </cell>
          <cell r="D246">
            <v>5.9</v>
          </cell>
          <cell r="E246">
            <v>0</v>
          </cell>
          <cell r="F246"/>
          <cell r="G246"/>
          <cell r="H246"/>
          <cell r="I246"/>
          <cell r="J246"/>
          <cell r="K246"/>
          <cell r="L246"/>
          <cell r="M246"/>
          <cell r="N246"/>
          <cell r="O246"/>
          <cell r="P246"/>
          <cell r="Q246"/>
          <cell r="R246"/>
          <cell r="S246"/>
          <cell r="T246"/>
        </row>
        <row r="247">
          <cell r="B247" t="str">
            <v>Corchén Nelli, Federico</v>
          </cell>
          <cell r="C247" t="str">
            <v>Professional</v>
          </cell>
          <cell r="D247">
            <v>5.9</v>
          </cell>
          <cell r="E247">
            <v>0</v>
          </cell>
        </row>
        <row r="248">
          <cell r="B248" t="str">
            <v>Corchón Arreche, Silvia</v>
          </cell>
          <cell r="C248" t="str">
            <v>Professional</v>
          </cell>
          <cell r="D248" t="str">
            <v>5,9</v>
          </cell>
          <cell r="E248">
            <v>0</v>
          </cell>
          <cell r="F248"/>
          <cell r="H248"/>
          <cell r="I248"/>
          <cell r="J248"/>
          <cell r="K248"/>
          <cell r="N248"/>
          <cell r="Q248"/>
        </row>
        <row r="249">
          <cell r="B249" t="str">
            <v>Corradi, Guido Bartolomé</v>
          </cell>
          <cell r="C249" t="str">
            <v>Professional</v>
          </cell>
          <cell r="D249">
            <v>5.9</v>
          </cell>
          <cell r="E249">
            <v>0</v>
          </cell>
        </row>
        <row r="250">
          <cell r="B250" t="str">
            <v>Cortés Vergaz, Raquel</v>
          </cell>
          <cell r="C250" t="str">
            <v>Professional</v>
          </cell>
          <cell r="D250" t="str">
            <v>5,9</v>
          </cell>
          <cell r="E250">
            <v>0</v>
          </cell>
          <cell r="F250"/>
          <cell r="H250"/>
          <cell r="I250"/>
          <cell r="J250"/>
          <cell r="K250"/>
          <cell r="N250"/>
          <cell r="Q250"/>
        </row>
        <row r="251">
          <cell r="B251" t="str">
            <v>Cregenzán Royo, Olga</v>
          </cell>
          <cell r="C251" t="str">
            <v>Professional</v>
          </cell>
          <cell r="D251">
            <v>5.9</v>
          </cell>
          <cell r="E251">
            <v>0</v>
          </cell>
          <cell r="Q251"/>
          <cell r="R251"/>
          <cell r="S251"/>
          <cell r="T251"/>
        </row>
        <row r="252">
          <cell r="B252" t="str">
            <v>Crespo Delgado, Elena</v>
          </cell>
          <cell r="C252" t="str">
            <v>Professional</v>
          </cell>
          <cell r="D252">
            <v>5.9</v>
          </cell>
          <cell r="E252">
            <v>0</v>
          </cell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</row>
        <row r="253">
          <cell r="B253" t="str">
            <v>Criado del Valle, Carlos Hugo</v>
          </cell>
          <cell r="C253" t="str">
            <v>Professional</v>
          </cell>
          <cell r="D253">
            <v>5.9</v>
          </cell>
          <cell r="E253">
            <v>0</v>
          </cell>
          <cell r="I253"/>
          <cell r="Q253"/>
          <cell r="R253"/>
          <cell r="S253"/>
          <cell r="T253"/>
        </row>
        <row r="254">
          <cell r="B254" t="str">
            <v>Cruz Ramos, María Consuelo</v>
          </cell>
          <cell r="C254" t="str">
            <v>Professional</v>
          </cell>
          <cell r="D254">
            <v>5.9</v>
          </cell>
          <cell r="E254">
            <v>0</v>
          </cell>
          <cell r="Q254"/>
          <cell r="R254"/>
          <cell r="S254"/>
          <cell r="T254"/>
        </row>
        <row r="255">
          <cell r="B255" t="str">
            <v>Cuenca Gil, Rocío</v>
          </cell>
          <cell r="C255" t="str">
            <v>Professional</v>
          </cell>
          <cell r="D255">
            <v>5.9</v>
          </cell>
          <cell r="E255">
            <v>0</v>
          </cell>
        </row>
        <row r="256">
          <cell r="B256" t="str">
            <v>Cuesta Díaz, Carlos Manuel</v>
          </cell>
          <cell r="C256" t="str">
            <v>Professional</v>
          </cell>
          <cell r="D256" t="str">
            <v>5,9</v>
          </cell>
          <cell r="E256">
            <v>0</v>
          </cell>
          <cell r="F256"/>
          <cell r="H256"/>
          <cell r="I256"/>
          <cell r="J256"/>
          <cell r="K256"/>
          <cell r="N256"/>
          <cell r="Q256"/>
        </row>
        <row r="257">
          <cell r="B257" t="str">
            <v>Cuevas López, Paula Cecilia</v>
          </cell>
          <cell r="C257" t="str">
            <v>Professional</v>
          </cell>
          <cell r="D257">
            <v>5.9</v>
          </cell>
          <cell r="E257">
            <v>0</v>
          </cell>
          <cell r="Q257"/>
          <cell r="R257"/>
          <cell r="S257"/>
          <cell r="T257"/>
        </row>
        <row r="258">
          <cell r="B258" t="str">
            <v>Cuevas Pérez, Denise</v>
          </cell>
          <cell r="C258" t="str">
            <v>Professional</v>
          </cell>
          <cell r="D258" t="str">
            <v>5,9</v>
          </cell>
          <cell r="E258">
            <v>0</v>
          </cell>
          <cell r="F258"/>
          <cell r="H258"/>
          <cell r="I258"/>
          <cell r="J258"/>
          <cell r="K258"/>
          <cell r="N258"/>
          <cell r="Q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</row>
        <row r="259">
          <cell r="B259" t="str">
            <v>Cuevas Tena, María</v>
          </cell>
          <cell r="C259" t="str">
            <v>Professional</v>
          </cell>
          <cell r="D259" t="str">
            <v>5,9</v>
          </cell>
          <cell r="E259">
            <v>0</v>
          </cell>
          <cell r="F259"/>
          <cell r="H259"/>
          <cell r="I259"/>
          <cell r="J259"/>
          <cell r="K259"/>
          <cell r="N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</row>
        <row r="260">
          <cell r="B260" t="str">
            <v>Da Silveira, Suellyn Valdirene</v>
          </cell>
          <cell r="C260" t="str">
            <v>Professional</v>
          </cell>
          <cell r="D260" t="str">
            <v>5,9</v>
          </cell>
          <cell r="E260">
            <v>0</v>
          </cell>
          <cell r="F260"/>
          <cell r="H260"/>
          <cell r="I260"/>
          <cell r="J260"/>
          <cell r="K260"/>
          <cell r="N260"/>
          <cell r="Q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</row>
        <row r="261">
          <cell r="B261" t="str">
            <v>de Jesús Araujo, Grecia</v>
          </cell>
          <cell r="C261" t="str">
            <v>Professional</v>
          </cell>
          <cell r="D261">
            <v>5.9</v>
          </cell>
          <cell r="E261">
            <v>0</v>
          </cell>
          <cell r="I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</row>
        <row r="262">
          <cell r="B262" t="str">
            <v>De la Cruz Campos, Juan Carlos</v>
          </cell>
          <cell r="C262" t="str">
            <v>Professional</v>
          </cell>
          <cell r="D262">
            <v>5.9</v>
          </cell>
          <cell r="E262">
            <v>0</v>
          </cell>
          <cell r="I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</row>
        <row r="263">
          <cell r="B263" t="str">
            <v>De la Hoz Ruiz, Javier</v>
          </cell>
          <cell r="C263" t="str">
            <v>Professional</v>
          </cell>
          <cell r="D263">
            <v>5.9</v>
          </cell>
          <cell r="E263">
            <v>0</v>
          </cell>
        </row>
        <row r="264">
          <cell r="B264" t="str">
            <v>De la Osa Subtil, Iria</v>
          </cell>
          <cell r="C264" t="str">
            <v>Professional</v>
          </cell>
          <cell r="D264">
            <v>5.9</v>
          </cell>
          <cell r="E264">
            <v>0</v>
          </cell>
          <cell r="I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</row>
        <row r="265">
          <cell r="B265" t="str">
            <v>de la Puente Robles, Beatriz María</v>
          </cell>
          <cell r="C265" t="str">
            <v>Professional</v>
          </cell>
          <cell r="D265" t="str">
            <v>5,9</v>
          </cell>
          <cell r="E265">
            <v>0</v>
          </cell>
          <cell r="F265"/>
          <cell r="H265"/>
          <cell r="I265"/>
          <cell r="J265"/>
          <cell r="K265"/>
          <cell r="N265"/>
          <cell r="Q265"/>
        </row>
        <row r="266">
          <cell r="B266" t="str">
            <v>De la Rosa Gómez, Anabel</v>
          </cell>
          <cell r="C266" t="str">
            <v>Professional</v>
          </cell>
          <cell r="D266">
            <v>5.9</v>
          </cell>
          <cell r="E266">
            <v>0</v>
          </cell>
        </row>
        <row r="267">
          <cell r="B267" t="str">
            <v>De la Torre Luque, Alejandro Francisco</v>
          </cell>
          <cell r="C267" t="str">
            <v>Professional</v>
          </cell>
          <cell r="D267">
            <v>5.9</v>
          </cell>
          <cell r="E267">
            <v>0</v>
          </cell>
        </row>
        <row r="268">
          <cell r="B268" t="str">
            <v>de Miguel Álvaro, Alejandro</v>
          </cell>
          <cell r="C268" t="str">
            <v>Professional</v>
          </cell>
          <cell r="D268">
            <v>5.9</v>
          </cell>
          <cell r="E268">
            <v>0</v>
          </cell>
          <cell r="U268"/>
          <cell r="V268"/>
          <cell r="W268"/>
          <cell r="X268"/>
          <cell r="Y268"/>
          <cell r="Z268"/>
          <cell r="AA268"/>
          <cell r="AB268"/>
          <cell r="AC268"/>
          <cell r="AD268"/>
        </row>
        <row r="269">
          <cell r="B269" t="str">
            <v>De Narciso González, Miriam</v>
          </cell>
          <cell r="C269" t="str">
            <v>Professional</v>
          </cell>
          <cell r="D269">
            <v>5.9</v>
          </cell>
          <cell r="E269">
            <v>0</v>
          </cell>
        </row>
        <row r="270">
          <cell r="B270" t="str">
            <v>De Paz Ríos, Juan Carlos</v>
          </cell>
          <cell r="C270" t="str">
            <v>Professional</v>
          </cell>
          <cell r="D270">
            <v>5.9</v>
          </cell>
          <cell r="E270">
            <v>0</v>
          </cell>
          <cell r="N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</row>
        <row r="271">
          <cell r="B271" t="str">
            <v>Del Barrio Herguedas, Estefanía</v>
          </cell>
          <cell r="C271" t="str">
            <v>Professional</v>
          </cell>
          <cell r="D271">
            <v>5.9</v>
          </cell>
          <cell r="E271">
            <v>0</v>
          </cell>
          <cell r="Q271"/>
          <cell r="R271" t="str">
            <v>no tutoriza en octubre</v>
          </cell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</row>
        <row r="272">
          <cell r="B272" t="str">
            <v>Del Caño Espinel, Manuela</v>
          </cell>
          <cell r="C272" t="str">
            <v>Professional</v>
          </cell>
          <cell r="D272">
            <v>5.9</v>
          </cell>
          <cell r="E272">
            <v>3.5</v>
          </cell>
          <cell r="O272">
            <v>5</v>
          </cell>
        </row>
        <row r="273">
          <cell r="B273" t="str">
            <v>del Castillo Laguna, Laura</v>
          </cell>
          <cell r="C273" t="str">
            <v>Professional</v>
          </cell>
          <cell r="D273" t="str">
            <v>5,9</v>
          </cell>
          <cell r="E273">
            <v>0</v>
          </cell>
          <cell r="F273"/>
          <cell r="H273"/>
          <cell r="I273"/>
          <cell r="J273"/>
          <cell r="K273"/>
          <cell r="N273"/>
          <cell r="Q273"/>
          <cell r="R273"/>
          <cell r="S273"/>
          <cell r="T273"/>
        </row>
        <row r="274">
          <cell r="B274" t="str">
            <v>Del Valle Carranza, Andrea</v>
          </cell>
          <cell r="C274" t="str">
            <v>Professional</v>
          </cell>
          <cell r="D274">
            <v>5.9</v>
          </cell>
          <cell r="E274">
            <v>0</v>
          </cell>
          <cell r="Q274"/>
          <cell r="R274"/>
          <cell r="S274"/>
          <cell r="T274"/>
        </row>
        <row r="275">
          <cell r="B275" t="str">
            <v>Del Valle Chauvet, Lilian</v>
          </cell>
          <cell r="C275" t="str">
            <v>Professional</v>
          </cell>
          <cell r="D275">
            <v>5.9</v>
          </cell>
          <cell r="E275">
            <v>0</v>
          </cell>
        </row>
        <row r="276">
          <cell r="B276" t="str">
            <v>Del Zotto Libonati, Patricia Mónica</v>
          </cell>
          <cell r="C276" t="str">
            <v>Professional</v>
          </cell>
          <cell r="D276">
            <v>5.9</v>
          </cell>
          <cell r="E276">
            <v>0</v>
          </cell>
          <cell r="L276"/>
        </row>
        <row r="277">
          <cell r="B277" t="str">
            <v>Delgado García, Vanessa</v>
          </cell>
          <cell r="C277" t="str">
            <v>Professional</v>
          </cell>
          <cell r="D277">
            <v>5.9</v>
          </cell>
          <cell r="E277">
            <v>0</v>
          </cell>
        </row>
        <row r="278">
          <cell r="B278" t="str">
            <v>Demestre Viladevall, Maria</v>
          </cell>
          <cell r="C278" t="str">
            <v>Professional</v>
          </cell>
          <cell r="D278">
            <v>5.9</v>
          </cell>
          <cell r="E278">
            <v>2.1</v>
          </cell>
          <cell r="O278">
            <v>3</v>
          </cell>
          <cell r="U278"/>
          <cell r="V278"/>
          <cell r="W278"/>
          <cell r="X278"/>
          <cell r="Y278"/>
          <cell r="Z278"/>
          <cell r="AA278"/>
          <cell r="AB278"/>
          <cell r="AC278"/>
          <cell r="AD278"/>
        </row>
        <row r="279">
          <cell r="B279" t="str">
            <v>Deroncele Acosta, Ángel</v>
          </cell>
          <cell r="C279" t="str">
            <v>Professional</v>
          </cell>
          <cell r="D279">
            <v>5.9</v>
          </cell>
          <cell r="E279">
            <v>0</v>
          </cell>
        </row>
        <row r="280">
          <cell r="B280" t="str">
            <v>Diana Pérez, Marina</v>
          </cell>
          <cell r="C280" t="str">
            <v>Professional</v>
          </cell>
          <cell r="D280" t="str">
            <v>5,9</v>
          </cell>
          <cell r="E280">
            <v>0</v>
          </cell>
          <cell r="F280"/>
          <cell r="H280"/>
          <cell r="I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C280"/>
          <cell r="AD280"/>
        </row>
        <row r="281">
          <cell r="B281" t="str">
            <v>Díaz García, Guillermo</v>
          </cell>
          <cell r="C281" t="str">
            <v>Professional</v>
          </cell>
          <cell r="D281">
            <v>5.9</v>
          </cell>
          <cell r="E281">
            <v>0</v>
          </cell>
        </row>
        <row r="282">
          <cell r="B282" t="str">
            <v>Díaz Martínez, Marta</v>
          </cell>
          <cell r="C282" t="str">
            <v>Professional</v>
          </cell>
          <cell r="D282" t="str">
            <v>5,9</v>
          </cell>
          <cell r="E282">
            <v>0</v>
          </cell>
          <cell r="F282"/>
          <cell r="H282"/>
          <cell r="I282"/>
          <cell r="J282"/>
          <cell r="K282"/>
          <cell r="N282"/>
          <cell r="Q282"/>
        </row>
        <row r="283">
          <cell r="B283" t="str">
            <v>Díaz Planelles, Isabel</v>
          </cell>
          <cell r="C283" t="str">
            <v>Professional</v>
          </cell>
          <cell r="D283" t="str">
            <v>5,9</v>
          </cell>
          <cell r="E283">
            <v>0</v>
          </cell>
          <cell r="F283"/>
          <cell r="H283"/>
          <cell r="I283"/>
          <cell r="J283"/>
          <cell r="K283"/>
          <cell r="N283"/>
          <cell r="Q283"/>
        </row>
        <row r="284">
          <cell r="B284" t="str">
            <v>Díaz Rodríguez, Carlos</v>
          </cell>
          <cell r="C284" t="str">
            <v>Professional</v>
          </cell>
          <cell r="D284">
            <v>5.9</v>
          </cell>
          <cell r="E284">
            <v>0</v>
          </cell>
        </row>
        <row r="285">
          <cell r="B285" t="str">
            <v>Díaz Sosa, Dulce María</v>
          </cell>
          <cell r="C285" t="str">
            <v>Professional</v>
          </cell>
          <cell r="D285">
            <v>5.9</v>
          </cell>
          <cell r="E285">
            <v>0</v>
          </cell>
          <cell r="I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</row>
        <row r="286">
          <cell r="B286" t="str">
            <v>Díaz Vera, Alcibíades Segundo</v>
          </cell>
          <cell r="C286" t="str">
            <v>Professional</v>
          </cell>
          <cell r="D286" t="str">
            <v>5,9</v>
          </cell>
          <cell r="E286">
            <v>7</v>
          </cell>
          <cell r="F286"/>
          <cell r="H286"/>
          <cell r="I286">
            <v>3</v>
          </cell>
          <cell r="J286"/>
          <cell r="K286"/>
          <cell r="N286">
            <v>7</v>
          </cell>
          <cell r="Q286"/>
        </row>
        <row r="287">
          <cell r="B287" t="str">
            <v>Díez Juan, Antonio</v>
          </cell>
          <cell r="C287" t="str">
            <v>Professional</v>
          </cell>
          <cell r="D287" t="str">
            <v>5,9</v>
          </cell>
          <cell r="E287">
            <v>0</v>
          </cell>
          <cell r="F287"/>
          <cell r="H287"/>
          <cell r="Q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</row>
        <row r="288">
          <cell r="B288" t="str">
            <v>Domingo Valero, Laura</v>
          </cell>
          <cell r="C288" t="str">
            <v>Professional</v>
          </cell>
          <cell r="D288">
            <v>5.9</v>
          </cell>
          <cell r="E288">
            <v>0</v>
          </cell>
        </row>
        <row r="289">
          <cell r="B289" t="str">
            <v>Domínguez Navarro, Fernando</v>
          </cell>
          <cell r="C289" t="str">
            <v>Professional</v>
          </cell>
          <cell r="D289" t="str">
            <v>5,9</v>
          </cell>
          <cell r="E289">
            <v>0</v>
          </cell>
          <cell r="F289"/>
          <cell r="H289"/>
          <cell r="I289"/>
          <cell r="J289"/>
          <cell r="K289"/>
          <cell r="N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</row>
        <row r="290">
          <cell r="B290" t="str">
            <v>Domínguez Salas, Sara</v>
          </cell>
          <cell r="C290" t="str">
            <v>Professional</v>
          </cell>
          <cell r="D290">
            <v>5.9</v>
          </cell>
          <cell r="E290">
            <v>0</v>
          </cell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</row>
        <row r="291">
          <cell r="B291" t="str">
            <v>Domínguez Valerio, Cándida María</v>
          </cell>
          <cell r="C291" t="str">
            <v>Professional</v>
          </cell>
          <cell r="D291">
            <v>5.9</v>
          </cell>
          <cell r="E291">
            <v>0</v>
          </cell>
        </row>
        <row r="292">
          <cell r="B292" t="str">
            <v>Donato, Donatella</v>
          </cell>
          <cell r="C292" t="str">
            <v>Professional</v>
          </cell>
          <cell r="D292">
            <v>5.9</v>
          </cell>
          <cell r="E292">
            <v>0</v>
          </cell>
          <cell r="I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C292"/>
          <cell r="AD292"/>
        </row>
        <row r="293">
          <cell r="B293" t="str">
            <v>Doval Moreno, Sandra</v>
          </cell>
          <cell r="C293" t="str">
            <v>Professional</v>
          </cell>
          <cell r="D293">
            <v>5.9</v>
          </cell>
          <cell r="E293">
            <v>0</v>
          </cell>
        </row>
        <row r="294">
          <cell r="B294" t="str">
            <v>Durán Morales, María Carmen</v>
          </cell>
          <cell r="C294" t="str">
            <v>Professional</v>
          </cell>
          <cell r="D294">
            <v>5.9</v>
          </cell>
          <cell r="E294">
            <v>0</v>
          </cell>
        </row>
        <row r="295">
          <cell r="B295" t="str">
            <v>Durban Sánchez, Jordi</v>
          </cell>
          <cell r="C295" t="str">
            <v>Professional</v>
          </cell>
          <cell r="D295" t="str">
            <v>5,9</v>
          </cell>
          <cell r="E295">
            <v>0</v>
          </cell>
          <cell r="F295"/>
          <cell r="H295"/>
          <cell r="I295"/>
          <cell r="J295"/>
          <cell r="K295"/>
          <cell r="N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</row>
        <row r="296">
          <cell r="B296" t="str">
            <v>Echániz Serrano, Emmanuel</v>
          </cell>
          <cell r="C296" t="str">
            <v>Professional</v>
          </cell>
          <cell r="D296" t="str">
            <v>5,9</v>
          </cell>
          <cell r="E296">
            <v>0</v>
          </cell>
          <cell r="F296"/>
          <cell r="H296"/>
          <cell r="I296"/>
          <cell r="J296"/>
          <cell r="K296"/>
          <cell r="N296"/>
          <cell r="Q296"/>
          <cell r="R296"/>
          <cell r="S296"/>
          <cell r="T296"/>
        </row>
        <row r="297">
          <cell r="B297" t="str">
            <v>Echavarría Ramírez, Luis Miguel</v>
          </cell>
          <cell r="C297" t="str">
            <v>Professional</v>
          </cell>
          <cell r="D297">
            <v>5.9</v>
          </cell>
          <cell r="E297">
            <v>2.8</v>
          </cell>
          <cell r="I297"/>
          <cell r="O297">
            <v>4</v>
          </cell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</row>
        <row r="298">
          <cell r="B298" t="str">
            <v>Egea Carro, María</v>
          </cell>
          <cell r="C298" t="str">
            <v>Professional</v>
          </cell>
          <cell r="D298" t="str">
            <v>5,9</v>
          </cell>
          <cell r="E298">
            <v>0</v>
          </cell>
          <cell r="F298"/>
          <cell r="H298"/>
          <cell r="I298"/>
          <cell r="J298"/>
          <cell r="K298"/>
          <cell r="N298"/>
          <cell r="Q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</row>
        <row r="299">
          <cell r="B299" t="str">
            <v>Escarabajal Arrieta, María Dolores</v>
          </cell>
          <cell r="C299" t="str">
            <v>Professional</v>
          </cell>
          <cell r="D299">
            <v>5.9</v>
          </cell>
          <cell r="E299">
            <v>0</v>
          </cell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</row>
        <row r="300">
          <cell r="B300" t="str">
            <v>Escobar García, Purificación</v>
          </cell>
          <cell r="C300" t="str">
            <v>Professional</v>
          </cell>
          <cell r="D300">
            <v>5.9</v>
          </cell>
          <cell r="E300">
            <v>1.4</v>
          </cell>
          <cell r="G300"/>
          <cell r="I300"/>
          <cell r="M300">
            <v>2</v>
          </cell>
        </row>
        <row r="301">
          <cell r="B301" t="str">
            <v>Escriche Escuder, Sandra</v>
          </cell>
          <cell r="C301" t="str">
            <v>Professional</v>
          </cell>
          <cell r="D301" t="str">
            <v>5,9</v>
          </cell>
          <cell r="E301">
            <v>7</v>
          </cell>
          <cell r="F301"/>
          <cell r="H301"/>
          <cell r="I301">
            <v>5</v>
          </cell>
          <cell r="J301"/>
          <cell r="K301"/>
          <cell r="N301">
            <v>5</v>
          </cell>
          <cell r="Q301"/>
          <cell r="R301"/>
          <cell r="S301"/>
          <cell r="T301"/>
        </row>
        <row r="302">
          <cell r="B302" t="str">
            <v>Escudero Lara, Alejandra</v>
          </cell>
          <cell r="C302" t="str">
            <v>Professional</v>
          </cell>
          <cell r="D302" t="str">
            <v>5,9</v>
          </cell>
          <cell r="E302">
            <v>0</v>
          </cell>
          <cell r="Q302"/>
          <cell r="R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</row>
        <row r="303">
          <cell r="B303" t="str">
            <v>Escudero Moreno, Berta</v>
          </cell>
          <cell r="C303" t="str">
            <v>Professional</v>
          </cell>
          <cell r="D303">
            <v>5.9</v>
          </cell>
          <cell r="E303">
            <v>0</v>
          </cell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</row>
        <row r="304">
          <cell r="B304" t="str">
            <v>Esteban Sánchez, Laura</v>
          </cell>
          <cell r="C304" t="str">
            <v>Professional</v>
          </cell>
          <cell r="D304">
            <v>5.9</v>
          </cell>
          <cell r="E304">
            <v>0</v>
          </cell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</row>
        <row r="305">
          <cell r="B305" t="str">
            <v>Fagundes Vila, Caterine</v>
          </cell>
          <cell r="C305" t="str">
            <v>Professional</v>
          </cell>
          <cell r="D305">
            <v>5.9</v>
          </cell>
          <cell r="E305">
            <v>0</v>
          </cell>
          <cell r="Q305"/>
          <cell r="R305"/>
          <cell r="S305"/>
          <cell r="T305"/>
        </row>
        <row r="306">
          <cell r="B306" t="str">
            <v>Fandiño Pascual, Ricardo</v>
          </cell>
          <cell r="C306" t="str">
            <v>Professional</v>
          </cell>
          <cell r="D306">
            <v>5.9</v>
          </cell>
          <cell r="E306">
            <v>0</v>
          </cell>
          <cell r="I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C306"/>
          <cell r="AD306"/>
        </row>
        <row r="307">
          <cell r="B307" t="str">
            <v>Farfallini, Luis</v>
          </cell>
          <cell r="C307" t="str">
            <v>Professional</v>
          </cell>
          <cell r="D307">
            <v>5.9</v>
          </cell>
          <cell r="E307">
            <v>0</v>
          </cell>
        </row>
        <row r="308">
          <cell r="B308" t="str">
            <v>Fariñas Iglesias, Borja</v>
          </cell>
          <cell r="C308" t="str">
            <v>Professional</v>
          </cell>
          <cell r="D308">
            <v>5.9</v>
          </cell>
          <cell r="E308">
            <v>0</v>
          </cell>
        </row>
        <row r="309">
          <cell r="B309" t="str">
            <v>Faura García, Juan</v>
          </cell>
          <cell r="C309" t="str">
            <v>Professional</v>
          </cell>
          <cell r="D309">
            <v>5.9</v>
          </cell>
          <cell r="E309">
            <v>0</v>
          </cell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</row>
        <row r="310">
          <cell r="B310" t="str">
            <v>Favre Rodríguez, Carlos</v>
          </cell>
          <cell r="C310" t="str">
            <v>Professional</v>
          </cell>
          <cell r="D310">
            <v>5.9</v>
          </cell>
          <cell r="E310">
            <v>0</v>
          </cell>
          <cell r="I310"/>
        </row>
        <row r="311">
          <cell r="B311" t="str">
            <v>Femenia Mulet, Sabrina</v>
          </cell>
          <cell r="C311" t="str">
            <v>Professional</v>
          </cell>
          <cell r="D311" t="str">
            <v>5,9</v>
          </cell>
          <cell r="E311">
            <v>0</v>
          </cell>
          <cell r="F311"/>
          <cell r="H311"/>
          <cell r="I311"/>
          <cell r="J311"/>
          <cell r="K311"/>
          <cell r="N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</row>
        <row r="312">
          <cell r="B312" t="str">
            <v>Fernández Álvarez, Ana</v>
          </cell>
          <cell r="C312" t="str">
            <v>Professional</v>
          </cell>
          <cell r="D312" t="str">
            <v>5,9</v>
          </cell>
          <cell r="E312">
            <v>0</v>
          </cell>
          <cell r="F312"/>
          <cell r="H312"/>
          <cell r="I312"/>
          <cell r="J312"/>
          <cell r="K312"/>
          <cell r="N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</row>
        <row r="313">
          <cell r="B313" t="str">
            <v>Fernández Artamendi, Sergio</v>
          </cell>
          <cell r="C313" t="str">
            <v>Professional</v>
          </cell>
          <cell r="D313">
            <v>5.9</v>
          </cell>
          <cell r="E313">
            <v>0</v>
          </cell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</row>
        <row r="314">
          <cell r="B314" t="str">
            <v>Fernández Carrión, Rebeca</v>
          </cell>
          <cell r="C314" t="str">
            <v>Professional</v>
          </cell>
          <cell r="D314" t="str">
            <v>5,9</v>
          </cell>
          <cell r="E314">
            <v>0</v>
          </cell>
          <cell r="F314"/>
          <cell r="H314"/>
          <cell r="I314"/>
          <cell r="J314"/>
          <cell r="K314"/>
          <cell r="N314"/>
          <cell r="Q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</row>
        <row r="315">
          <cell r="B315" t="str">
            <v>Fernández Catalina, Paola</v>
          </cell>
          <cell r="C315" t="str">
            <v>Professional</v>
          </cell>
          <cell r="D315">
            <v>5.9</v>
          </cell>
          <cell r="E315">
            <v>1.4</v>
          </cell>
          <cell r="G315">
            <v>1</v>
          </cell>
          <cell r="I315"/>
          <cell r="M315">
            <v>1</v>
          </cell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</row>
        <row r="316">
          <cell r="B316" t="str">
            <v>Fernández Kirszman, Javier</v>
          </cell>
          <cell r="C316" t="str">
            <v>Professional</v>
          </cell>
          <cell r="D316">
            <v>5.9</v>
          </cell>
          <cell r="E316">
            <v>0</v>
          </cell>
        </row>
        <row r="317">
          <cell r="B317" t="str">
            <v>Fernández López, Maria</v>
          </cell>
          <cell r="C317" t="str">
            <v>Professional</v>
          </cell>
          <cell r="D317">
            <v>5.9</v>
          </cell>
          <cell r="E317">
            <v>0</v>
          </cell>
          <cell r="I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</row>
        <row r="318">
          <cell r="B318" t="str">
            <v>Fernández Presa, Urko</v>
          </cell>
          <cell r="C318" t="str">
            <v>Professional</v>
          </cell>
          <cell r="D318" t="str">
            <v>5,9</v>
          </cell>
          <cell r="E318">
            <v>0</v>
          </cell>
          <cell r="F318"/>
          <cell r="H318"/>
          <cell r="I318"/>
          <cell r="J318"/>
          <cell r="K318"/>
          <cell r="N318"/>
          <cell r="Q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</row>
        <row r="319">
          <cell r="B319" t="str">
            <v>Fernández Recio, Juan</v>
          </cell>
          <cell r="C319" t="str">
            <v>Professional</v>
          </cell>
          <cell r="D319" t="str">
            <v>5,9</v>
          </cell>
          <cell r="E319">
            <v>0</v>
          </cell>
          <cell r="F319"/>
          <cell r="H319"/>
          <cell r="I319"/>
          <cell r="J319"/>
          <cell r="K319"/>
          <cell r="N319"/>
          <cell r="Q319"/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  <cell r="AA319" t="str">
            <v/>
          </cell>
          <cell r="AB319" t="str">
            <v/>
          </cell>
          <cell r="AC319" t="str">
            <v/>
          </cell>
        </row>
        <row r="320">
          <cell r="B320" t="str">
            <v>Fernández Sabatés, Mònica</v>
          </cell>
          <cell r="C320" t="str">
            <v>Professional</v>
          </cell>
          <cell r="D320" t="str">
            <v>5,9</v>
          </cell>
          <cell r="E320">
            <v>0.7</v>
          </cell>
          <cell r="F320"/>
          <cell r="H320"/>
          <cell r="I320"/>
          <cell r="J320"/>
          <cell r="K320"/>
          <cell r="N320">
            <v>1</v>
          </cell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C320"/>
          <cell r="AD320"/>
        </row>
        <row r="321">
          <cell r="B321" t="str">
            <v>Fernández Salinero San Martín, Samuel</v>
          </cell>
          <cell r="C321" t="str">
            <v>Professional</v>
          </cell>
          <cell r="D321">
            <v>5.9</v>
          </cell>
          <cell r="E321">
            <v>0</v>
          </cell>
        </row>
        <row r="322">
          <cell r="B322" t="str">
            <v>Fernández Sánchez, Maria</v>
          </cell>
          <cell r="C322" t="str">
            <v>Professional</v>
          </cell>
          <cell r="D322">
            <v>5.9</v>
          </cell>
          <cell r="E322">
            <v>0</v>
          </cell>
          <cell r="I322"/>
          <cell r="Q322"/>
          <cell r="R322"/>
          <cell r="S322"/>
          <cell r="T322"/>
        </row>
        <row r="323">
          <cell r="B323" t="str">
            <v>Fernández Sánchez, María Dolores</v>
          </cell>
          <cell r="C323" t="str">
            <v>Professional</v>
          </cell>
          <cell r="D323">
            <v>5.9</v>
          </cell>
          <cell r="E323">
            <v>0</v>
          </cell>
        </row>
        <row r="324">
          <cell r="B324" t="str">
            <v>Fernández Serrano, Ana Belén</v>
          </cell>
          <cell r="C324" t="str">
            <v>Professional</v>
          </cell>
          <cell r="D324">
            <v>5.9</v>
          </cell>
          <cell r="E324">
            <v>2.8</v>
          </cell>
          <cell r="L324">
            <v>4</v>
          </cell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</row>
        <row r="325">
          <cell r="B325" t="str">
            <v>Fernández Tobar, Blanca Isabel</v>
          </cell>
          <cell r="C325" t="str">
            <v>Professional</v>
          </cell>
          <cell r="D325">
            <v>5.9</v>
          </cell>
          <cell r="E325">
            <v>0</v>
          </cell>
          <cell r="I325"/>
          <cell r="Q325"/>
          <cell r="R325"/>
          <cell r="S325"/>
          <cell r="T325"/>
        </row>
        <row r="326">
          <cell r="B326" t="str">
            <v>Figueiredo Duarte Heiber, Rafael</v>
          </cell>
          <cell r="C326" t="str">
            <v>Professional</v>
          </cell>
          <cell r="D326">
            <v>5.9</v>
          </cell>
          <cell r="E326">
            <v>0</v>
          </cell>
        </row>
        <row r="327">
          <cell r="B327" t="str">
            <v>Flores Plata, Lorena Alejandra</v>
          </cell>
          <cell r="C327" t="str">
            <v>Professional</v>
          </cell>
          <cell r="D327">
            <v>5.9</v>
          </cell>
          <cell r="E327">
            <v>0</v>
          </cell>
          <cell r="Q327"/>
          <cell r="R327"/>
          <cell r="S327"/>
          <cell r="T327"/>
        </row>
        <row r="328">
          <cell r="B328" t="str">
            <v>Fonseca Baeza, Sara</v>
          </cell>
          <cell r="C328" t="str">
            <v>Professional</v>
          </cell>
          <cell r="D328">
            <v>5.9</v>
          </cell>
          <cell r="E328">
            <v>0</v>
          </cell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</row>
        <row r="329">
          <cell r="B329" t="str">
            <v>Forn Villanova, Maria Lourdes</v>
          </cell>
          <cell r="C329" t="str">
            <v>Professional</v>
          </cell>
          <cell r="D329">
            <v>5.9</v>
          </cell>
          <cell r="E329">
            <v>0</v>
          </cell>
        </row>
        <row r="330">
          <cell r="B330" t="str">
            <v>Fornes Romero, Gertrudis</v>
          </cell>
          <cell r="C330" t="str">
            <v>Professional</v>
          </cell>
          <cell r="D330">
            <v>5.9</v>
          </cell>
          <cell r="E330">
            <v>0</v>
          </cell>
        </row>
        <row r="331">
          <cell r="B331" t="str">
            <v>Fortea García, Encarna</v>
          </cell>
          <cell r="C331" t="str">
            <v>Professional</v>
          </cell>
          <cell r="D331" t="str">
            <v>5,9</v>
          </cell>
          <cell r="E331">
            <v>0</v>
          </cell>
          <cell r="F331"/>
          <cell r="H331"/>
          <cell r="I331"/>
          <cell r="J331"/>
          <cell r="K331"/>
          <cell r="N331"/>
          <cell r="Q331"/>
        </row>
        <row r="332">
          <cell r="B332" t="str">
            <v>Fouce Ferández, José Guillermo</v>
          </cell>
          <cell r="C332" t="str">
            <v>Professional</v>
          </cell>
          <cell r="D332">
            <v>5.9</v>
          </cell>
          <cell r="E332">
            <v>0</v>
          </cell>
          <cell r="U332"/>
          <cell r="V332"/>
          <cell r="W332"/>
          <cell r="X332"/>
          <cell r="Y332"/>
          <cell r="Z332"/>
          <cell r="AA332"/>
          <cell r="AB332"/>
          <cell r="AC332"/>
          <cell r="AD332"/>
        </row>
        <row r="333">
          <cell r="B333" t="str">
            <v>Fraga Seijas, Carlota</v>
          </cell>
          <cell r="C333" t="str">
            <v>Professional</v>
          </cell>
          <cell r="D333" t="str">
            <v>5,9</v>
          </cell>
          <cell r="E333">
            <v>7</v>
          </cell>
          <cell r="F333">
            <v>5</v>
          </cell>
          <cell r="J333">
            <v>5</v>
          </cell>
          <cell r="N333"/>
          <cell r="Q333"/>
        </row>
        <row r="334">
          <cell r="B334" t="str">
            <v>Franch Socias, Caterina Maria</v>
          </cell>
          <cell r="C334" t="str">
            <v>Professional</v>
          </cell>
          <cell r="D334" t="str">
            <v>5,9</v>
          </cell>
          <cell r="E334">
            <v>0</v>
          </cell>
          <cell r="I334"/>
          <cell r="S334"/>
          <cell r="T334"/>
        </row>
        <row r="335">
          <cell r="B335" t="str">
            <v>Fuentes De Frutos, Silvia</v>
          </cell>
          <cell r="C335" t="str">
            <v>Professional</v>
          </cell>
          <cell r="D335">
            <v>5.9</v>
          </cell>
          <cell r="E335">
            <v>0</v>
          </cell>
          <cell r="H335"/>
          <cell r="I335"/>
          <cell r="N335"/>
          <cell r="Q335"/>
          <cell r="R335"/>
          <cell r="S335"/>
          <cell r="T335"/>
        </row>
        <row r="336">
          <cell r="B336" t="str">
            <v>Fuentes Ferrada, Reiner Emmanuel</v>
          </cell>
          <cell r="C336" t="str">
            <v>Professional</v>
          </cell>
          <cell r="D336">
            <v>5.9</v>
          </cell>
          <cell r="E336">
            <v>0</v>
          </cell>
        </row>
        <row r="337">
          <cell r="B337" t="str">
            <v>Fuentes Trillo, Azahara</v>
          </cell>
          <cell r="C337" t="str">
            <v>Professional</v>
          </cell>
          <cell r="D337" t="str">
            <v>5,9</v>
          </cell>
          <cell r="E337">
            <v>0</v>
          </cell>
          <cell r="F337"/>
          <cell r="H337"/>
          <cell r="I337"/>
          <cell r="J337"/>
          <cell r="K337"/>
          <cell r="N337"/>
          <cell r="Q337"/>
        </row>
        <row r="338">
          <cell r="B338" t="str">
            <v>Gago Capote, José Antonio</v>
          </cell>
          <cell r="C338" t="str">
            <v>Professional</v>
          </cell>
          <cell r="D338" t="str">
            <v>5,9</v>
          </cell>
          <cell r="E338">
            <v>0</v>
          </cell>
          <cell r="F338"/>
          <cell r="H338"/>
          <cell r="I338"/>
          <cell r="J338"/>
          <cell r="K338"/>
          <cell r="N338"/>
          <cell r="Q338"/>
        </row>
        <row r="339">
          <cell r="B339" t="str">
            <v>Galán Chilet, Inmaculada</v>
          </cell>
          <cell r="C339" t="str">
            <v>Professional</v>
          </cell>
          <cell r="D339" t="str">
            <v>5,9</v>
          </cell>
          <cell r="E339">
            <v>0</v>
          </cell>
          <cell r="F339"/>
          <cell r="H339"/>
          <cell r="I339"/>
          <cell r="J339"/>
          <cell r="K339"/>
          <cell r="N339"/>
          <cell r="Q339"/>
        </row>
        <row r="340">
          <cell r="B340" t="str">
            <v>Galán Morillo, Manuel</v>
          </cell>
          <cell r="C340" t="str">
            <v>Professional</v>
          </cell>
          <cell r="D340">
            <v>5.9</v>
          </cell>
          <cell r="E340">
            <v>0</v>
          </cell>
          <cell r="Q340"/>
          <cell r="R340"/>
          <cell r="S340"/>
          <cell r="T340"/>
        </row>
        <row r="341">
          <cell r="B341" t="str">
            <v>Gallardo Montes, Carmen del Pilar</v>
          </cell>
          <cell r="C341" t="str">
            <v>Professional</v>
          </cell>
          <cell r="D341">
            <v>5.9</v>
          </cell>
          <cell r="E341">
            <v>0</v>
          </cell>
          <cell r="I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</row>
        <row r="342">
          <cell r="B342" t="str">
            <v>Gallart Palau, Xavier</v>
          </cell>
          <cell r="C342" t="str">
            <v>Professional</v>
          </cell>
          <cell r="D342">
            <v>5.9</v>
          </cell>
          <cell r="E342">
            <v>0</v>
          </cell>
          <cell r="Q342"/>
          <cell r="R342"/>
          <cell r="S342"/>
          <cell r="T342"/>
        </row>
        <row r="343">
          <cell r="B343" t="str">
            <v>Gallo Giunzioni, Karla Gabriela</v>
          </cell>
          <cell r="C343" t="str">
            <v>Professional</v>
          </cell>
          <cell r="D343">
            <v>5.9</v>
          </cell>
          <cell r="E343">
            <v>0</v>
          </cell>
          <cell r="Q343"/>
          <cell r="R343"/>
          <cell r="S343"/>
          <cell r="T343"/>
        </row>
        <row r="344">
          <cell r="B344" t="str">
            <v>Gálvez Sánchez, Carmen María</v>
          </cell>
          <cell r="C344" t="str">
            <v>Professional</v>
          </cell>
          <cell r="D344">
            <v>5.9</v>
          </cell>
          <cell r="E344">
            <v>0</v>
          </cell>
          <cell r="Q344"/>
          <cell r="R344"/>
          <cell r="S344"/>
          <cell r="T344"/>
        </row>
        <row r="345">
          <cell r="B345" t="str">
            <v>García Atutxa, Igor</v>
          </cell>
          <cell r="C345" t="str">
            <v>Professional</v>
          </cell>
          <cell r="D345" t="str">
            <v>5,9</v>
          </cell>
          <cell r="E345">
            <v>7</v>
          </cell>
          <cell r="F345">
            <v>5</v>
          </cell>
          <cell r="J345">
            <v>5</v>
          </cell>
          <cell r="K345"/>
          <cell r="N345"/>
          <cell r="Q345"/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  <cell r="AA345" t="str">
            <v/>
          </cell>
          <cell r="AB345" t="str">
            <v/>
          </cell>
          <cell r="AC345" t="str">
            <v/>
          </cell>
        </row>
        <row r="346">
          <cell r="B346" t="str">
            <v>García Barrera, Alba</v>
          </cell>
          <cell r="C346" t="str">
            <v>Professional</v>
          </cell>
          <cell r="D346">
            <v>5.9</v>
          </cell>
          <cell r="E346">
            <v>0</v>
          </cell>
          <cell r="Q346"/>
          <cell r="R346"/>
          <cell r="S346"/>
          <cell r="T346"/>
        </row>
        <row r="347">
          <cell r="B347" t="str">
            <v>García Candau, María del Mar</v>
          </cell>
          <cell r="C347" t="str">
            <v>Professional</v>
          </cell>
          <cell r="D347">
            <v>5.9</v>
          </cell>
          <cell r="E347">
            <v>0</v>
          </cell>
          <cell r="Q347"/>
          <cell r="R347"/>
          <cell r="S347"/>
          <cell r="T347"/>
        </row>
        <row r="348">
          <cell r="B348" t="str">
            <v>García Cebollada, Helena</v>
          </cell>
          <cell r="C348" t="str">
            <v>Professional</v>
          </cell>
          <cell r="D348" t="str">
            <v>5,9</v>
          </cell>
          <cell r="E348">
            <v>0</v>
          </cell>
          <cell r="F348"/>
          <cell r="H348"/>
          <cell r="I348"/>
          <cell r="J348"/>
          <cell r="K348"/>
          <cell r="N348"/>
          <cell r="Q348"/>
          <cell r="R348" t="str">
            <v>no tutorizará este curso</v>
          </cell>
        </row>
        <row r="349">
          <cell r="B349" t="str">
            <v>García García, Joana</v>
          </cell>
          <cell r="C349" t="str">
            <v>Professional</v>
          </cell>
          <cell r="D349" t="str">
            <v>5,9</v>
          </cell>
          <cell r="E349">
            <v>2.8</v>
          </cell>
          <cell r="F349"/>
          <cell r="H349"/>
          <cell r="I349">
            <v>4</v>
          </cell>
          <cell r="J349"/>
          <cell r="K349"/>
          <cell r="N349"/>
          <cell r="Q349"/>
        </row>
        <row r="350">
          <cell r="B350" t="str">
            <v>García Gómez, Raquel</v>
          </cell>
          <cell r="C350" t="str">
            <v>Professional</v>
          </cell>
          <cell r="D350">
            <v>5.9</v>
          </cell>
          <cell r="E350">
            <v>0</v>
          </cell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</row>
        <row r="351">
          <cell r="B351" t="str">
            <v>García Iglesias, Alberto</v>
          </cell>
          <cell r="C351" t="str">
            <v>Professional</v>
          </cell>
          <cell r="D351" t="str">
            <v>5,9</v>
          </cell>
          <cell r="E351">
            <v>0</v>
          </cell>
          <cell r="F351"/>
          <cell r="H351"/>
          <cell r="I351"/>
          <cell r="J351"/>
          <cell r="K351"/>
          <cell r="N351"/>
          <cell r="Q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</row>
        <row r="352">
          <cell r="B352" t="str">
            <v>García Iriarte, Antonio</v>
          </cell>
          <cell r="C352" t="str">
            <v>Professional</v>
          </cell>
          <cell r="D352" t="str">
            <v>5,9</v>
          </cell>
          <cell r="E352">
            <v>0</v>
          </cell>
          <cell r="F352"/>
          <cell r="H352"/>
          <cell r="I352"/>
          <cell r="J352"/>
          <cell r="K352"/>
          <cell r="N352"/>
          <cell r="Q352"/>
        </row>
        <row r="353">
          <cell r="B353" t="str">
            <v>García Lebrón, Raquel</v>
          </cell>
          <cell r="C353" t="str">
            <v>Professional</v>
          </cell>
          <cell r="D353">
            <v>5.9</v>
          </cell>
          <cell r="E353">
            <v>0</v>
          </cell>
          <cell r="I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</row>
        <row r="354">
          <cell r="B354" t="str">
            <v>García López, Juan Pablo</v>
          </cell>
          <cell r="C354" t="str">
            <v>Professional</v>
          </cell>
          <cell r="D354" t="str">
            <v>5,9</v>
          </cell>
          <cell r="E354">
            <v>0</v>
          </cell>
          <cell r="I354"/>
          <cell r="K354"/>
          <cell r="N354"/>
          <cell r="Q354"/>
          <cell r="R354" t="str">
            <v>no asignar en MBIF</v>
          </cell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</row>
        <row r="355">
          <cell r="B355" t="str">
            <v>García Martínez, Amparo</v>
          </cell>
          <cell r="C355" t="str">
            <v>Professional</v>
          </cell>
          <cell r="D355" t="str">
            <v>5,9</v>
          </cell>
          <cell r="E355">
            <v>0</v>
          </cell>
          <cell r="F355"/>
          <cell r="H355"/>
          <cell r="I355"/>
          <cell r="J355"/>
          <cell r="K355"/>
          <cell r="N355"/>
          <cell r="Q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</row>
        <row r="356">
          <cell r="B356" t="str">
            <v>García Martínez, Inmaculada</v>
          </cell>
          <cell r="C356" t="str">
            <v>Professional</v>
          </cell>
          <cell r="D356">
            <v>5.9</v>
          </cell>
          <cell r="E356">
            <v>0</v>
          </cell>
          <cell r="Q356"/>
          <cell r="R356"/>
          <cell r="S356"/>
          <cell r="T356"/>
        </row>
        <row r="357">
          <cell r="B357" t="str">
            <v>García Martínez, Pedro</v>
          </cell>
          <cell r="C357" t="str">
            <v>Professional</v>
          </cell>
          <cell r="D357" t="str">
            <v>5,9</v>
          </cell>
          <cell r="E357">
            <v>0</v>
          </cell>
          <cell r="F357"/>
          <cell r="H357"/>
          <cell r="I357"/>
          <cell r="J357"/>
          <cell r="K357"/>
          <cell r="N357"/>
          <cell r="Q357"/>
        </row>
        <row r="358">
          <cell r="B358" t="str">
            <v>García Munuera, Isabel María</v>
          </cell>
          <cell r="C358" t="str">
            <v>Professional</v>
          </cell>
          <cell r="D358">
            <v>5.9</v>
          </cell>
          <cell r="E358">
            <v>1.4</v>
          </cell>
          <cell r="M358">
            <v>2</v>
          </cell>
        </row>
        <row r="359">
          <cell r="B359" t="str">
            <v>García Romero, Cristina</v>
          </cell>
          <cell r="C359" t="str">
            <v>Professional</v>
          </cell>
          <cell r="D359">
            <v>5.9</v>
          </cell>
          <cell r="E359">
            <v>0</v>
          </cell>
          <cell r="I359"/>
          <cell r="Q359"/>
          <cell r="R359"/>
          <cell r="S359"/>
          <cell r="T359"/>
        </row>
        <row r="360">
          <cell r="B360" t="str">
            <v>García Valdecasas Prieto, Marina</v>
          </cell>
          <cell r="C360" t="str">
            <v>Professional</v>
          </cell>
          <cell r="D360">
            <v>5.9</v>
          </cell>
          <cell r="E360">
            <v>0</v>
          </cell>
        </row>
        <row r="361">
          <cell r="B361" t="str">
            <v>García Vicente, Sergio</v>
          </cell>
          <cell r="C361" t="str">
            <v>Professional</v>
          </cell>
          <cell r="D361" t="str">
            <v>5,9</v>
          </cell>
          <cell r="E361">
            <v>0</v>
          </cell>
          <cell r="F361"/>
          <cell r="H361"/>
          <cell r="I361"/>
          <cell r="J361"/>
          <cell r="K361"/>
          <cell r="N361"/>
          <cell r="Q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</row>
        <row r="362">
          <cell r="B362" t="str">
            <v>García Vita, María del Mar</v>
          </cell>
          <cell r="C362" t="str">
            <v>Professional</v>
          </cell>
          <cell r="D362">
            <v>5.9</v>
          </cell>
          <cell r="E362">
            <v>0</v>
          </cell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</row>
        <row r="363">
          <cell r="B363" t="str">
            <v>Garrido Martínez, Nicolás</v>
          </cell>
          <cell r="C363" t="str">
            <v>Professional</v>
          </cell>
          <cell r="D363">
            <v>5.9</v>
          </cell>
          <cell r="E363">
            <v>0</v>
          </cell>
          <cell r="Q363"/>
          <cell r="R363"/>
          <cell r="S363"/>
          <cell r="T363"/>
        </row>
        <row r="364">
          <cell r="B364" t="str">
            <v>Garzón Garzón, María José</v>
          </cell>
          <cell r="C364" t="str">
            <v>Professional</v>
          </cell>
          <cell r="D364" t="str">
            <v>5,9</v>
          </cell>
          <cell r="E364">
            <v>0</v>
          </cell>
          <cell r="F364"/>
          <cell r="H364"/>
          <cell r="I364"/>
          <cell r="J364"/>
          <cell r="K364"/>
          <cell r="N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</row>
        <row r="365">
          <cell r="B365" t="str">
            <v>Gascón Aguilar, Mariló</v>
          </cell>
          <cell r="C365" t="str">
            <v>Professional</v>
          </cell>
          <cell r="D365">
            <v>5.9</v>
          </cell>
          <cell r="E365">
            <v>0</v>
          </cell>
          <cell r="I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</row>
        <row r="366">
          <cell r="B366" t="str">
            <v>Genise, Nicolás</v>
          </cell>
          <cell r="C366" t="str">
            <v>Professional</v>
          </cell>
          <cell r="D366">
            <v>5.9</v>
          </cell>
          <cell r="E366">
            <v>0</v>
          </cell>
          <cell r="I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</row>
        <row r="367">
          <cell r="B367" t="str">
            <v>Giménez Díez, David</v>
          </cell>
          <cell r="C367" t="str">
            <v>Professional</v>
          </cell>
          <cell r="D367">
            <v>5.9</v>
          </cell>
          <cell r="E367">
            <v>3.5</v>
          </cell>
          <cell r="G367">
            <v>2</v>
          </cell>
          <cell r="I367"/>
          <cell r="M367">
            <v>3</v>
          </cell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</row>
        <row r="368">
          <cell r="B368" t="str">
            <v>Giménez Paños, Cristina</v>
          </cell>
          <cell r="C368" t="str">
            <v>Professional</v>
          </cell>
          <cell r="D368">
            <v>5.9</v>
          </cell>
          <cell r="E368">
            <v>0</v>
          </cell>
        </row>
        <row r="369">
          <cell r="B369" t="str">
            <v>Gimeno Valiente, Francisco</v>
          </cell>
          <cell r="C369" t="str">
            <v>Professional</v>
          </cell>
          <cell r="D369" t="str">
            <v>5,9</v>
          </cell>
          <cell r="E369">
            <v>2.1</v>
          </cell>
          <cell r="H369">
            <v>1</v>
          </cell>
          <cell r="K369">
            <v>2</v>
          </cell>
          <cell r="Q369"/>
          <cell r="R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</row>
        <row r="370">
          <cell r="B370" t="str">
            <v>Ginel Ramírez, Raquel</v>
          </cell>
          <cell r="C370" t="str">
            <v>Professional</v>
          </cell>
          <cell r="D370" t="str">
            <v>5,9</v>
          </cell>
          <cell r="E370">
            <v>0</v>
          </cell>
          <cell r="F370"/>
          <cell r="H370"/>
          <cell r="N370"/>
          <cell r="Q370"/>
        </row>
        <row r="371">
          <cell r="B371" t="str">
            <v>Gismera Neuberger, María Silvia</v>
          </cell>
          <cell r="C371" t="str">
            <v>Professional</v>
          </cell>
          <cell r="D371">
            <v>5.9</v>
          </cell>
          <cell r="E371">
            <v>4.1999999999999993</v>
          </cell>
          <cell r="G371">
            <v>3</v>
          </cell>
          <cell r="M371">
            <v>3</v>
          </cell>
          <cell r="Q371"/>
          <cell r="R371"/>
          <cell r="S371"/>
          <cell r="T371"/>
        </row>
        <row r="372">
          <cell r="B372" t="str">
            <v>Gogishvili Asanishvili, Megi</v>
          </cell>
          <cell r="C372" t="str">
            <v>Professional</v>
          </cell>
          <cell r="D372" t="str">
            <v>5,9</v>
          </cell>
          <cell r="E372">
            <v>0</v>
          </cell>
          <cell r="F372"/>
          <cell r="H372"/>
          <cell r="N372"/>
          <cell r="Q372"/>
          <cell r="R372" t="str">
            <v>baja maternidad hasta mayo 2026</v>
          </cell>
        </row>
        <row r="373">
          <cell r="B373" t="str">
            <v>Gómez Borges, Ari Wilson</v>
          </cell>
          <cell r="C373" t="str">
            <v>Professional</v>
          </cell>
          <cell r="D373">
            <v>5.9</v>
          </cell>
          <cell r="E373">
            <v>0</v>
          </cell>
        </row>
        <row r="374">
          <cell r="B374" t="str">
            <v>Gómez Cebrián, Nuria</v>
          </cell>
          <cell r="C374" t="str">
            <v>Professional</v>
          </cell>
          <cell r="D374" t="str">
            <v>5,9</v>
          </cell>
          <cell r="E374">
            <v>0</v>
          </cell>
          <cell r="F374"/>
          <cell r="H374"/>
          <cell r="I374"/>
          <cell r="J374"/>
          <cell r="K374"/>
          <cell r="N374"/>
          <cell r="Q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</row>
        <row r="375">
          <cell r="B375" t="str">
            <v>Gómez Escribano, Ana Pilar</v>
          </cell>
          <cell r="C375" t="str">
            <v>Professional</v>
          </cell>
          <cell r="D375" t="str">
            <v>5,9</v>
          </cell>
          <cell r="E375">
            <v>0</v>
          </cell>
          <cell r="F375"/>
          <cell r="H375"/>
          <cell r="I375"/>
          <cell r="J375"/>
          <cell r="K375"/>
          <cell r="N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</row>
        <row r="376">
          <cell r="B376" t="str">
            <v>Gómez Gallo, Diana Marcela</v>
          </cell>
          <cell r="C376" t="str">
            <v>Professional</v>
          </cell>
          <cell r="D376">
            <v>5.9</v>
          </cell>
          <cell r="E376">
            <v>0</v>
          </cell>
          <cell r="K376"/>
          <cell r="Q376"/>
          <cell r="R376"/>
          <cell r="S376"/>
          <cell r="T376"/>
        </row>
        <row r="377">
          <cell r="B377" t="str">
            <v>Gómez Romero, María del Rosario</v>
          </cell>
          <cell r="C377" t="str">
            <v>Professional</v>
          </cell>
          <cell r="D377" t="str">
            <v>5,9</v>
          </cell>
          <cell r="E377">
            <v>0</v>
          </cell>
          <cell r="F377"/>
          <cell r="H377"/>
          <cell r="I377"/>
          <cell r="J377"/>
          <cell r="K377"/>
          <cell r="N377"/>
          <cell r="Q377"/>
        </row>
        <row r="378">
          <cell r="B378" t="str">
            <v>Gómez Salgado, Patricia</v>
          </cell>
          <cell r="C378" t="str">
            <v>Professional</v>
          </cell>
          <cell r="D378">
            <v>5.9</v>
          </cell>
          <cell r="E378">
            <v>0</v>
          </cell>
          <cell r="L378"/>
        </row>
        <row r="379">
          <cell r="B379" t="str">
            <v>Gomis Jimeno, Francisco Javier</v>
          </cell>
          <cell r="C379" t="str">
            <v>Professional</v>
          </cell>
          <cell r="D379" t="str">
            <v>5,9</v>
          </cell>
          <cell r="E379">
            <v>0</v>
          </cell>
          <cell r="F379"/>
          <cell r="H379"/>
          <cell r="I379"/>
          <cell r="J379"/>
          <cell r="K379"/>
          <cell r="N379"/>
          <cell r="Q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</row>
        <row r="380">
          <cell r="B380" t="str">
            <v>González Aguilar, María Josefina</v>
          </cell>
          <cell r="C380" t="str">
            <v>Professional</v>
          </cell>
          <cell r="D380">
            <v>5.9</v>
          </cell>
          <cell r="E380">
            <v>0</v>
          </cell>
          <cell r="H380"/>
          <cell r="N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</row>
        <row r="381">
          <cell r="B381" t="str">
            <v>González Chordá, Víctor Manuel</v>
          </cell>
          <cell r="C381" t="str">
            <v>Professional</v>
          </cell>
          <cell r="D381" t="str">
            <v>5,9</v>
          </cell>
          <cell r="E381">
            <v>0</v>
          </cell>
          <cell r="F381"/>
          <cell r="H381"/>
          <cell r="I381"/>
          <cell r="J381"/>
          <cell r="K381"/>
          <cell r="N381"/>
          <cell r="Q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</row>
        <row r="382">
          <cell r="B382" t="str">
            <v>González de la Iglesia, María</v>
          </cell>
          <cell r="C382" t="str">
            <v>Professional</v>
          </cell>
          <cell r="D382" t="str">
            <v>5,9</v>
          </cell>
          <cell r="E382">
            <v>5.6</v>
          </cell>
          <cell r="F382"/>
          <cell r="H382">
            <v>2</v>
          </cell>
          <cell r="I382"/>
          <cell r="J382"/>
          <cell r="K382">
            <v>6</v>
          </cell>
          <cell r="N382"/>
          <cell r="Q382"/>
        </row>
        <row r="383">
          <cell r="B383" t="str">
            <v>González Fernández, Silvia</v>
          </cell>
          <cell r="C383" t="str">
            <v>Professional</v>
          </cell>
          <cell r="D383" t="str">
            <v>5,9</v>
          </cell>
          <cell r="E383">
            <v>2.1</v>
          </cell>
          <cell r="F383"/>
          <cell r="K383">
            <v>3</v>
          </cell>
          <cell r="Q383"/>
        </row>
        <row r="384">
          <cell r="B384" t="str">
            <v>González García, Sergio</v>
          </cell>
          <cell r="C384" t="str">
            <v>Professional</v>
          </cell>
          <cell r="D384">
            <v>5.9</v>
          </cell>
          <cell r="E384">
            <v>0</v>
          </cell>
        </row>
        <row r="385">
          <cell r="B385" t="str">
            <v>González Gil, Julio</v>
          </cell>
          <cell r="C385" t="str">
            <v>Professional</v>
          </cell>
          <cell r="D385" t="str">
            <v>5,9</v>
          </cell>
          <cell r="E385">
            <v>0</v>
          </cell>
          <cell r="F385"/>
          <cell r="H385"/>
          <cell r="I385"/>
          <cell r="J385"/>
          <cell r="K385"/>
          <cell r="N385"/>
          <cell r="Q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</row>
        <row r="386">
          <cell r="B386" t="str">
            <v>González Pais, María del Carmen</v>
          </cell>
          <cell r="C386" t="str">
            <v>Professional</v>
          </cell>
          <cell r="D386">
            <v>5.9</v>
          </cell>
          <cell r="E386">
            <v>0</v>
          </cell>
          <cell r="I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</row>
        <row r="387">
          <cell r="B387" t="str">
            <v>González Robles, Vicente Alberto</v>
          </cell>
          <cell r="C387" t="str">
            <v>Professional</v>
          </cell>
          <cell r="D387">
            <v>5.9</v>
          </cell>
          <cell r="E387">
            <v>0</v>
          </cell>
          <cell r="I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</row>
        <row r="388">
          <cell r="B388" t="str">
            <v>González Romero, Inmaculada</v>
          </cell>
          <cell r="C388" t="str">
            <v>Professional</v>
          </cell>
          <cell r="D388">
            <v>5.9</v>
          </cell>
          <cell r="E388">
            <v>0</v>
          </cell>
          <cell r="I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</row>
        <row r="389">
          <cell r="B389" t="str">
            <v>González Sánchez, Beatriz</v>
          </cell>
          <cell r="C389" t="str">
            <v>Professional</v>
          </cell>
          <cell r="D389" t="str">
            <v>5,9</v>
          </cell>
          <cell r="E389">
            <v>0</v>
          </cell>
          <cell r="F389"/>
          <cell r="H389"/>
          <cell r="I389"/>
          <cell r="J389"/>
          <cell r="K389"/>
          <cell r="N389"/>
          <cell r="Q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</row>
        <row r="390">
          <cell r="B390" t="str">
            <v>González Vaca, Julia</v>
          </cell>
          <cell r="C390" t="str">
            <v>Professional</v>
          </cell>
          <cell r="D390" t="str">
            <v>5,9</v>
          </cell>
          <cell r="E390">
            <v>0</v>
          </cell>
          <cell r="F390"/>
          <cell r="H390"/>
          <cell r="I390"/>
          <cell r="J390"/>
          <cell r="K390"/>
          <cell r="N390"/>
          <cell r="Q390"/>
        </row>
        <row r="391">
          <cell r="B391" t="str">
            <v>Gorchs Molist, Montserrat</v>
          </cell>
          <cell r="C391" t="str">
            <v>Professional</v>
          </cell>
          <cell r="D391" t="str">
            <v>5,9</v>
          </cell>
          <cell r="E391">
            <v>0</v>
          </cell>
          <cell r="F391"/>
          <cell r="H391"/>
          <cell r="I391"/>
          <cell r="J391"/>
          <cell r="K391"/>
          <cell r="N391"/>
          <cell r="Q391"/>
        </row>
        <row r="392">
          <cell r="B392" t="str">
            <v>Gozalbo Monfort, Mónica María</v>
          </cell>
          <cell r="C392" t="str">
            <v>Professional</v>
          </cell>
          <cell r="D392" t="str">
            <v>5,9</v>
          </cell>
          <cell r="E392">
            <v>0</v>
          </cell>
          <cell r="I392"/>
          <cell r="S392"/>
          <cell r="T392"/>
        </row>
        <row r="393">
          <cell r="B393" t="str">
            <v>Granada López, José Manuel</v>
          </cell>
          <cell r="C393" t="str">
            <v>Professional</v>
          </cell>
          <cell r="D393" t="str">
            <v>5,9</v>
          </cell>
          <cell r="E393">
            <v>3.5</v>
          </cell>
          <cell r="I393">
            <v>2</v>
          </cell>
          <cell r="N393">
            <v>3</v>
          </cell>
          <cell r="Q393"/>
          <cell r="R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</row>
        <row r="394">
          <cell r="B394" t="str">
            <v>Gross Tur, Ramiro</v>
          </cell>
          <cell r="C394" t="str">
            <v>Professional</v>
          </cell>
          <cell r="D394">
            <v>5.9</v>
          </cell>
          <cell r="E394">
            <v>0</v>
          </cell>
        </row>
        <row r="395">
          <cell r="B395" t="str">
            <v>Guijarro Blanco, José María</v>
          </cell>
          <cell r="C395" t="str">
            <v>Professional</v>
          </cell>
          <cell r="D395" t="str">
            <v>5,9</v>
          </cell>
          <cell r="E395">
            <v>6.3</v>
          </cell>
          <cell r="F395">
            <v>4</v>
          </cell>
          <cell r="J395">
            <v>5</v>
          </cell>
          <cell r="K395"/>
          <cell r="N395"/>
          <cell r="Q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</row>
        <row r="396">
          <cell r="B396" t="str">
            <v>Guil Bozal, Rocío</v>
          </cell>
          <cell r="C396" t="str">
            <v>Professional</v>
          </cell>
          <cell r="D396">
            <v>5.9</v>
          </cell>
          <cell r="E396">
            <v>0</v>
          </cell>
          <cell r="I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</row>
        <row r="397">
          <cell r="B397" t="str">
            <v>Guillamó Mínguez, Carlos</v>
          </cell>
          <cell r="C397" t="str">
            <v>Professional</v>
          </cell>
          <cell r="D397">
            <v>5.9</v>
          </cell>
          <cell r="E397">
            <v>8.3999999999999986</v>
          </cell>
          <cell r="G397">
            <v>3</v>
          </cell>
          <cell r="L397">
            <v>5</v>
          </cell>
          <cell r="M397">
            <v>4</v>
          </cell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</row>
        <row r="398">
          <cell r="B398" t="str">
            <v>Guillén Martín, María de la Paz</v>
          </cell>
          <cell r="C398" t="str">
            <v>Professional</v>
          </cell>
          <cell r="D398" t="str">
            <v>5,9</v>
          </cell>
          <cell r="E398">
            <v>2.1</v>
          </cell>
          <cell r="F398"/>
          <cell r="H398"/>
          <cell r="I398"/>
          <cell r="J398">
            <v>3</v>
          </cell>
          <cell r="K398"/>
          <cell r="N398"/>
          <cell r="Q398"/>
        </row>
        <row r="399">
          <cell r="B399" t="str">
            <v>Gutiérrez Naharro, Eva</v>
          </cell>
          <cell r="C399" t="str">
            <v>Professional</v>
          </cell>
          <cell r="D399" t="str">
            <v>5,9</v>
          </cell>
          <cell r="E399">
            <v>0</v>
          </cell>
          <cell r="F399"/>
          <cell r="H399"/>
          <cell r="I399"/>
          <cell r="J399"/>
          <cell r="K399"/>
          <cell r="N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</row>
        <row r="400">
          <cell r="B400" t="str">
            <v>Gutiérrez Trigo, Juan Manuel</v>
          </cell>
          <cell r="C400" t="str">
            <v>Professional</v>
          </cell>
          <cell r="D400">
            <v>5.9</v>
          </cell>
          <cell r="E400">
            <v>0</v>
          </cell>
          <cell r="I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</row>
        <row r="401">
          <cell r="B401" t="str">
            <v>Guzmán García, José Miguel</v>
          </cell>
          <cell r="C401" t="str">
            <v>Professional</v>
          </cell>
          <cell r="D401" t="str">
            <v>5,9</v>
          </cell>
          <cell r="E401">
            <v>0</v>
          </cell>
          <cell r="F401"/>
          <cell r="H401"/>
          <cell r="I401"/>
          <cell r="J401"/>
          <cell r="K401"/>
          <cell r="N401"/>
          <cell r="Q401"/>
        </row>
        <row r="402">
          <cell r="B402" t="str">
            <v>Herencias Rodríguez, Cristina</v>
          </cell>
          <cell r="C402" t="str">
            <v>Professional</v>
          </cell>
          <cell r="D402" t="str">
            <v>5,9</v>
          </cell>
          <cell r="E402">
            <v>1.4</v>
          </cell>
          <cell r="I402"/>
          <cell r="K402">
            <v>2</v>
          </cell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</row>
        <row r="403">
          <cell r="B403" t="str">
            <v>Hernández del Mazo, Patricia</v>
          </cell>
          <cell r="C403" t="str">
            <v>Professional</v>
          </cell>
          <cell r="D403">
            <v>5.9</v>
          </cell>
          <cell r="E403">
            <v>0</v>
          </cell>
        </row>
        <row r="404">
          <cell r="B404" t="str">
            <v>Hernández Hernández, Cristo Nauzet</v>
          </cell>
          <cell r="C404" t="str">
            <v>Professional</v>
          </cell>
          <cell r="D404" t="str">
            <v>5,9</v>
          </cell>
          <cell r="E404">
            <v>0</v>
          </cell>
          <cell r="F404"/>
          <cell r="H404"/>
          <cell r="I404"/>
          <cell r="N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</row>
        <row r="405">
          <cell r="B405" t="str">
            <v>Hernández Hernández, Laura</v>
          </cell>
          <cell r="C405" t="str">
            <v>Professional</v>
          </cell>
          <cell r="D405" t="str">
            <v>5,9</v>
          </cell>
          <cell r="E405">
            <v>7</v>
          </cell>
          <cell r="F405">
            <v>2</v>
          </cell>
          <cell r="J405">
            <v>8</v>
          </cell>
          <cell r="K405"/>
          <cell r="N405"/>
          <cell r="Q405"/>
        </row>
        <row r="406">
          <cell r="B406" t="str">
            <v>Hernández Mantilla, Gabriela Elizabeth</v>
          </cell>
          <cell r="C406" t="str">
            <v>Professional</v>
          </cell>
          <cell r="D406">
            <v>5.9</v>
          </cell>
          <cell r="E406">
            <v>0</v>
          </cell>
        </row>
        <row r="407">
          <cell r="B407" t="str">
            <v>Hernández Núñez-Polo, Mercedes</v>
          </cell>
          <cell r="C407" t="str">
            <v>Professional</v>
          </cell>
          <cell r="D407">
            <v>5.9</v>
          </cell>
          <cell r="E407">
            <v>0</v>
          </cell>
          <cell r="Q407"/>
          <cell r="R407"/>
          <cell r="S407"/>
          <cell r="T407"/>
        </row>
        <row r="408">
          <cell r="B408" t="str">
            <v>Hernández Orduña, Francisco Omar</v>
          </cell>
          <cell r="C408" t="str">
            <v>Professional</v>
          </cell>
          <cell r="D408">
            <v>5.9</v>
          </cell>
          <cell r="E408">
            <v>0</v>
          </cell>
        </row>
        <row r="409">
          <cell r="B409" t="str">
            <v>Hernández Posadas, Alejandrina</v>
          </cell>
          <cell r="C409" t="str">
            <v>Professional</v>
          </cell>
          <cell r="D409">
            <v>5.9</v>
          </cell>
          <cell r="E409">
            <v>0</v>
          </cell>
          <cell r="Q409"/>
          <cell r="R409"/>
          <cell r="S409"/>
          <cell r="T409"/>
        </row>
        <row r="410">
          <cell r="B410" t="str">
            <v>Herrera Alarcón, Juan Francisco</v>
          </cell>
          <cell r="C410" t="str">
            <v>Professional</v>
          </cell>
          <cell r="D410">
            <v>5.9</v>
          </cell>
          <cell r="E410">
            <v>0</v>
          </cell>
          <cell r="Q410"/>
          <cell r="R410"/>
          <cell r="S410"/>
          <cell r="T410"/>
        </row>
        <row r="411">
          <cell r="B411" t="str">
            <v>Herrero Izquierdo, Laura</v>
          </cell>
          <cell r="C411" t="str">
            <v>Professional</v>
          </cell>
          <cell r="D411" t="str">
            <v>5,9</v>
          </cell>
          <cell r="E411">
            <v>6.3</v>
          </cell>
          <cell r="F411"/>
          <cell r="H411"/>
          <cell r="I411">
            <v>4</v>
          </cell>
          <cell r="J411"/>
          <cell r="K411"/>
          <cell r="N411">
            <v>5</v>
          </cell>
          <cell r="Q411"/>
        </row>
        <row r="412">
          <cell r="B412" t="str">
            <v>Hijazo Larrosa, Sergio</v>
          </cell>
          <cell r="C412" t="str">
            <v>Professional</v>
          </cell>
          <cell r="D412" t="str">
            <v>5,9</v>
          </cell>
          <cell r="E412">
            <v>0</v>
          </cell>
          <cell r="F412"/>
          <cell r="H412"/>
          <cell r="I412"/>
          <cell r="J412"/>
          <cell r="K412"/>
          <cell r="N412"/>
          <cell r="Q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</row>
        <row r="413">
          <cell r="B413" t="str">
            <v>Huguet Cuadrado, Elena</v>
          </cell>
          <cell r="C413" t="str">
            <v>Professional</v>
          </cell>
          <cell r="D413">
            <v>5.9</v>
          </cell>
          <cell r="E413">
            <v>0</v>
          </cell>
        </row>
        <row r="414">
          <cell r="B414" t="str">
            <v>Ibáñez Torres, Nerea</v>
          </cell>
          <cell r="C414" t="str">
            <v>Professional</v>
          </cell>
          <cell r="D414">
            <v>5.9</v>
          </cell>
          <cell r="E414">
            <v>0</v>
          </cell>
        </row>
        <row r="415">
          <cell r="B415" t="str">
            <v>Incera Fernández, Daniel</v>
          </cell>
          <cell r="C415" t="str">
            <v>Professional</v>
          </cell>
          <cell r="D415">
            <v>5.9</v>
          </cell>
          <cell r="E415">
            <v>0</v>
          </cell>
        </row>
        <row r="416">
          <cell r="B416" t="str">
            <v>Isorna Folgar, Manuel</v>
          </cell>
          <cell r="C416" t="str">
            <v>Professional</v>
          </cell>
          <cell r="D416">
            <v>5.9</v>
          </cell>
          <cell r="E416">
            <v>2.1</v>
          </cell>
          <cell r="F416"/>
          <cell r="K416"/>
          <cell r="L416">
            <v>3</v>
          </cell>
        </row>
        <row r="417">
          <cell r="B417" t="str">
            <v>Izquierdo Zarzo, Ana</v>
          </cell>
          <cell r="C417" t="str">
            <v>Professional</v>
          </cell>
          <cell r="D417">
            <v>5.9</v>
          </cell>
          <cell r="E417">
            <v>0</v>
          </cell>
        </row>
        <row r="418">
          <cell r="B418" t="str">
            <v>Jaén Parrilla, Irene</v>
          </cell>
          <cell r="C418" t="str">
            <v>Professional</v>
          </cell>
          <cell r="D418">
            <v>5.9</v>
          </cell>
          <cell r="E418">
            <v>0</v>
          </cell>
        </row>
        <row r="419">
          <cell r="B419" t="str">
            <v>Jatahy Peixoto, Clicia</v>
          </cell>
          <cell r="C419" t="str">
            <v>Professional</v>
          </cell>
          <cell r="D419">
            <v>5.9</v>
          </cell>
          <cell r="E419">
            <v>3.5</v>
          </cell>
          <cell r="G419">
            <v>2</v>
          </cell>
          <cell r="I419"/>
          <cell r="M419">
            <v>3</v>
          </cell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</row>
        <row r="420">
          <cell r="B420" t="str">
            <v>Javela González, José Julián</v>
          </cell>
          <cell r="C420" t="str">
            <v>Professional</v>
          </cell>
          <cell r="D420">
            <v>5.9</v>
          </cell>
          <cell r="E420">
            <v>0</v>
          </cell>
          <cell r="N420"/>
        </row>
        <row r="421">
          <cell r="B421" t="str">
            <v>Jayo Andrés, Asier</v>
          </cell>
          <cell r="C421" t="str">
            <v>Professional</v>
          </cell>
          <cell r="D421" t="str">
            <v>5,9</v>
          </cell>
          <cell r="E421">
            <v>0</v>
          </cell>
          <cell r="Q421"/>
          <cell r="R421" t="str">
            <v>no quiere TFT en octubre 25</v>
          </cell>
        </row>
        <row r="422">
          <cell r="B422" t="str">
            <v>Jiménez Arberas, Estíbaliz</v>
          </cell>
          <cell r="C422" t="str">
            <v>Professional</v>
          </cell>
          <cell r="D422">
            <v>5.9</v>
          </cell>
          <cell r="E422">
            <v>0</v>
          </cell>
        </row>
        <row r="423">
          <cell r="B423" t="str">
            <v>Jiménez Marín, Antonio</v>
          </cell>
          <cell r="C423" t="str">
            <v>Professional</v>
          </cell>
          <cell r="D423">
            <v>5.9</v>
          </cell>
          <cell r="E423">
            <v>1.4</v>
          </cell>
          <cell r="O423">
            <v>2</v>
          </cell>
        </row>
        <row r="424">
          <cell r="B424" t="str">
            <v>Jiménez Rodríguez, José Manuel</v>
          </cell>
          <cell r="C424" t="str">
            <v>Professional</v>
          </cell>
          <cell r="D424">
            <v>5.9</v>
          </cell>
          <cell r="E424">
            <v>0</v>
          </cell>
        </row>
        <row r="425">
          <cell r="B425" t="str">
            <v>Juárez Carreño, Sergio</v>
          </cell>
          <cell r="C425" t="str">
            <v>Professional</v>
          </cell>
          <cell r="D425" t="str">
            <v>5,9</v>
          </cell>
          <cell r="E425">
            <v>0</v>
          </cell>
          <cell r="F425"/>
          <cell r="H425"/>
          <cell r="I425"/>
          <cell r="J425"/>
          <cell r="K425"/>
          <cell r="N425"/>
          <cell r="Q425"/>
        </row>
        <row r="426">
          <cell r="B426" t="str">
            <v>Kasprzak, Agata</v>
          </cell>
          <cell r="C426" t="str">
            <v>Professional</v>
          </cell>
          <cell r="D426">
            <v>5.9</v>
          </cell>
          <cell r="E426">
            <v>0</v>
          </cell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</row>
        <row r="427">
          <cell r="B427" t="str">
            <v>Lamiquiz Moneo, Itziar</v>
          </cell>
          <cell r="C427" t="str">
            <v>Professional</v>
          </cell>
          <cell r="D427" t="str">
            <v>5,9</v>
          </cell>
          <cell r="E427">
            <v>0</v>
          </cell>
          <cell r="F427"/>
          <cell r="H427"/>
          <cell r="I427"/>
          <cell r="Q427"/>
          <cell r="R427" t="str">
            <v>Posibilidad de más, pide el máximo</v>
          </cell>
        </row>
        <row r="428">
          <cell r="B428" t="str">
            <v>Lara Pérez, Elvira</v>
          </cell>
          <cell r="C428" t="str">
            <v>Professional</v>
          </cell>
          <cell r="D428" t="str">
            <v>5,9</v>
          </cell>
          <cell r="E428">
            <v>0</v>
          </cell>
          <cell r="F428"/>
          <cell r="H428"/>
          <cell r="I428"/>
          <cell r="J428"/>
          <cell r="K428"/>
          <cell r="N428"/>
          <cell r="Q428"/>
        </row>
        <row r="429">
          <cell r="B429" t="str">
            <v>Lendínez Turón, Ana</v>
          </cell>
          <cell r="C429" t="str">
            <v>Professional</v>
          </cell>
          <cell r="D429">
            <v>5.9</v>
          </cell>
          <cell r="E429">
            <v>0</v>
          </cell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</row>
        <row r="430">
          <cell r="B430" t="str">
            <v>Linares Lerma, Sarai</v>
          </cell>
          <cell r="C430" t="str">
            <v>Professional</v>
          </cell>
          <cell r="D430" t="str">
            <v>5,9</v>
          </cell>
          <cell r="E430">
            <v>0</v>
          </cell>
          <cell r="F430"/>
          <cell r="H430"/>
          <cell r="I430"/>
          <cell r="J430"/>
          <cell r="K430"/>
          <cell r="N430"/>
          <cell r="Q430"/>
        </row>
        <row r="431">
          <cell r="B431" t="str">
            <v>Llamas Pérez, Encarna</v>
          </cell>
          <cell r="C431" t="str">
            <v>Professional</v>
          </cell>
          <cell r="D431" t="str">
            <v>5,9</v>
          </cell>
          <cell r="E431">
            <v>7</v>
          </cell>
          <cell r="F431"/>
          <cell r="H431">
            <v>3</v>
          </cell>
          <cell r="I431"/>
          <cell r="J431"/>
          <cell r="K431">
            <v>7</v>
          </cell>
          <cell r="N431"/>
          <cell r="Q431"/>
          <cell r="R431"/>
          <cell r="S431"/>
          <cell r="T431"/>
        </row>
        <row r="432">
          <cell r="B432" t="str">
            <v>Llanos Baldivieso, Claudia</v>
          </cell>
          <cell r="C432" t="str">
            <v>Professional</v>
          </cell>
          <cell r="D432">
            <v>5.9</v>
          </cell>
          <cell r="E432">
            <v>0</v>
          </cell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</row>
        <row r="433">
          <cell r="B433" t="str">
            <v>Llanos Román, Gabriela Andrea</v>
          </cell>
          <cell r="C433" t="str">
            <v>Professional</v>
          </cell>
          <cell r="D433">
            <v>5.9</v>
          </cell>
          <cell r="E433">
            <v>0</v>
          </cell>
          <cell r="N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</row>
        <row r="434">
          <cell r="B434" t="str">
            <v>Llerena Companioni, Odalia</v>
          </cell>
          <cell r="C434" t="str">
            <v>Professional</v>
          </cell>
          <cell r="D434">
            <v>5.9</v>
          </cell>
          <cell r="E434">
            <v>0</v>
          </cell>
          <cell r="I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</row>
        <row r="435">
          <cell r="B435" t="str">
            <v>Lloret Fernández, Carla</v>
          </cell>
          <cell r="C435" t="str">
            <v>Professional</v>
          </cell>
          <cell r="D435">
            <v>5.9</v>
          </cell>
          <cell r="E435">
            <v>2.1</v>
          </cell>
          <cell r="O435">
            <v>3</v>
          </cell>
        </row>
        <row r="436">
          <cell r="B436" t="str">
            <v>Lluch Sanz, Cristina</v>
          </cell>
          <cell r="C436" t="str">
            <v>Professional</v>
          </cell>
          <cell r="D436">
            <v>5.9</v>
          </cell>
          <cell r="E436">
            <v>0</v>
          </cell>
          <cell r="Q436"/>
          <cell r="R436"/>
          <cell r="S436"/>
          <cell r="T436"/>
        </row>
        <row r="437">
          <cell r="B437" t="str">
            <v>López de las Hazas Mingo, María del Carmen</v>
          </cell>
          <cell r="C437" t="str">
            <v>Professional</v>
          </cell>
          <cell r="D437" t="str">
            <v>5,9</v>
          </cell>
          <cell r="E437">
            <v>0</v>
          </cell>
          <cell r="F437"/>
          <cell r="H437"/>
          <cell r="I437"/>
          <cell r="J437"/>
          <cell r="K437"/>
          <cell r="N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</row>
        <row r="438">
          <cell r="B438" t="str">
            <v>López de Uralde Selva, Mª Angeles</v>
          </cell>
          <cell r="C438" t="str">
            <v>Professional</v>
          </cell>
          <cell r="D438">
            <v>5.9</v>
          </cell>
          <cell r="E438">
            <v>0</v>
          </cell>
          <cell r="I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</row>
        <row r="439">
          <cell r="B439" t="str">
            <v>López García, Marta</v>
          </cell>
          <cell r="C439" t="str">
            <v>Professional</v>
          </cell>
          <cell r="D439">
            <v>5.9</v>
          </cell>
          <cell r="E439">
            <v>0</v>
          </cell>
        </row>
        <row r="440">
          <cell r="B440" t="str">
            <v>López González, Beatriz</v>
          </cell>
          <cell r="C440" t="str">
            <v>Professional</v>
          </cell>
          <cell r="D440">
            <v>5.9</v>
          </cell>
          <cell r="E440">
            <v>0</v>
          </cell>
          <cell r="Q440"/>
          <cell r="R440"/>
          <cell r="S440"/>
          <cell r="T440"/>
        </row>
        <row r="441">
          <cell r="B441" t="str">
            <v>López Jiménez, Elisa</v>
          </cell>
          <cell r="C441" t="str">
            <v>Professional</v>
          </cell>
          <cell r="D441">
            <v>5.9</v>
          </cell>
          <cell r="E441">
            <v>0</v>
          </cell>
          <cell r="Q441"/>
          <cell r="R441"/>
          <cell r="S441"/>
          <cell r="T441"/>
        </row>
        <row r="442">
          <cell r="B442" t="str">
            <v>López Montoyo, Alba</v>
          </cell>
          <cell r="C442" t="str">
            <v>Professional</v>
          </cell>
          <cell r="D442">
            <v>5.9</v>
          </cell>
          <cell r="E442">
            <v>0</v>
          </cell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</row>
        <row r="443">
          <cell r="B443" t="str">
            <v>López Morales, Mikahela Andrea</v>
          </cell>
          <cell r="C443" t="str">
            <v>Professional</v>
          </cell>
          <cell r="D443" t="str">
            <v>5,9</v>
          </cell>
          <cell r="E443">
            <v>0</v>
          </cell>
          <cell r="F443"/>
          <cell r="H443"/>
          <cell r="I443"/>
          <cell r="J443"/>
          <cell r="K443"/>
          <cell r="N443"/>
          <cell r="Q443"/>
        </row>
        <row r="444">
          <cell r="B444" t="str">
            <v>López Olmo, Lidia</v>
          </cell>
          <cell r="C444" t="str">
            <v>Professional</v>
          </cell>
          <cell r="D444" t="str">
            <v>5,9</v>
          </cell>
          <cell r="E444">
            <v>0</v>
          </cell>
          <cell r="F444"/>
          <cell r="H444"/>
          <cell r="I444"/>
          <cell r="J444"/>
          <cell r="K444"/>
          <cell r="N444"/>
          <cell r="Q444"/>
        </row>
        <row r="445">
          <cell r="B445" t="str">
            <v>López Ruiz, Pilar</v>
          </cell>
          <cell r="C445" t="str">
            <v>Professional</v>
          </cell>
          <cell r="D445">
            <v>5.9</v>
          </cell>
          <cell r="E445">
            <v>5.6</v>
          </cell>
          <cell r="G445">
            <v>4</v>
          </cell>
          <cell r="M445">
            <v>4</v>
          </cell>
          <cell r="Q445"/>
          <cell r="R445"/>
          <cell r="S445"/>
          <cell r="T445"/>
        </row>
        <row r="446">
          <cell r="B446" t="str">
            <v>López Zamora, Miguel</v>
          </cell>
          <cell r="C446" t="str">
            <v>Professional</v>
          </cell>
          <cell r="D446" t="str">
            <v>5,9</v>
          </cell>
          <cell r="E446">
            <v>0</v>
          </cell>
          <cell r="F446"/>
          <cell r="H446"/>
          <cell r="I446"/>
          <cell r="J446"/>
          <cell r="K446"/>
          <cell r="N446"/>
          <cell r="Q446"/>
        </row>
        <row r="447">
          <cell r="B447" t="str">
            <v>López Zaplana, Álvaro</v>
          </cell>
          <cell r="C447" t="str">
            <v>Professional</v>
          </cell>
          <cell r="D447" t="str">
            <v>5,9</v>
          </cell>
          <cell r="E447">
            <v>5.6</v>
          </cell>
          <cell r="F447">
            <v>7</v>
          </cell>
          <cell r="J447">
            <v>1</v>
          </cell>
          <cell r="K447"/>
          <cell r="N447"/>
          <cell r="Q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</row>
        <row r="448">
          <cell r="B448" t="str">
            <v>Lorente Rovira, Ester</v>
          </cell>
          <cell r="C448" t="str">
            <v>Professional</v>
          </cell>
          <cell r="D448">
            <v>5.9</v>
          </cell>
          <cell r="E448">
            <v>0</v>
          </cell>
          <cell r="I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</row>
        <row r="449">
          <cell r="B449" t="str">
            <v>Lorenzo Sánchez-Aguilera, Cristina</v>
          </cell>
          <cell r="C449" t="str">
            <v>Professional</v>
          </cell>
          <cell r="D449" t="str">
            <v>5,9</v>
          </cell>
          <cell r="E449">
            <v>2.1</v>
          </cell>
          <cell r="F449"/>
          <cell r="H449"/>
          <cell r="I449">
            <v>3</v>
          </cell>
          <cell r="J449"/>
          <cell r="K449"/>
          <cell r="N449"/>
          <cell r="Q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</row>
        <row r="450">
          <cell r="B450" t="str">
            <v>Lucantoni, Federico</v>
          </cell>
          <cell r="C450" t="str">
            <v>Professional</v>
          </cell>
          <cell r="D450" t="str">
            <v>5,9</v>
          </cell>
          <cell r="E450">
            <v>0</v>
          </cell>
          <cell r="Q450"/>
          <cell r="R450"/>
        </row>
        <row r="451">
          <cell r="B451" t="str">
            <v>Luna Rivas, Sara</v>
          </cell>
          <cell r="C451" t="str">
            <v>Professional</v>
          </cell>
          <cell r="D451">
            <v>5.9</v>
          </cell>
          <cell r="E451">
            <v>0</v>
          </cell>
        </row>
        <row r="452">
          <cell r="B452" t="str">
            <v>Macedo Pascual, Joaquín</v>
          </cell>
          <cell r="C452" t="str">
            <v>Professional</v>
          </cell>
          <cell r="D452">
            <v>5.9</v>
          </cell>
          <cell r="E452">
            <v>0</v>
          </cell>
        </row>
        <row r="453">
          <cell r="B453" t="str">
            <v>Macías Morón, Juan José</v>
          </cell>
          <cell r="C453" t="str">
            <v>Professional</v>
          </cell>
          <cell r="D453">
            <v>5.9</v>
          </cell>
          <cell r="E453">
            <v>0</v>
          </cell>
          <cell r="I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</row>
        <row r="454">
          <cell r="B454" t="str">
            <v>Macuare Richard, Melissa Cristina</v>
          </cell>
          <cell r="C454" t="str">
            <v>Professional</v>
          </cell>
          <cell r="D454">
            <v>5.9</v>
          </cell>
          <cell r="E454">
            <v>0</v>
          </cell>
        </row>
        <row r="455">
          <cell r="B455" t="str">
            <v>Madrid Mañez, Elena</v>
          </cell>
          <cell r="C455" t="str">
            <v>Professional</v>
          </cell>
          <cell r="D455" t="str">
            <v>5,9</v>
          </cell>
          <cell r="E455">
            <v>0</v>
          </cell>
          <cell r="F455"/>
          <cell r="H455"/>
          <cell r="I455"/>
          <cell r="J455"/>
          <cell r="K455"/>
          <cell r="N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</row>
        <row r="456">
          <cell r="B456" t="str">
            <v>Magán Maganto, Maria del Carmen</v>
          </cell>
          <cell r="C456" t="str">
            <v>Professional</v>
          </cell>
          <cell r="D456">
            <v>5.9</v>
          </cell>
          <cell r="E456">
            <v>0</v>
          </cell>
        </row>
        <row r="457">
          <cell r="B457" t="str">
            <v>Maldonado Aragón, Mónica Soledad</v>
          </cell>
          <cell r="C457" t="str">
            <v>Professional</v>
          </cell>
          <cell r="D457">
            <v>5.9</v>
          </cell>
          <cell r="E457">
            <v>0</v>
          </cell>
        </row>
        <row r="458">
          <cell r="B458" t="str">
            <v>Mañas Olmo, Moisés</v>
          </cell>
          <cell r="C458" t="str">
            <v>Professional</v>
          </cell>
          <cell r="D458">
            <v>5.9</v>
          </cell>
          <cell r="E458">
            <v>0</v>
          </cell>
          <cell r="K458"/>
        </row>
        <row r="459">
          <cell r="B459" t="str">
            <v>Mañas Padilla, María del Carmen</v>
          </cell>
          <cell r="C459" t="str">
            <v>Professional</v>
          </cell>
          <cell r="D459">
            <v>5.9</v>
          </cell>
          <cell r="E459">
            <v>0</v>
          </cell>
        </row>
        <row r="460">
          <cell r="B460" t="str">
            <v>Mañas Pérez, Antonio Francisco</v>
          </cell>
          <cell r="C460" t="str">
            <v>Professional</v>
          </cell>
          <cell r="D460">
            <v>5.9</v>
          </cell>
          <cell r="E460">
            <v>0</v>
          </cell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</row>
        <row r="461">
          <cell r="B461" t="str">
            <v>Mansego Talavera, María Luisa</v>
          </cell>
          <cell r="C461" t="str">
            <v>Professional</v>
          </cell>
          <cell r="D461" t="str">
            <v>5,9</v>
          </cell>
          <cell r="E461">
            <v>0</v>
          </cell>
          <cell r="F461"/>
          <cell r="H461"/>
          <cell r="I461"/>
          <cell r="J461"/>
          <cell r="K461"/>
          <cell r="N461"/>
          <cell r="Q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</row>
        <row r="462">
          <cell r="B462" t="str">
            <v>Manzano Nuñez, Fatima</v>
          </cell>
          <cell r="C462" t="str">
            <v>Professional</v>
          </cell>
          <cell r="D462" t="str">
            <v>5,9</v>
          </cell>
          <cell r="E462">
            <v>0</v>
          </cell>
          <cell r="F462"/>
          <cell r="H462"/>
          <cell r="I462"/>
          <cell r="J462"/>
          <cell r="K462"/>
          <cell r="N462"/>
          <cell r="Q462"/>
        </row>
        <row r="463">
          <cell r="B463" t="str">
            <v>Manzano Redondo, Álvaro</v>
          </cell>
          <cell r="C463" t="str">
            <v>Professional</v>
          </cell>
          <cell r="D463">
            <v>5.9</v>
          </cell>
          <cell r="E463">
            <v>0</v>
          </cell>
          <cell r="Q463"/>
          <cell r="R463"/>
          <cell r="S463"/>
          <cell r="T463"/>
        </row>
        <row r="464">
          <cell r="B464" t="str">
            <v>Marcelín Alvarado, María Alejandra</v>
          </cell>
          <cell r="C464" t="str">
            <v>Professional</v>
          </cell>
          <cell r="D464">
            <v>5.9</v>
          </cell>
          <cell r="E464">
            <v>0</v>
          </cell>
          <cell r="I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</row>
        <row r="465">
          <cell r="B465" t="str">
            <v>Marco Francisco, Miriam</v>
          </cell>
          <cell r="C465" t="str">
            <v>Professional</v>
          </cell>
          <cell r="D465">
            <v>5.9</v>
          </cell>
          <cell r="E465">
            <v>0</v>
          </cell>
        </row>
        <row r="466">
          <cell r="B466" t="str">
            <v>Marco Garbayo, José Luis</v>
          </cell>
          <cell r="C466" t="str">
            <v>Professional</v>
          </cell>
          <cell r="D466">
            <v>5.9</v>
          </cell>
          <cell r="E466">
            <v>0</v>
          </cell>
          <cell r="Q466"/>
          <cell r="R466"/>
          <cell r="S466"/>
          <cell r="T466"/>
        </row>
        <row r="467">
          <cell r="B467" t="str">
            <v>Margolles García, Pedro</v>
          </cell>
          <cell r="C467" t="str">
            <v>Professional</v>
          </cell>
          <cell r="D467">
            <v>5.9</v>
          </cell>
          <cell r="E467">
            <v>0</v>
          </cell>
          <cell r="O467"/>
          <cell r="R467" t="str">
            <v>renuncia temporal</v>
          </cell>
        </row>
        <row r="468">
          <cell r="B468" t="str">
            <v>Marín García, Pablo</v>
          </cell>
          <cell r="C468" t="str">
            <v>Professional</v>
          </cell>
          <cell r="D468" t="str">
            <v>5,9</v>
          </cell>
          <cell r="E468">
            <v>7.6999999999999993</v>
          </cell>
          <cell r="F468">
            <v>4</v>
          </cell>
          <cell r="J468">
            <v>7</v>
          </cell>
          <cell r="K468"/>
          <cell r="N468"/>
          <cell r="Q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</row>
        <row r="469">
          <cell r="B469" t="str">
            <v>Marín Morales, Agar</v>
          </cell>
          <cell r="C469" t="str">
            <v>Professional</v>
          </cell>
          <cell r="D469">
            <v>5.9</v>
          </cell>
          <cell r="E469">
            <v>0</v>
          </cell>
          <cell r="H469"/>
        </row>
        <row r="470">
          <cell r="B470" t="str">
            <v>Marín Romero, Bartolomé</v>
          </cell>
          <cell r="C470" t="str">
            <v>Professional</v>
          </cell>
          <cell r="D470">
            <v>5.9</v>
          </cell>
          <cell r="E470">
            <v>0</v>
          </cell>
        </row>
        <row r="471">
          <cell r="B471" t="str">
            <v>Marín Tejeda, Miguel Israel</v>
          </cell>
          <cell r="C471" t="str">
            <v>Professional</v>
          </cell>
          <cell r="D471">
            <v>5.9</v>
          </cell>
          <cell r="E471">
            <v>0</v>
          </cell>
        </row>
        <row r="472">
          <cell r="B472" t="str">
            <v>Márquez Arrico, Julia Elena</v>
          </cell>
          <cell r="C472" t="str">
            <v>Professional</v>
          </cell>
          <cell r="D472">
            <v>5.9</v>
          </cell>
          <cell r="E472">
            <v>2.8</v>
          </cell>
          <cell r="I472"/>
          <cell r="L472">
            <v>4</v>
          </cell>
          <cell r="Q472"/>
          <cell r="R472"/>
          <cell r="S472"/>
          <cell r="T472"/>
        </row>
        <row r="473">
          <cell r="B473" t="str">
            <v>Marquínez Rengifo, José Manuel</v>
          </cell>
          <cell r="C473" t="str">
            <v>Professional</v>
          </cell>
          <cell r="D473">
            <v>5.9</v>
          </cell>
          <cell r="E473">
            <v>0</v>
          </cell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</row>
        <row r="474">
          <cell r="B474" t="str">
            <v>Marredo Rosa, Jorge</v>
          </cell>
          <cell r="C474" t="str">
            <v>Professional</v>
          </cell>
          <cell r="D474">
            <v>5.9</v>
          </cell>
          <cell r="E474">
            <v>0</v>
          </cell>
          <cell r="I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</row>
        <row r="475">
          <cell r="B475" t="str">
            <v>Martín De la Higuera, José Carlos</v>
          </cell>
          <cell r="C475" t="str">
            <v>Professional</v>
          </cell>
          <cell r="D475">
            <v>5.9</v>
          </cell>
          <cell r="E475">
            <v>0</v>
          </cell>
          <cell r="Q475"/>
          <cell r="R475"/>
          <cell r="S475"/>
          <cell r="T475"/>
        </row>
        <row r="476">
          <cell r="B476" t="str">
            <v>Martín Guitart, Juan Jesús</v>
          </cell>
          <cell r="C476" t="str">
            <v>Professional</v>
          </cell>
          <cell r="D476">
            <v>5.9</v>
          </cell>
          <cell r="E476">
            <v>0</v>
          </cell>
          <cell r="I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</row>
        <row r="477">
          <cell r="B477" t="str">
            <v>Martín Molina, Francisco</v>
          </cell>
          <cell r="C477" t="str">
            <v>Professional</v>
          </cell>
          <cell r="D477" t="str">
            <v>5,9</v>
          </cell>
          <cell r="E477">
            <v>0</v>
          </cell>
          <cell r="F477"/>
          <cell r="H477"/>
          <cell r="I477"/>
          <cell r="J477"/>
          <cell r="K477"/>
          <cell r="N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</row>
        <row r="478">
          <cell r="B478" t="str">
            <v>Martín Rodríguez, Deborah</v>
          </cell>
          <cell r="C478" t="str">
            <v>Professional</v>
          </cell>
          <cell r="D478">
            <v>5.9</v>
          </cell>
          <cell r="E478">
            <v>0</v>
          </cell>
        </row>
        <row r="479">
          <cell r="B479" t="str">
            <v>Martín Valdelomar, Alejandro</v>
          </cell>
          <cell r="C479" t="str">
            <v>Professional</v>
          </cell>
          <cell r="D479">
            <v>5.9</v>
          </cell>
          <cell r="E479">
            <v>0</v>
          </cell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</row>
        <row r="480">
          <cell r="B480" t="str">
            <v>Martínez Arroyo, Olga</v>
          </cell>
          <cell r="C480" t="str">
            <v>Professional</v>
          </cell>
          <cell r="D480" t="str">
            <v>5,9</v>
          </cell>
          <cell r="E480">
            <v>0</v>
          </cell>
          <cell r="F480"/>
          <cell r="H480"/>
          <cell r="I480"/>
          <cell r="J480"/>
          <cell r="K480"/>
          <cell r="N480"/>
          <cell r="Q480"/>
        </row>
        <row r="481">
          <cell r="B481" t="str">
            <v>Martínez Bacaicoa, Jone</v>
          </cell>
          <cell r="C481" t="str">
            <v>Professional</v>
          </cell>
          <cell r="D481">
            <v>5.9</v>
          </cell>
          <cell r="E481">
            <v>0</v>
          </cell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</row>
        <row r="482">
          <cell r="B482" t="str">
            <v>Martínez Castro, María Isabel</v>
          </cell>
          <cell r="C482" t="str">
            <v>Professional</v>
          </cell>
          <cell r="D482">
            <v>5.9</v>
          </cell>
          <cell r="E482">
            <v>0</v>
          </cell>
          <cell r="I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</row>
        <row r="483">
          <cell r="B483" t="str">
            <v>Martínez Domingo, José Antonio</v>
          </cell>
          <cell r="C483" t="str">
            <v>Professional</v>
          </cell>
          <cell r="D483">
            <v>5.9</v>
          </cell>
          <cell r="E483">
            <v>0</v>
          </cell>
        </row>
        <row r="484">
          <cell r="B484" t="str">
            <v>Martínez Gallego, Irene</v>
          </cell>
          <cell r="C484" t="str">
            <v>Professional</v>
          </cell>
          <cell r="D484">
            <v>5.9</v>
          </cell>
          <cell r="E484">
            <v>0</v>
          </cell>
          <cell r="N484"/>
        </row>
        <row r="485">
          <cell r="B485" t="str">
            <v>Martínez Medina, David</v>
          </cell>
          <cell r="C485" t="str">
            <v>Professional</v>
          </cell>
          <cell r="D485">
            <v>5.9</v>
          </cell>
          <cell r="E485">
            <v>0</v>
          </cell>
        </row>
        <row r="486">
          <cell r="B486" t="str">
            <v>Martínez Montañés, Fernando</v>
          </cell>
          <cell r="C486" t="str">
            <v>Professional</v>
          </cell>
          <cell r="D486" t="str">
            <v>5,9</v>
          </cell>
          <cell r="E486">
            <v>2.8</v>
          </cell>
          <cell r="F486">
            <v>2</v>
          </cell>
          <cell r="J486">
            <v>2</v>
          </cell>
          <cell r="Q486"/>
          <cell r="R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</row>
        <row r="487">
          <cell r="B487" t="str">
            <v>Martínez Nicolás, Israel</v>
          </cell>
          <cell r="C487" t="str">
            <v>Professional</v>
          </cell>
          <cell r="D487">
            <v>5.9</v>
          </cell>
          <cell r="E487">
            <v>0</v>
          </cell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</row>
        <row r="488">
          <cell r="B488" t="str">
            <v>Martínez Pérez, Beatriz</v>
          </cell>
          <cell r="C488" t="str">
            <v>Professional</v>
          </cell>
          <cell r="D488">
            <v>5.9</v>
          </cell>
          <cell r="E488">
            <v>3</v>
          </cell>
          <cell r="P488">
            <v>5</v>
          </cell>
        </row>
        <row r="489">
          <cell r="B489" t="str">
            <v>Martínez Regueiro, Rocío</v>
          </cell>
          <cell r="C489" t="str">
            <v>Professional</v>
          </cell>
          <cell r="D489">
            <v>5.9</v>
          </cell>
          <cell r="E489">
            <v>0</v>
          </cell>
          <cell r="I489"/>
          <cell r="Q489"/>
          <cell r="R489"/>
          <cell r="S489"/>
          <cell r="T489"/>
        </row>
        <row r="490">
          <cell r="B490" t="str">
            <v>Martínez Tornay, Antonio</v>
          </cell>
          <cell r="C490" t="str">
            <v>Professional</v>
          </cell>
          <cell r="D490">
            <v>5.9</v>
          </cell>
          <cell r="E490">
            <v>0</v>
          </cell>
          <cell r="I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</row>
        <row r="491">
          <cell r="B491" t="str">
            <v>Martínez-Cava Cáceres, Irene</v>
          </cell>
          <cell r="C491" t="str">
            <v>Professional</v>
          </cell>
          <cell r="D491">
            <v>5.9</v>
          </cell>
          <cell r="E491">
            <v>3</v>
          </cell>
          <cell r="P491">
            <v>5</v>
          </cell>
          <cell r="Q491"/>
          <cell r="R491"/>
          <cell r="S491"/>
          <cell r="T491"/>
        </row>
        <row r="492">
          <cell r="B492" t="str">
            <v>Martins Pestana, Feliberto</v>
          </cell>
          <cell r="C492" t="str">
            <v>Professional</v>
          </cell>
          <cell r="D492">
            <v>5.9</v>
          </cell>
          <cell r="E492">
            <v>0</v>
          </cell>
          <cell r="I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</row>
        <row r="493">
          <cell r="B493" t="str">
            <v>Mayorga Sierra, Erika Giovanna</v>
          </cell>
          <cell r="C493" t="str">
            <v>Professional</v>
          </cell>
          <cell r="D493">
            <v>5.9</v>
          </cell>
          <cell r="E493">
            <v>0</v>
          </cell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</row>
        <row r="494">
          <cell r="B494" t="str">
            <v>Medina Salas, Daniel</v>
          </cell>
          <cell r="C494" t="str">
            <v>Professional</v>
          </cell>
          <cell r="D494" t="str">
            <v>5,9</v>
          </cell>
          <cell r="E494">
            <v>0</v>
          </cell>
          <cell r="F494"/>
          <cell r="H494"/>
          <cell r="I494"/>
          <cell r="J494"/>
          <cell r="K494"/>
          <cell r="N494"/>
          <cell r="Q494"/>
        </row>
        <row r="495">
          <cell r="B495" t="str">
            <v>Méndez Rosales, Mirna</v>
          </cell>
          <cell r="C495" t="str">
            <v>Professional</v>
          </cell>
          <cell r="D495">
            <v>5.9</v>
          </cell>
          <cell r="E495">
            <v>0</v>
          </cell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</row>
        <row r="496">
          <cell r="B496" t="str">
            <v>Merhi Auar, Richard</v>
          </cell>
          <cell r="C496" t="str">
            <v>Professional</v>
          </cell>
          <cell r="D496">
            <v>5.9</v>
          </cell>
          <cell r="E496">
            <v>0</v>
          </cell>
        </row>
        <row r="497">
          <cell r="B497" t="str">
            <v>Merino Lorente, Susana</v>
          </cell>
          <cell r="C497" t="str">
            <v>Professional</v>
          </cell>
          <cell r="D497">
            <v>5.9</v>
          </cell>
          <cell r="E497">
            <v>0</v>
          </cell>
          <cell r="I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</row>
        <row r="498">
          <cell r="B498" t="str">
            <v>Merino Ruiz, Margarita</v>
          </cell>
          <cell r="C498" t="str">
            <v>Professional</v>
          </cell>
          <cell r="D498" t="str">
            <v>5,9</v>
          </cell>
          <cell r="E498">
            <v>0</v>
          </cell>
          <cell r="F498"/>
          <cell r="H498"/>
          <cell r="I498"/>
          <cell r="J498"/>
          <cell r="K498"/>
          <cell r="N498"/>
          <cell r="Q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</row>
        <row r="499">
          <cell r="B499" t="str">
            <v>Mestre Bach, Gemma</v>
          </cell>
          <cell r="C499" t="str">
            <v>Professional</v>
          </cell>
          <cell r="D499">
            <v>5.9</v>
          </cell>
          <cell r="E499">
            <v>0</v>
          </cell>
          <cell r="I499"/>
          <cell r="Q499"/>
          <cell r="R499"/>
          <cell r="S499"/>
          <cell r="T499"/>
        </row>
        <row r="500">
          <cell r="B500" t="str">
            <v>Mestre Navas, José Miguel</v>
          </cell>
          <cell r="C500" t="str">
            <v>Professional</v>
          </cell>
          <cell r="D500">
            <v>5.9</v>
          </cell>
          <cell r="E500">
            <v>0</v>
          </cell>
        </row>
        <row r="501">
          <cell r="B501" t="str">
            <v>Mimon Rahal, Ilham</v>
          </cell>
          <cell r="C501" t="str">
            <v>Professional</v>
          </cell>
          <cell r="D501" t="str">
            <v>5,9</v>
          </cell>
          <cell r="E501">
            <v>0</v>
          </cell>
          <cell r="F501"/>
          <cell r="H501"/>
          <cell r="I501"/>
          <cell r="J501"/>
          <cell r="K501"/>
          <cell r="N501"/>
          <cell r="Q501"/>
        </row>
        <row r="502">
          <cell r="B502" t="str">
            <v>Miravalls Torres, Raquel</v>
          </cell>
          <cell r="C502" t="str">
            <v>Professional</v>
          </cell>
          <cell r="D502" t="str">
            <v>5,9</v>
          </cell>
          <cell r="E502">
            <v>0</v>
          </cell>
          <cell r="F502"/>
          <cell r="H502"/>
          <cell r="I502"/>
          <cell r="J502"/>
          <cell r="K502"/>
          <cell r="N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</row>
        <row r="503">
          <cell r="B503" t="str">
            <v>Moldovan Moldovan, Roxana Andreea</v>
          </cell>
          <cell r="C503" t="str">
            <v>Professional</v>
          </cell>
          <cell r="D503" t="str">
            <v>5,9</v>
          </cell>
          <cell r="E503">
            <v>2.8</v>
          </cell>
          <cell r="F503">
            <v>2</v>
          </cell>
          <cell r="J503">
            <v>2</v>
          </cell>
          <cell r="K503"/>
          <cell r="N503"/>
          <cell r="Q503"/>
          <cell r="R503" t="str">
            <v>no quiere más TFT</v>
          </cell>
        </row>
        <row r="504">
          <cell r="B504" t="str">
            <v>Moles López, Elisabet</v>
          </cell>
          <cell r="C504" t="str">
            <v>Professional</v>
          </cell>
          <cell r="D504">
            <v>5.9</v>
          </cell>
          <cell r="E504">
            <v>0</v>
          </cell>
        </row>
        <row r="505">
          <cell r="B505" t="str">
            <v>Molina Luque, Rafael</v>
          </cell>
          <cell r="C505" t="str">
            <v>Professional</v>
          </cell>
          <cell r="D505" t="str">
            <v>5,9</v>
          </cell>
          <cell r="E505">
            <v>0</v>
          </cell>
          <cell r="F505"/>
          <cell r="H505"/>
          <cell r="I505"/>
          <cell r="J505"/>
          <cell r="K505"/>
          <cell r="N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</row>
        <row r="506">
          <cell r="B506" t="str">
            <v>Molina Mula, Jesús</v>
          </cell>
          <cell r="C506" t="str">
            <v>Professional</v>
          </cell>
          <cell r="D506" t="str">
            <v>5,9</v>
          </cell>
          <cell r="E506">
            <v>0</v>
          </cell>
          <cell r="F506"/>
          <cell r="H506"/>
          <cell r="Q506"/>
        </row>
        <row r="507">
          <cell r="B507" t="str">
            <v>Moll Vinuesa, Adrián</v>
          </cell>
          <cell r="C507" t="str">
            <v>Professional</v>
          </cell>
          <cell r="D507">
            <v>5.9</v>
          </cell>
          <cell r="E507">
            <v>0</v>
          </cell>
        </row>
        <row r="508">
          <cell r="B508" t="str">
            <v>Momblona Robres, Lucía</v>
          </cell>
          <cell r="C508" t="str">
            <v>Professional</v>
          </cell>
          <cell r="D508" t="str">
            <v>5,9</v>
          </cell>
          <cell r="E508">
            <v>7</v>
          </cell>
          <cell r="F508"/>
          <cell r="H508"/>
          <cell r="I508">
            <v>4</v>
          </cell>
          <cell r="J508"/>
          <cell r="K508"/>
          <cell r="N508">
            <v>6</v>
          </cell>
          <cell r="Q508"/>
        </row>
        <row r="509">
          <cell r="B509" t="str">
            <v>Mónaco Gerónimo, Estefanía</v>
          </cell>
          <cell r="C509" t="str">
            <v>Professional</v>
          </cell>
          <cell r="D509">
            <v>5.9</v>
          </cell>
          <cell r="E509">
            <v>0</v>
          </cell>
        </row>
        <row r="510">
          <cell r="B510" t="str">
            <v>Monge Ochoa, Belén</v>
          </cell>
          <cell r="C510" t="str">
            <v>Professional</v>
          </cell>
          <cell r="D510" t="str">
            <v>5,9</v>
          </cell>
          <cell r="E510">
            <v>2.1</v>
          </cell>
          <cell r="F510"/>
          <cell r="H510"/>
          <cell r="I510"/>
          <cell r="K510">
            <v>3</v>
          </cell>
          <cell r="Q510"/>
          <cell r="R510" t="str">
            <v>no asignar en MDGC</v>
          </cell>
        </row>
        <row r="511">
          <cell r="B511" t="str">
            <v>Monreal Bartolomé, Alicia</v>
          </cell>
          <cell r="C511" t="str">
            <v>Professional</v>
          </cell>
          <cell r="D511">
            <v>5.9</v>
          </cell>
          <cell r="E511">
            <v>0</v>
          </cell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</row>
        <row r="512">
          <cell r="B512" t="str">
            <v>Montero García, Lídia</v>
          </cell>
          <cell r="C512" t="str">
            <v>Professional</v>
          </cell>
          <cell r="D512" t="str">
            <v>5,9</v>
          </cell>
          <cell r="E512">
            <v>0</v>
          </cell>
          <cell r="Q512"/>
        </row>
        <row r="513">
          <cell r="B513" t="str">
            <v>Monzó Cataluña, Carolina</v>
          </cell>
          <cell r="C513" t="str">
            <v>Professional</v>
          </cell>
          <cell r="D513" t="str">
            <v>5,9</v>
          </cell>
          <cell r="E513">
            <v>2.1</v>
          </cell>
          <cell r="F513">
            <v>3</v>
          </cell>
          <cell r="H513"/>
          <cell r="I513"/>
          <cell r="J513"/>
          <cell r="K513"/>
          <cell r="N513"/>
          <cell r="Q513"/>
        </row>
        <row r="514">
          <cell r="B514" t="str">
            <v>Mor Rodríguez, Sonia</v>
          </cell>
          <cell r="C514" t="str">
            <v>Professional</v>
          </cell>
          <cell r="D514">
            <v>5.9</v>
          </cell>
          <cell r="E514">
            <v>0</v>
          </cell>
        </row>
        <row r="515">
          <cell r="B515" t="str">
            <v>Mora Salgueiro, Javier</v>
          </cell>
          <cell r="C515" t="str">
            <v>Professional</v>
          </cell>
          <cell r="D515">
            <v>5.9</v>
          </cell>
          <cell r="E515">
            <v>0</v>
          </cell>
          <cell r="I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</row>
        <row r="516">
          <cell r="B516" t="str">
            <v>Moraleda Sepúlveda, Esther</v>
          </cell>
          <cell r="C516" t="str">
            <v>Professional</v>
          </cell>
          <cell r="D516">
            <v>5.9</v>
          </cell>
          <cell r="E516">
            <v>0</v>
          </cell>
        </row>
        <row r="517">
          <cell r="B517" t="str">
            <v>Morales Alonso, Sara</v>
          </cell>
          <cell r="C517" t="str">
            <v>Professional</v>
          </cell>
          <cell r="D517">
            <v>5.9</v>
          </cell>
          <cell r="E517">
            <v>0</v>
          </cell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</row>
        <row r="518">
          <cell r="B518" t="str">
            <v>Morales Ballina, Adriana Nachieli</v>
          </cell>
          <cell r="C518" t="str">
            <v>Professional</v>
          </cell>
          <cell r="D518">
            <v>5.9</v>
          </cell>
          <cell r="E518">
            <v>0</v>
          </cell>
          <cell r="I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</row>
        <row r="519">
          <cell r="B519" t="str">
            <v>Morales Bejarano, Antonio</v>
          </cell>
          <cell r="C519" t="str">
            <v>Professional</v>
          </cell>
          <cell r="D519" t="str">
            <v>5,9</v>
          </cell>
          <cell r="E519">
            <v>9.1</v>
          </cell>
          <cell r="I519">
            <v>4</v>
          </cell>
          <cell r="N519">
            <v>9</v>
          </cell>
          <cell r="Q519"/>
          <cell r="R519"/>
        </row>
        <row r="520">
          <cell r="B520" t="str">
            <v>Morales Gil, Isabel</v>
          </cell>
          <cell r="C520" t="str">
            <v>Professional</v>
          </cell>
          <cell r="D520">
            <v>5.9</v>
          </cell>
          <cell r="E520">
            <v>0</v>
          </cell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</row>
        <row r="521">
          <cell r="B521" t="str">
            <v>Morales Sánchez, Lucía</v>
          </cell>
          <cell r="C521" t="str">
            <v>Professional</v>
          </cell>
          <cell r="D521">
            <v>5.9</v>
          </cell>
          <cell r="E521">
            <v>0</v>
          </cell>
          <cell r="I521"/>
          <cell r="Q521"/>
          <cell r="R521"/>
          <cell r="S521"/>
          <cell r="T521"/>
        </row>
        <row r="522">
          <cell r="B522" t="str">
            <v>Morante Palacios, Octavio</v>
          </cell>
          <cell r="C522" t="str">
            <v>Professional</v>
          </cell>
          <cell r="D522" t="str">
            <v>5,9</v>
          </cell>
          <cell r="E522">
            <v>6.2999999999999989</v>
          </cell>
          <cell r="F522">
            <v>2</v>
          </cell>
          <cell r="J522">
            <v>7</v>
          </cell>
          <cell r="K522"/>
          <cell r="N522"/>
          <cell r="Q522"/>
        </row>
        <row r="523">
          <cell r="B523" t="str">
            <v>Morcillo Parra, María Ángeles</v>
          </cell>
          <cell r="C523" t="str">
            <v>Professional</v>
          </cell>
          <cell r="D523" t="str">
            <v>5,9</v>
          </cell>
          <cell r="E523">
            <v>3.5</v>
          </cell>
          <cell r="F523"/>
          <cell r="H523">
            <v>2</v>
          </cell>
          <cell r="K523">
            <v>3</v>
          </cell>
          <cell r="Q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</row>
        <row r="524">
          <cell r="B524" t="str">
            <v>Moreno Alcazar, Ana</v>
          </cell>
          <cell r="C524" t="str">
            <v>Professional</v>
          </cell>
          <cell r="D524">
            <v>5.9</v>
          </cell>
          <cell r="E524">
            <v>0</v>
          </cell>
          <cell r="I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</row>
        <row r="525">
          <cell r="B525" t="str">
            <v>Moreno Garrido, Belén</v>
          </cell>
          <cell r="C525" t="str">
            <v>Professional</v>
          </cell>
          <cell r="D525">
            <v>5.9</v>
          </cell>
          <cell r="E525">
            <v>1.4</v>
          </cell>
          <cell r="O525">
            <v>2</v>
          </cell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</row>
        <row r="526">
          <cell r="B526" t="str">
            <v>Moreno Jiménez, Elena</v>
          </cell>
          <cell r="C526" t="str">
            <v>Professional</v>
          </cell>
          <cell r="D526">
            <v>5.9</v>
          </cell>
          <cell r="E526">
            <v>0.7</v>
          </cell>
          <cell r="O526">
            <v>1</v>
          </cell>
        </row>
        <row r="527">
          <cell r="B527" t="str">
            <v>Moreno Mansilla, Sara</v>
          </cell>
          <cell r="C527" t="str">
            <v>Professional</v>
          </cell>
          <cell r="D527">
            <v>5.9</v>
          </cell>
          <cell r="E527">
            <v>0</v>
          </cell>
          <cell r="N527"/>
        </row>
        <row r="528">
          <cell r="B528" t="str">
            <v>Moreno Martínez, Marina</v>
          </cell>
          <cell r="C528" t="str">
            <v>Professional</v>
          </cell>
          <cell r="D528">
            <v>5.9</v>
          </cell>
          <cell r="E528">
            <v>0</v>
          </cell>
          <cell r="I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</row>
        <row r="529">
          <cell r="B529" t="str">
            <v>Moreno Murciano, Paz</v>
          </cell>
          <cell r="C529" t="str">
            <v>Professional</v>
          </cell>
          <cell r="D529" t="str">
            <v>5,9</v>
          </cell>
          <cell r="E529">
            <v>0</v>
          </cell>
          <cell r="Q529"/>
          <cell r="R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</row>
        <row r="530">
          <cell r="B530" t="str">
            <v>Moreno Oliveras, Luis</v>
          </cell>
          <cell r="C530" t="str">
            <v>Professional</v>
          </cell>
          <cell r="D530" t="str">
            <v>5,9</v>
          </cell>
          <cell r="E530">
            <v>0</v>
          </cell>
          <cell r="F530"/>
          <cell r="H530"/>
          <cell r="I530"/>
          <cell r="J530"/>
          <cell r="K530"/>
          <cell r="N530"/>
          <cell r="Q530"/>
        </row>
        <row r="531">
          <cell r="B531" t="str">
            <v>Moret Tatay, Maria del Carmen</v>
          </cell>
          <cell r="C531" t="str">
            <v>Professional</v>
          </cell>
          <cell r="D531">
            <v>5.9</v>
          </cell>
          <cell r="E531">
            <v>0</v>
          </cell>
        </row>
        <row r="532">
          <cell r="B532" t="str">
            <v>Morilla Rivero, Loida Elizabeth</v>
          </cell>
          <cell r="C532" t="str">
            <v>Professional</v>
          </cell>
          <cell r="D532">
            <v>5.9</v>
          </cell>
          <cell r="E532">
            <v>0</v>
          </cell>
          <cell r="I532"/>
          <cell r="Q532"/>
          <cell r="R532"/>
          <cell r="S532"/>
          <cell r="T532"/>
        </row>
        <row r="533">
          <cell r="B533" t="str">
            <v>Mula Falcón, Javier</v>
          </cell>
          <cell r="C533" t="str">
            <v>Professional</v>
          </cell>
          <cell r="D533">
            <v>5.9</v>
          </cell>
          <cell r="E533">
            <v>0</v>
          </cell>
          <cell r="Q533"/>
          <cell r="R533"/>
          <cell r="S533"/>
          <cell r="T533"/>
        </row>
        <row r="534">
          <cell r="B534" t="str">
            <v>Muñoz Castillejo, Ángela</v>
          </cell>
          <cell r="C534" t="str">
            <v>Professional</v>
          </cell>
          <cell r="D534">
            <v>5.9</v>
          </cell>
          <cell r="E534">
            <v>0</v>
          </cell>
        </row>
        <row r="535">
          <cell r="B535" t="str">
            <v>Muñoz González, María Dolores</v>
          </cell>
          <cell r="C535" t="str">
            <v>Professional</v>
          </cell>
          <cell r="D535">
            <v>5.9</v>
          </cell>
          <cell r="E535">
            <v>0</v>
          </cell>
        </row>
        <row r="536">
          <cell r="B536" t="str">
            <v>Muñoz Ladrón de Guevara, Cristina</v>
          </cell>
          <cell r="C536" t="str">
            <v>Professional</v>
          </cell>
          <cell r="D536">
            <v>5.9</v>
          </cell>
          <cell r="E536">
            <v>0</v>
          </cell>
          <cell r="I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</row>
        <row r="537">
          <cell r="B537" t="str">
            <v>Muñoz Pozo, Adrián</v>
          </cell>
          <cell r="C537" t="str">
            <v>Professional</v>
          </cell>
          <cell r="D537">
            <v>5.9</v>
          </cell>
          <cell r="E537">
            <v>0</v>
          </cell>
        </row>
        <row r="538">
          <cell r="B538" t="str">
            <v>Musullulu -, Hande</v>
          </cell>
          <cell r="C538" t="str">
            <v>Professional</v>
          </cell>
          <cell r="D538">
            <v>5.9</v>
          </cell>
          <cell r="E538">
            <v>0</v>
          </cell>
        </row>
        <row r="539">
          <cell r="B539" t="str">
            <v>Nadal Delgado, Marta</v>
          </cell>
          <cell r="C539" t="str">
            <v>Professional</v>
          </cell>
          <cell r="D539">
            <v>5.9</v>
          </cell>
          <cell r="E539">
            <v>0</v>
          </cell>
        </row>
        <row r="540">
          <cell r="B540" t="str">
            <v>Nava Chirinos, Ángel</v>
          </cell>
          <cell r="C540" t="str">
            <v>Professional</v>
          </cell>
          <cell r="D540">
            <v>5.9</v>
          </cell>
          <cell r="E540">
            <v>0</v>
          </cell>
          <cell r="Q540"/>
          <cell r="R540" t="str">
            <v>no asignar en mpre</v>
          </cell>
          <cell r="S540"/>
          <cell r="T540"/>
        </row>
        <row r="541">
          <cell r="B541" t="str">
            <v>Navarro Ariza, Maria Teresa</v>
          </cell>
          <cell r="C541" t="str">
            <v>Professional</v>
          </cell>
          <cell r="D541">
            <v>5.9</v>
          </cell>
          <cell r="E541">
            <v>0</v>
          </cell>
        </row>
        <row r="542">
          <cell r="B542" t="str">
            <v>Navarro Garrido, Jessica</v>
          </cell>
          <cell r="C542" t="str">
            <v>Professional</v>
          </cell>
          <cell r="D542">
            <v>5.9</v>
          </cell>
          <cell r="E542">
            <v>0</v>
          </cell>
        </row>
        <row r="543">
          <cell r="B543" t="str">
            <v>Navarro Murcia, Silvia Victoria</v>
          </cell>
          <cell r="C543" t="str">
            <v>Professional</v>
          </cell>
          <cell r="D543">
            <v>5.9</v>
          </cell>
          <cell r="E543">
            <v>0</v>
          </cell>
          <cell r="Q543"/>
          <cell r="R543"/>
          <cell r="S543"/>
          <cell r="T543"/>
        </row>
        <row r="544">
          <cell r="B544" t="str">
            <v>Navarro Ortega, Eva María</v>
          </cell>
          <cell r="C544" t="str">
            <v>Professional</v>
          </cell>
          <cell r="D544" t="str">
            <v>5,9</v>
          </cell>
          <cell r="E544">
            <v>4.9000000000000004</v>
          </cell>
          <cell r="I544">
            <v>2</v>
          </cell>
          <cell r="N544">
            <v>5</v>
          </cell>
          <cell r="Q544"/>
          <cell r="R544"/>
        </row>
        <row r="545">
          <cell r="B545" t="str">
            <v>Navarro Pérez, María Dolores</v>
          </cell>
          <cell r="C545" t="str">
            <v>Professional</v>
          </cell>
          <cell r="D545">
            <v>5.9</v>
          </cell>
          <cell r="E545">
            <v>0</v>
          </cell>
        </row>
        <row r="546">
          <cell r="B546" t="str">
            <v>Navarro Sánchez, Ainoha Fuensanta</v>
          </cell>
          <cell r="C546" t="str">
            <v>Professional</v>
          </cell>
          <cell r="D546">
            <v>5.9</v>
          </cell>
          <cell r="E546">
            <v>0</v>
          </cell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</row>
        <row r="547">
          <cell r="B547" t="str">
            <v>Navarro Soriano, Silvia</v>
          </cell>
          <cell r="C547" t="str">
            <v>Professional</v>
          </cell>
          <cell r="D547" t="str">
            <v>5,9</v>
          </cell>
          <cell r="E547">
            <v>0</v>
          </cell>
          <cell r="F547"/>
          <cell r="H547"/>
          <cell r="I547"/>
          <cell r="J547"/>
          <cell r="K547"/>
          <cell r="N547"/>
          <cell r="Q547"/>
        </row>
        <row r="548">
          <cell r="B548" t="str">
            <v>Navío Serrano, Luis Francisco</v>
          </cell>
          <cell r="C548" t="str">
            <v>Professional</v>
          </cell>
          <cell r="D548">
            <v>5.9</v>
          </cell>
          <cell r="E548">
            <v>0</v>
          </cell>
          <cell r="Q548"/>
          <cell r="R548"/>
          <cell r="S548"/>
          <cell r="T548"/>
        </row>
        <row r="549">
          <cell r="B549" t="str">
            <v>Neef, Alexander</v>
          </cell>
          <cell r="C549" t="str">
            <v>Professional</v>
          </cell>
          <cell r="D549" t="str">
            <v>5,9</v>
          </cell>
          <cell r="E549">
            <v>5.6</v>
          </cell>
          <cell r="F549">
            <v>4</v>
          </cell>
          <cell r="H549"/>
          <cell r="I549"/>
          <cell r="J549">
            <v>4</v>
          </cell>
          <cell r="K549"/>
          <cell r="N549"/>
          <cell r="Q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</row>
        <row r="550">
          <cell r="B550" t="str">
            <v>Niclós López, Gracia</v>
          </cell>
          <cell r="C550" t="str">
            <v>Professional</v>
          </cell>
          <cell r="D550" t="str">
            <v>5,9</v>
          </cell>
          <cell r="E550">
            <v>0</v>
          </cell>
          <cell r="Q550"/>
          <cell r="R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</row>
        <row r="551">
          <cell r="B551" t="str">
            <v>Nieto Muñoz, Covadonga</v>
          </cell>
          <cell r="C551" t="str">
            <v>Professional</v>
          </cell>
          <cell r="D551">
            <v>5.9</v>
          </cell>
          <cell r="E551">
            <v>0</v>
          </cell>
          <cell r="I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</row>
        <row r="552">
          <cell r="B552" t="str">
            <v>Nieto Ruiz, Ana</v>
          </cell>
          <cell r="C552" t="str">
            <v>Professional</v>
          </cell>
          <cell r="D552">
            <v>5.9</v>
          </cell>
          <cell r="E552">
            <v>0</v>
          </cell>
          <cell r="Q552"/>
          <cell r="R552"/>
          <cell r="S552"/>
          <cell r="T552"/>
        </row>
        <row r="553">
          <cell r="B553" t="str">
            <v>Nolasco Hernández, Alberto</v>
          </cell>
          <cell r="C553" t="str">
            <v>Professional</v>
          </cell>
          <cell r="D553">
            <v>5.9</v>
          </cell>
          <cell r="E553">
            <v>0</v>
          </cell>
        </row>
        <row r="554">
          <cell r="B554" t="str">
            <v>Núñez Arias, Diego</v>
          </cell>
          <cell r="C554" t="str">
            <v>Professional</v>
          </cell>
          <cell r="D554">
            <v>5.9</v>
          </cell>
          <cell r="E554">
            <v>0</v>
          </cell>
          <cell r="I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</row>
        <row r="555">
          <cell r="B555" t="str">
            <v>Ocampo González, Aldo Ariel</v>
          </cell>
          <cell r="C555" t="str">
            <v>Professional</v>
          </cell>
          <cell r="D555">
            <v>5.9</v>
          </cell>
          <cell r="E555">
            <v>0</v>
          </cell>
          <cell r="I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</row>
        <row r="556">
          <cell r="B556" t="str">
            <v>Olarte Sánchez, Cristian Manuel</v>
          </cell>
          <cell r="C556" t="str">
            <v>Professional</v>
          </cell>
          <cell r="D556">
            <v>5.9</v>
          </cell>
          <cell r="E556">
            <v>0</v>
          </cell>
        </row>
        <row r="557">
          <cell r="B557" t="str">
            <v>Olivares González, Lorena</v>
          </cell>
          <cell r="C557" t="str">
            <v>Professional</v>
          </cell>
          <cell r="D557">
            <v>5.9</v>
          </cell>
          <cell r="E557">
            <v>2.1</v>
          </cell>
          <cell r="O557">
            <v>3</v>
          </cell>
        </row>
        <row r="558">
          <cell r="B558" t="str">
            <v>Oliveros Fernández, Beatriz</v>
          </cell>
          <cell r="C558" t="str">
            <v>Professional</v>
          </cell>
          <cell r="D558">
            <v>5.9</v>
          </cell>
          <cell r="E558">
            <v>0</v>
          </cell>
        </row>
        <row r="559">
          <cell r="B559" t="str">
            <v>Olvera Domínguez, María Elena</v>
          </cell>
          <cell r="C559" t="str">
            <v>Professional</v>
          </cell>
          <cell r="D559">
            <v>5.9</v>
          </cell>
          <cell r="E559">
            <v>0</v>
          </cell>
        </row>
        <row r="560">
          <cell r="B560" t="str">
            <v>Olvera Trejo, Hans Oleg</v>
          </cell>
          <cell r="C560" t="str">
            <v>Professional</v>
          </cell>
          <cell r="D560">
            <v>5.9</v>
          </cell>
          <cell r="E560">
            <v>0</v>
          </cell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</row>
        <row r="561">
          <cell r="B561" t="str">
            <v>Ortega Gutiérrez, Ana</v>
          </cell>
          <cell r="C561" t="str">
            <v>Professional</v>
          </cell>
          <cell r="D561" t="str">
            <v>5,9</v>
          </cell>
          <cell r="E561">
            <v>0</v>
          </cell>
          <cell r="F561"/>
          <cell r="H561"/>
          <cell r="I561"/>
          <cell r="J561"/>
          <cell r="K561"/>
          <cell r="N561"/>
          <cell r="Q561"/>
        </row>
        <row r="562">
          <cell r="B562" t="str">
            <v>Ortega Legarreta, Asier</v>
          </cell>
          <cell r="C562" t="str">
            <v>Professional</v>
          </cell>
          <cell r="D562" t="str">
            <v>5,9</v>
          </cell>
          <cell r="E562">
            <v>0</v>
          </cell>
          <cell r="F562"/>
          <cell r="H562"/>
          <cell r="I562"/>
          <cell r="J562"/>
          <cell r="K562"/>
          <cell r="N562"/>
          <cell r="Q562"/>
        </row>
        <row r="563">
          <cell r="B563" t="str">
            <v>Ortega Pérez de Villar, Lucía</v>
          </cell>
          <cell r="C563" t="str">
            <v>Professional</v>
          </cell>
          <cell r="D563" t="str">
            <v>5,9</v>
          </cell>
          <cell r="E563">
            <v>0</v>
          </cell>
          <cell r="F563"/>
          <cell r="H563"/>
          <cell r="I563"/>
          <cell r="J563"/>
          <cell r="K563"/>
          <cell r="N563"/>
          <cell r="Q563"/>
        </row>
        <row r="564">
          <cell r="B564" t="str">
            <v>Ortiz Gil, Jordi</v>
          </cell>
          <cell r="C564" t="str">
            <v>Professional</v>
          </cell>
          <cell r="D564">
            <v>5.9</v>
          </cell>
          <cell r="E564">
            <v>0</v>
          </cell>
        </row>
        <row r="565">
          <cell r="B565" t="str">
            <v>Ortiz Mengual, Montserrat</v>
          </cell>
          <cell r="C565" t="str">
            <v>Professional</v>
          </cell>
          <cell r="D565" t="str">
            <v>5,9</v>
          </cell>
          <cell r="E565">
            <v>0</v>
          </cell>
          <cell r="F565"/>
          <cell r="H565"/>
          <cell r="I565"/>
          <cell r="J565"/>
          <cell r="K565"/>
          <cell r="N565"/>
          <cell r="Q565"/>
        </row>
        <row r="566">
          <cell r="B566" t="str">
            <v>Osorio García, Carlos Manuel</v>
          </cell>
          <cell r="C566" t="str">
            <v>Professional</v>
          </cell>
          <cell r="D566">
            <v>5.9</v>
          </cell>
          <cell r="E566">
            <v>0</v>
          </cell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</row>
        <row r="567">
          <cell r="B567" t="str">
            <v>Otero Dadin, Cecilia</v>
          </cell>
          <cell r="C567" t="str">
            <v>Professional</v>
          </cell>
          <cell r="D567">
            <v>5.9</v>
          </cell>
          <cell r="E567">
            <v>0</v>
          </cell>
          <cell r="I567"/>
          <cell r="Q567"/>
          <cell r="R567"/>
          <cell r="S567"/>
          <cell r="T567"/>
        </row>
        <row r="568">
          <cell r="B568" t="str">
            <v>Otero Fuertes, María Paz</v>
          </cell>
          <cell r="C568" t="str">
            <v>Professional</v>
          </cell>
          <cell r="D568" t="str">
            <v>5,9</v>
          </cell>
          <cell r="E568">
            <v>0</v>
          </cell>
          <cell r="Q568"/>
          <cell r="R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</row>
        <row r="569">
          <cell r="B569" t="str">
            <v>Pacho Hernández, Juan Carlos</v>
          </cell>
          <cell r="C569" t="str">
            <v>Professional</v>
          </cell>
          <cell r="D569">
            <v>5.9</v>
          </cell>
          <cell r="E569">
            <v>0</v>
          </cell>
          <cell r="I569"/>
          <cell r="N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</row>
        <row r="570">
          <cell r="B570" t="str">
            <v>Padilla Díaz, Maria</v>
          </cell>
          <cell r="C570" t="str">
            <v>Professional</v>
          </cell>
          <cell r="D570">
            <v>5.9</v>
          </cell>
          <cell r="E570">
            <v>0</v>
          </cell>
        </row>
        <row r="571">
          <cell r="B571" t="str">
            <v>Palacios López, Mari Carmen</v>
          </cell>
          <cell r="C571" t="str">
            <v>Professional</v>
          </cell>
          <cell r="D571" t="str">
            <v>5,9</v>
          </cell>
          <cell r="E571">
            <v>0</v>
          </cell>
          <cell r="F571"/>
          <cell r="H571"/>
          <cell r="I571"/>
          <cell r="J571"/>
          <cell r="K571"/>
          <cell r="N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</row>
        <row r="572">
          <cell r="B572" t="str">
            <v>Pallás Sanz, Sergio</v>
          </cell>
          <cell r="C572" t="str">
            <v>Professional</v>
          </cell>
          <cell r="D572">
            <v>5.9</v>
          </cell>
          <cell r="E572">
            <v>0</v>
          </cell>
          <cell r="I572"/>
        </row>
        <row r="573">
          <cell r="B573" t="str">
            <v>Pan Corrales, Francisco</v>
          </cell>
          <cell r="C573" t="str">
            <v>Professional</v>
          </cell>
          <cell r="D573" t="str">
            <v>5,9</v>
          </cell>
          <cell r="E573">
            <v>0</v>
          </cell>
          <cell r="F573"/>
          <cell r="H573"/>
          <cell r="I573"/>
          <cell r="J573"/>
          <cell r="K573"/>
          <cell r="N573"/>
          <cell r="Q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</row>
        <row r="574">
          <cell r="B574" t="str">
            <v>Pañellas Álvarez, Daybel</v>
          </cell>
          <cell r="C574" t="str">
            <v>Professional</v>
          </cell>
          <cell r="D574">
            <v>5.9</v>
          </cell>
          <cell r="E574">
            <v>0</v>
          </cell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</row>
        <row r="575">
          <cell r="B575" t="str">
            <v>Paredes Garza, Francisco</v>
          </cell>
          <cell r="C575" t="str">
            <v>Professional</v>
          </cell>
          <cell r="D575" t="str">
            <v>5,9</v>
          </cell>
          <cell r="E575">
            <v>0</v>
          </cell>
          <cell r="F575"/>
          <cell r="H575"/>
          <cell r="I575"/>
          <cell r="J575"/>
          <cell r="K575"/>
          <cell r="N575"/>
          <cell r="Q575"/>
        </row>
        <row r="576">
          <cell r="B576" t="str">
            <v>Parejo Cano, Álvaro</v>
          </cell>
          <cell r="C576" t="str">
            <v>Professional</v>
          </cell>
          <cell r="D576" t="str">
            <v>5,9</v>
          </cell>
          <cell r="E576">
            <v>0</v>
          </cell>
          <cell r="F576"/>
          <cell r="H576"/>
          <cell r="I576"/>
          <cell r="J576"/>
          <cell r="K576"/>
          <cell r="N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</row>
        <row r="577">
          <cell r="B577" t="str">
            <v>Parellada, Cristian Abraham</v>
          </cell>
          <cell r="C577" t="str">
            <v>Professional</v>
          </cell>
          <cell r="D577">
            <v>5.9</v>
          </cell>
          <cell r="E577">
            <v>0</v>
          </cell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</row>
        <row r="578">
          <cell r="B578" t="str">
            <v>Pedroso Chaparro, María del Sequeros</v>
          </cell>
          <cell r="C578" t="str">
            <v>Professional</v>
          </cell>
          <cell r="D578">
            <v>5.9</v>
          </cell>
          <cell r="E578">
            <v>0</v>
          </cell>
          <cell r="I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</row>
        <row r="579">
          <cell r="B579" t="str">
            <v>Peña Herrera, Bernardo</v>
          </cell>
          <cell r="C579" t="str">
            <v>Professional</v>
          </cell>
          <cell r="D579">
            <v>5.9</v>
          </cell>
          <cell r="E579">
            <v>0</v>
          </cell>
        </row>
        <row r="580">
          <cell r="B580" t="str">
            <v>Perdomo Colina, Hugo Ernesto</v>
          </cell>
          <cell r="C580" t="str">
            <v>Professional</v>
          </cell>
          <cell r="D580">
            <v>5.9</v>
          </cell>
          <cell r="E580">
            <v>0</v>
          </cell>
        </row>
        <row r="581">
          <cell r="B581" t="str">
            <v>Pereira Priego, Cristina</v>
          </cell>
          <cell r="C581" t="str">
            <v>Professional</v>
          </cell>
          <cell r="D581">
            <v>5.9</v>
          </cell>
          <cell r="E581">
            <v>0</v>
          </cell>
        </row>
        <row r="582">
          <cell r="B582" t="str">
            <v>Perelló Berenguer, Gemma</v>
          </cell>
          <cell r="C582" t="str">
            <v>Professional</v>
          </cell>
          <cell r="D582" t="str">
            <v>5,9</v>
          </cell>
          <cell r="E582">
            <v>0</v>
          </cell>
          <cell r="F582"/>
          <cell r="H582"/>
          <cell r="I582"/>
          <cell r="J582"/>
          <cell r="K582"/>
          <cell r="N582"/>
          <cell r="Q582"/>
        </row>
        <row r="583">
          <cell r="B583" t="str">
            <v>Pérez Álvarez, Manuel</v>
          </cell>
          <cell r="C583" t="str">
            <v>Professional</v>
          </cell>
          <cell r="D583">
            <v>5.9</v>
          </cell>
          <cell r="E583">
            <v>0</v>
          </cell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</row>
        <row r="584">
          <cell r="B584" t="str">
            <v>Pérez Camps, Mireia</v>
          </cell>
          <cell r="C584" t="str">
            <v>Professional</v>
          </cell>
          <cell r="D584" t="str">
            <v>5,9</v>
          </cell>
          <cell r="E584">
            <v>0</v>
          </cell>
          <cell r="F584"/>
          <cell r="H584"/>
          <cell r="I584"/>
          <cell r="Q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</row>
        <row r="585">
          <cell r="B585" t="str">
            <v>Pérez Chacón, Antonio</v>
          </cell>
          <cell r="C585" t="str">
            <v>Professional</v>
          </cell>
          <cell r="D585">
            <v>5.9</v>
          </cell>
          <cell r="E585">
            <v>0</v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  <cell r="AA585" t="str">
            <v/>
          </cell>
          <cell r="AB585" t="str">
            <v/>
          </cell>
          <cell r="AC585" t="str">
            <v/>
          </cell>
        </row>
        <row r="586">
          <cell r="B586" t="str">
            <v>Pérez Chacón, Manuela</v>
          </cell>
          <cell r="C586" t="str">
            <v>Professional</v>
          </cell>
          <cell r="D586">
            <v>5.9</v>
          </cell>
          <cell r="E586">
            <v>0</v>
          </cell>
        </row>
        <row r="587">
          <cell r="B587" t="str">
            <v>Pérez Cobas, Ana Elena</v>
          </cell>
          <cell r="C587" t="str">
            <v>Professional</v>
          </cell>
          <cell r="D587" t="str">
            <v>5,9</v>
          </cell>
          <cell r="E587">
            <v>0</v>
          </cell>
          <cell r="F587"/>
          <cell r="H587"/>
          <cell r="I587"/>
          <cell r="J587"/>
          <cell r="K587"/>
          <cell r="N587"/>
          <cell r="Q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</row>
        <row r="588">
          <cell r="B588" t="str">
            <v>Pérez Corella, Daniel</v>
          </cell>
          <cell r="C588" t="str">
            <v>Professional</v>
          </cell>
          <cell r="D588" t="str">
            <v>5,9</v>
          </cell>
          <cell r="E588">
            <v>0</v>
          </cell>
          <cell r="F588"/>
          <cell r="H588"/>
          <cell r="I588"/>
          <cell r="J588"/>
          <cell r="K588"/>
          <cell r="N588"/>
          <cell r="Q588"/>
          <cell r="R588"/>
          <cell r="S588"/>
          <cell r="T588"/>
        </row>
        <row r="589">
          <cell r="B589" t="str">
            <v>Pérez de la Cruz, Sagrario</v>
          </cell>
          <cell r="C589" t="str">
            <v>Professional</v>
          </cell>
          <cell r="D589" t="str">
            <v>5,9</v>
          </cell>
          <cell r="E589">
            <v>0</v>
          </cell>
          <cell r="F589"/>
          <cell r="H589"/>
          <cell r="I589"/>
          <cell r="J589"/>
          <cell r="K589"/>
          <cell r="N589"/>
          <cell r="Q589"/>
          <cell r="R589"/>
          <cell r="S589"/>
          <cell r="T589"/>
        </row>
        <row r="590">
          <cell r="B590" t="str">
            <v>Pérez Escobedo, Paloma</v>
          </cell>
          <cell r="C590" t="str">
            <v>Professional</v>
          </cell>
          <cell r="D590" t="str">
            <v>5,9</v>
          </cell>
          <cell r="E590">
            <v>0</v>
          </cell>
          <cell r="F590"/>
          <cell r="H590"/>
          <cell r="I590"/>
          <cell r="J590"/>
          <cell r="K590"/>
          <cell r="N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</row>
        <row r="591">
          <cell r="B591" t="str">
            <v>Pérez Flores, Javier José</v>
          </cell>
          <cell r="C591" t="str">
            <v>Professional</v>
          </cell>
          <cell r="D591">
            <v>5.9</v>
          </cell>
          <cell r="E591">
            <v>0</v>
          </cell>
          <cell r="I591"/>
          <cell r="Q591"/>
          <cell r="R591"/>
          <cell r="S591"/>
          <cell r="T591"/>
        </row>
        <row r="592">
          <cell r="B592" t="str">
            <v>Pérez Gálvez, Bartolomé</v>
          </cell>
          <cell r="C592" t="str">
            <v>Professional</v>
          </cell>
          <cell r="D592">
            <v>5.9</v>
          </cell>
          <cell r="E592">
            <v>0</v>
          </cell>
          <cell r="I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</row>
        <row r="593">
          <cell r="B593" t="str">
            <v>Pérez Muñoz, Alfonso</v>
          </cell>
          <cell r="C593" t="str">
            <v>Professional</v>
          </cell>
          <cell r="D593">
            <v>5.9</v>
          </cell>
          <cell r="E593">
            <v>0</v>
          </cell>
          <cell r="I593"/>
          <cell r="Q593"/>
          <cell r="R593"/>
          <cell r="S593"/>
          <cell r="T593"/>
        </row>
        <row r="594">
          <cell r="B594" t="str">
            <v>Pérez Núñez, Paula</v>
          </cell>
          <cell r="C594" t="str">
            <v>Professional</v>
          </cell>
          <cell r="D594">
            <v>5.9</v>
          </cell>
          <cell r="E594">
            <v>0</v>
          </cell>
          <cell r="I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</row>
        <row r="595">
          <cell r="B595" t="str">
            <v>Pérez Pascual, David</v>
          </cell>
          <cell r="C595" t="str">
            <v>Professional</v>
          </cell>
          <cell r="D595" t="str">
            <v>5,9</v>
          </cell>
          <cell r="E595">
            <v>0</v>
          </cell>
          <cell r="F595"/>
          <cell r="H595"/>
          <cell r="I595"/>
          <cell r="J595"/>
          <cell r="K595"/>
          <cell r="N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</row>
        <row r="596">
          <cell r="B596" t="str">
            <v>Pérez Rodríguez, Sandra</v>
          </cell>
          <cell r="C596" t="str">
            <v>Professional</v>
          </cell>
          <cell r="D596">
            <v>5.9</v>
          </cell>
          <cell r="E596">
            <v>0</v>
          </cell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</row>
        <row r="597">
          <cell r="B597" t="str">
            <v>Pérez Soler, Óscar</v>
          </cell>
          <cell r="C597" t="str">
            <v>Professional</v>
          </cell>
          <cell r="D597">
            <v>5.9</v>
          </cell>
          <cell r="E597">
            <v>0</v>
          </cell>
          <cell r="I597"/>
          <cell r="Q597"/>
          <cell r="R597"/>
          <cell r="S597"/>
          <cell r="T597"/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  <cell r="AA597" t="str">
            <v/>
          </cell>
          <cell r="AB597" t="str">
            <v/>
          </cell>
          <cell r="AC597" t="str">
            <v/>
          </cell>
          <cell r="AD597"/>
        </row>
        <row r="598">
          <cell r="B598" t="str">
            <v>Pérez Tejeda, Alberto</v>
          </cell>
          <cell r="C598" t="str">
            <v>Professional</v>
          </cell>
          <cell r="D598" t="str">
            <v>5,9</v>
          </cell>
          <cell r="E598">
            <v>0</v>
          </cell>
          <cell r="F598"/>
          <cell r="H598"/>
          <cell r="I598"/>
          <cell r="J598"/>
          <cell r="K598"/>
          <cell r="N598"/>
          <cell r="Q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</row>
        <row r="599">
          <cell r="B599" t="str">
            <v>Pérez Valle, Jorge</v>
          </cell>
          <cell r="C599" t="str">
            <v>Professional</v>
          </cell>
          <cell r="D599" t="str">
            <v>5,9</v>
          </cell>
          <cell r="E599">
            <v>0</v>
          </cell>
          <cell r="Q599"/>
          <cell r="R599"/>
        </row>
        <row r="600">
          <cell r="B600" t="str">
            <v>Peris Giménez, Júlia</v>
          </cell>
          <cell r="C600" t="str">
            <v>Professional</v>
          </cell>
          <cell r="D600">
            <v>5.9</v>
          </cell>
          <cell r="E600">
            <v>0</v>
          </cell>
        </row>
        <row r="601">
          <cell r="B601" t="str">
            <v>Picado Méndez, Manuel</v>
          </cell>
          <cell r="C601" t="str">
            <v>Professional</v>
          </cell>
          <cell r="D601">
            <v>5.9</v>
          </cell>
          <cell r="E601">
            <v>0</v>
          </cell>
        </row>
        <row r="602">
          <cell r="B602" t="str">
            <v>Picazo Rubio, Belén María</v>
          </cell>
          <cell r="C602" t="str">
            <v>Professional</v>
          </cell>
          <cell r="D602" t="str">
            <v>5,9</v>
          </cell>
          <cell r="E602">
            <v>0</v>
          </cell>
          <cell r="F602"/>
          <cell r="H602"/>
          <cell r="I602"/>
          <cell r="J602"/>
          <cell r="K602"/>
          <cell r="N602"/>
          <cell r="Q602"/>
        </row>
        <row r="603">
          <cell r="B603" t="str">
            <v>Pina López, David</v>
          </cell>
          <cell r="C603" t="str">
            <v>Professional</v>
          </cell>
          <cell r="D603">
            <v>5.9</v>
          </cell>
          <cell r="E603">
            <v>0</v>
          </cell>
        </row>
        <row r="604">
          <cell r="B604" t="str">
            <v>Pinazo Clapés, Carolina</v>
          </cell>
          <cell r="C604" t="str">
            <v>Professional</v>
          </cell>
          <cell r="D604">
            <v>5.9</v>
          </cell>
          <cell r="E604">
            <v>0</v>
          </cell>
        </row>
        <row r="605">
          <cell r="B605" t="str">
            <v>Pinel Arroyo, Luis</v>
          </cell>
          <cell r="C605" t="str">
            <v>Professional</v>
          </cell>
          <cell r="D605">
            <v>5.9</v>
          </cell>
          <cell r="E605">
            <v>0</v>
          </cell>
        </row>
        <row r="606">
          <cell r="B606" t="str">
            <v>Pinto Álvarez, María Florencia</v>
          </cell>
          <cell r="C606" t="str">
            <v>Professional</v>
          </cell>
          <cell r="D606">
            <v>5.9</v>
          </cell>
          <cell r="E606">
            <v>0</v>
          </cell>
          <cell r="H606"/>
          <cell r="N606"/>
        </row>
        <row r="607">
          <cell r="B607" t="str">
            <v>Ponce Márquez, Sara</v>
          </cell>
          <cell r="C607" t="str">
            <v>Professional</v>
          </cell>
          <cell r="D607" t="str">
            <v>5,9</v>
          </cell>
          <cell r="E607">
            <v>0</v>
          </cell>
          <cell r="F607"/>
          <cell r="H607"/>
          <cell r="I607"/>
          <cell r="J607"/>
          <cell r="K607"/>
          <cell r="N607"/>
          <cell r="Q607"/>
        </row>
        <row r="608">
          <cell r="B608" t="str">
            <v>Portela Leiva, Yara María</v>
          </cell>
          <cell r="C608" t="str">
            <v>Professional</v>
          </cell>
          <cell r="D608">
            <v>5.9</v>
          </cell>
          <cell r="E608">
            <v>0</v>
          </cell>
        </row>
        <row r="609">
          <cell r="B609" t="str">
            <v>Poveda García, Ana</v>
          </cell>
          <cell r="C609" t="str">
            <v>Professional</v>
          </cell>
          <cell r="D609">
            <v>5.9</v>
          </cell>
          <cell r="E609">
            <v>0</v>
          </cell>
        </row>
        <row r="610">
          <cell r="B610" t="str">
            <v>Poveda Moral, Silvia</v>
          </cell>
          <cell r="C610" t="str">
            <v>Professional</v>
          </cell>
          <cell r="D610" t="str">
            <v>5,9</v>
          </cell>
          <cell r="E610">
            <v>0</v>
          </cell>
          <cell r="F610"/>
          <cell r="H610"/>
          <cell r="I610"/>
          <cell r="J610"/>
          <cell r="K610"/>
          <cell r="N610"/>
          <cell r="Q610"/>
        </row>
        <row r="611">
          <cell r="B611" t="str">
            <v>Poyato Vega, Natalia</v>
          </cell>
          <cell r="C611" t="str">
            <v>Professional</v>
          </cell>
          <cell r="D611">
            <v>5.9</v>
          </cell>
          <cell r="E611">
            <v>0</v>
          </cell>
        </row>
        <row r="612">
          <cell r="B612" t="str">
            <v>Pradas Montilla, Silvia</v>
          </cell>
          <cell r="C612" t="str">
            <v>Professional</v>
          </cell>
          <cell r="D612">
            <v>5.9</v>
          </cell>
          <cell r="E612">
            <v>0</v>
          </cell>
        </row>
        <row r="613">
          <cell r="B613" t="str">
            <v>Prieto Fernández, Paula</v>
          </cell>
          <cell r="C613" t="str">
            <v>Professional</v>
          </cell>
          <cell r="D613">
            <v>5.9</v>
          </cell>
          <cell r="E613">
            <v>0</v>
          </cell>
        </row>
        <row r="614">
          <cell r="B614" t="str">
            <v>Puchol Soriano, Sara</v>
          </cell>
          <cell r="C614" t="str">
            <v>Professional</v>
          </cell>
          <cell r="D614" t="str">
            <v>5,9</v>
          </cell>
          <cell r="E614">
            <v>0</v>
          </cell>
          <cell r="Q614"/>
          <cell r="R614"/>
        </row>
        <row r="615">
          <cell r="B615" t="str">
            <v>Puertas Yáñez, María Amaya</v>
          </cell>
          <cell r="C615" t="str">
            <v>Professional</v>
          </cell>
          <cell r="D615">
            <v>5.9</v>
          </cell>
          <cell r="E615">
            <v>0</v>
          </cell>
          <cell r="Q615"/>
          <cell r="R615"/>
          <cell r="S615"/>
          <cell r="T615"/>
        </row>
        <row r="616">
          <cell r="B616" t="str">
            <v>Pujol Fuentes, Clara</v>
          </cell>
          <cell r="C616" t="str">
            <v>Professional</v>
          </cell>
          <cell r="D616" t="str">
            <v>5,9</v>
          </cell>
          <cell r="E616">
            <v>0</v>
          </cell>
          <cell r="F616"/>
          <cell r="H616"/>
          <cell r="I616"/>
          <cell r="J616"/>
          <cell r="K616"/>
          <cell r="N616"/>
        </row>
        <row r="617">
          <cell r="B617" t="str">
            <v>Querol Reverte, Anabel</v>
          </cell>
          <cell r="C617" t="str">
            <v>Professional</v>
          </cell>
          <cell r="D617">
            <v>5.9</v>
          </cell>
          <cell r="E617">
            <v>0</v>
          </cell>
        </row>
        <row r="618">
          <cell r="B618" t="str">
            <v>Quifer Rada, Paula</v>
          </cell>
          <cell r="C618" t="str">
            <v>Professional</v>
          </cell>
          <cell r="D618" t="str">
            <v>5,9</v>
          </cell>
          <cell r="E618">
            <v>0</v>
          </cell>
          <cell r="F618"/>
          <cell r="H618"/>
          <cell r="I618"/>
          <cell r="J618"/>
          <cell r="K618"/>
          <cell r="N618"/>
          <cell r="Q618"/>
        </row>
        <row r="619">
          <cell r="B619" t="str">
            <v>Quiles Catalá, Amparo</v>
          </cell>
          <cell r="C619" t="str">
            <v>Professional</v>
          </cell>
          <cell r="D619" t="str">
            <v>5,9</v>
          </cell>
          <cell r="E619">
            <v>0</v>
          </cell>
          <cell r="F619"/>
          <cell r="H619"/>
          <cell r="I619"/>
          <cell r="J619"/>
          <cell r="K619"/>
          <cell r="N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</row>
        <row r="620">
          <cell r="B620" t="str">
            <v>Quílez Robres, Alberto</v>
          </cell>
          <cell r="C620" t="str">
            <v>Professional</v>
          </cell>
          <cell r="D620">
            <v>5.9</v>
          </cell>
          <cell r="E620">
            <v>0</v>
          </cell>
          <cell r="I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</row>
        <row r="621">
          <cell r="B621" t="str">
            <v>Quintana López, Alida Verónica</v>
          </cell>
          <cell r="C621" t="str">
            <v>Professional</v>
          </cell>
          <cell r="D621" t="str">
            <v>5,9</v>
          </cell>
          <cell r="E621">
            <v>0</v>
          </cell>
          <cell r="F621"/>
          <cell r="H621"/>
          <cell r="I621"/>
          <cell r="J621"/>
          <cell r="K621"/>
          <cell r="N621"/>
          <cell r="Q621"/>
        </row>
        <row r="622">
          <cell r="B622" t="str">
            <v>Quiun Montes, Laura Fabiola</v>
          </cell>
          <cell r="C622" t="str">
            <v>Professional</v>
          </cell>
          <cell r="D622">
            <v>5.9</v>
          </cell>
          <cell r="E622">
            <v>0</v>
          </cell>
          <cell r="R622" t="str">
            <v>solo quiere 4 TFT</v>
          </cell>
        </row>
        <row r="623">
          <cell r="B623" t="str">
            <v>Ramírez Pérez, Paula</v>
          </cell>
          <cell r="C623" t="str">
            <v>Professional</v>
          </cell>
          <cell r="D623">
            <v>5.9</v>
          </cell>
          <cell r="E623">
            <v>0</v>
          </cell>
        </row>
        <row r="624">
          <cell r="B624" t="str">
            <v>Ramiro Cortijo, David</v>
          </cell>
          <cell r="C624" t="str">
            <v>Professional</v>
          </cell>
          <cell r="D624" t="str">
            <v>5,9</v>
          </cell>
          <cell r="E624">
            <v>0</v>
          </cell>
          <cell r="F624"/>
          <cell r="H624"/>
          <cell r="I624"/>
          <cell r="J624"/>
          <cell r="K624"/>
          <cell r="N624"/>
          <cell r="Q624"/>
        </row>
        <row r="625">
          <cell r="B625" t="str">
            <v>Ramón Arbués, Enrique</v>
          </cell>
          <cell r="C625" t="str">
            <v>Professional</v>
          </cell>
          <cell r="D625" t="str">
            <v>5,9</v>
          </cell>
          <cell r="E625">
            <v>0</v>
          </cell>
          <cell r="F625"/>
          <cell r="H625"/>
          <cell r="I625"/>
          <cell r="J625"/>
          <cell r="K625"/>
          <cell r="N625"/>
          <cell r="Q625"/>
          <cell r="R625" t="str">
            <v>No asignar en MUES</v>
          </cell>
        </row>
        <row r="626">
          <cell r="B626" t="str">
            <v>Ramos Serra, Lidia María</v>
          </cell>
          <cell r="C626" t="str">
            <v>Professional</v>
          </cell>
          <cell r="D626">
            <v>5.9</v>
          </cell>
          <cell r="E626">
            <v>0</v>
          </cell>
        </row>
        <row r="627">
          <cell r="B627" t="str">
            <v>Ramos Usuga, Daniela</v>
          </cell>
          <cell r="C627" t="str">
            <v>Professional</v>
          </cell>
          <cell r="D627">
            <v>5.9</v>
          </cell>
          <cell r="E627">
            <v>0</v>
          </cell>
          <cell r="H627"/>
          <cell r="N627"/>
        </row>
        <row r="628">
          <cell r="B628" t="str">
            <v>Raspa, Giannantonio</v>
          </cell>
          <cell r="C628" t="str">
            <v>Professional</v>
          </cell>
          <cell r="D628">
            <v>5.9</v>
          </cell>
          <cell r="E628">
            <v>0</v>
          </cell>
          <cell r="Q628"/>
          <cell r="R628"/>
          <cell r="S628"/>
          <cell r="T628"/>
        </row>
        <row r="629">
          <cell r="B629" t="str">
            <v>Rebolleda Gil, Carlos</v>
          </cell>
          <cell r="C629" t="str">
            <v>Professional</v>
          </cell>
          <cell r="D629">
            <v>5.9</v>
          </cell>
          <cell r="E629">
            <v>3.5</v>
          </cell>
          <cell r="G629">
            <v>2</v>
          </cell>
          <cell r="M629">
            <v>3</v>
          </cell>
        </row>
        <row r="630">
          <cell r="B630" t="str">
            <v>Recio Barbero, María</v>
          </cell>
          <cell r="C630" t="str">
            <v>Professional</v>
          </cell>
          <cell r="D630">
            <v>5.9</v>
          </cell>
          <cell r="E630">
            <v>0</v>
          </cell>
          <cell r="Q630"/>
          <cell r="R630"/>
          <cell r="S630"/>
          <cell r="T630"/>
        </row>
        <row r="631">
          <cell r="B631" t="str">
            <v>Rentero Garrido, Pilar</v>
          </cell>
          <cell r="C631" t="str">
            <v>Professional</v>
          </cell>
          <cell r="D631" t="str">
            <v>5,9</v>
          </cell>
          <cell r="E631">
            <v>0</v>
          </cell>
          <cell r="F631"/>
          <cell r="H631"/>
          <cell r="I631"/>
          <cell r="J631"/>
          <cell r="K631"/>
          <cell r="N631"/>
          <cell r="Q631"/>
        </row>
        <row r="632">
          <cell r="B632" t="str">
            <v>Requena Ocaña, Nerea</v>
          </cell>
          <cell r="C632" t="str">
            <v>Professional</v>
          </cell>
          <cell r="D632">
            <v>5.9</v>
          </cell>
          <cell r="E632">
            <v>0</v>
          </cell>
        </row>
        <row r="633">
          <cell r="B633" t="str">
            <v>Reyes Rodríguez, Paulina Alejandra</v>
          </cell>
          <cell r="C633" t="str">
            <v>Professional</v>
          </cell>
          <cell r="D633">
            <v>5.9</v>
          </cell>
          <cell r="E633">
            <v>0</v>
          </cell>
        </row>
        <row r="634">
          <cell r="B634" t="str">
            <v>Riffo Campos, Ángela L.</v>
          </cell>
          <cell r="C634" t="str">
            <v>Professional</v>
          </cell>
          <cell r="D634" t="str">
            <v>5,9</v>
          </cell>
          <cell r="E634">
            <v>0</v>
          </cell>
          <cell r="Q634"/>
          <cell r="R634"/>
        </row>
        <row r="635">
          <cell r="B635" t="str">
            <v>Río Martínez, Laura</v>
          </cell>
          <cell r="C635" t="str">
            <v>Professional</v>
          </cell>
          <cell r="D635">
            <v>5.9</v>
          </cell>
          <cell r="E635">
            <v>0</v>
          </cell>
        </row>
        <row r="636">
          <cell r="B636" t="str">
            <v>Riobello Suárez, Cristina</v>
          </cell>
          <cell r="C636" t="str">
            <v>Professional</v>
          </cell>
          <cell r="D636" t="str">
            <v>5,9</v>
          </cell>
          <cell r="E636">
            <v>2.1</v>
          </cell>
          <cell r="F636"/>
          <cell r="H636"/>
          <cell r="I636"/>
          <cell r="J636">
            <v>3</v>
          </cell>
          <cell r="K636"/>
          <cell r="N636"/>
          <cell r="Q636"/>
        </row>
        <row r="637">
          <cell r="B637" t="str">
            <v>Ríos Blázquez, José Carlos</v>
          </cell>
          <cell r="C637" t="str">
            <v>Professional</v>
          </cell>
          <cell r="D637">
            <v>5.9</v>
          </cell>
          <cell r="E637">
            <v>0</v>
          </cell>
          <cell r="Q637"/>
          <cell r="R637"/>
          <cell r="S637"/>
          <cell r="T637"/>
        </row>
        <row r="638">
          <cell r="B638" t="str">
            <v>Rivas García, Francisco</v>
          </cell>
          <cell r="C638" t="str">
            <v>Professional</v>
          </cell>
          <cell r="D638" t="str">
            <v>5,9</v>
          </cell>
          <cell r="E638">
            <v>2.4</v>
          </cell>
          <cell r="F638"/>
          <cell r="H638"/>
          <cell r="I638"/>
          <cell r="J638"/>
          <cell r="K638"/>
          <cell r="N638"/>
          <cell r="Q638">
            <v>4</v>
          </cell>
        </row>
        <row r="639">
          <cell r="B639" t="str">
            <v>Rivas García, Lorenzo</v>
          </cell>
          <cell r="C639" t="str">
            <v>Professional</v>
          </cell>
          <cell r="D639" t="str">
            <v>5,9</v>
          </cell>
          <cell r="E639">
            <v>0</v>
          </cell>
          <cell r="H639"/>
          <cell r="I639"/>
          <cell r="J639"/>
          <cell r="K639"/>
          <cell r="N639"/>
          <cell r="Q639"/>
        </row>
        <row r="640">
          <cell r="B640" t="str">
            <v>Rivas García, Sandra María</v>
          </cell>
          <cell r="C640" t="str">
            <v>Professional</v>
          </cell>
          <cell r="D640">
            <v>5.9</v>
          </cell>
          <cell r="E640">
            <v>0</v>
          </cell>
        </row>
        <row r="641">
          <cell r="B641" t="str">
            <v>Roca Santos, Mariona</v>
          </cell>
          <cell r="C641" t="str">
            <v>Professional</v>
          </cell>
          <cell r="D641">
            <v>5.9</v>
          </cell>
          <cell r="E641">
            <v>0</v>
          </cell>
          <cell r="Q641"/>
          <cell r="R641"/>
          <cell r="S641"/>
          <cell r="T641"/>
        </row>
        <row r="642">
          <cell r="B642" t="str">
            <v>Rocabado Rocha, José Francisco</v>
          </cell>
          <cell r="C642" t="str">
            <v>Professional</v>
          </cell>
          <cell r="D642">
            <v>5.9</v>
          </cell>
          <cell r="E642">
            <v>0</v>
          </cell>
        </row>
        <row r="643">
          <cell r="B643" t="str">
            <v>Rodríguez Beltrán, Jerónimo</v>
          </cell>
          <cell r="C643" t="str">
            <v>Professional</v>
          </cell>
          <cell r="D643" t="str">
            <v>5,9</v>
          </cell>
          <cell r="E643">
            <v>0</v>
          </cell>
          <cell r="Q643"/>
          <cell r="R643"/>
        </row>
        <row r="644">
          <cell r="B644" t="str">
            <v>Rodríguez Domínguez, María del Carmen</v>
          </cell>
          <cell r="C644" t="str">
            <v>Professional</v>
          </cell>
          <cell r="D644">
            <v>5.9</v>
          </cell>
          <cell r="E644">
            <v>0</v>
          </cell>
        </row>
        <row r="645">
          <cell r="B645" t="str">
            <v>Rodríguez Eguren, Adolfo</v>
          </cell>
          <cell r="C645" t="str">
            <v>Professional</v>
          </cell>
          <cell r="D645" t="str">
            <v>5,9</v>
          </cell>
          <cell r="E645">
            <v>2.1</v>
          </cell>
          <cell r="F645"/>
          <cell r="H645"/>
          <cell r="I645"/>
          <cell r="J645"/>
          <cell r="K645">
            <v>3</v>
          </cell>
          <cell r="N645"/>
          <cell r="Q645"/>
        </row>
        <row r="646">
          <cell r="B646" t="str">
            <v>Rodríguez Fernández, Lucía</v>
          </cell>
          <cell r="C646" t="str">
            <v>Professional</v>
          </cell>
          <cell r="D646" t="str">
            <v>5,9</v>
          </cell>
          <cell r="E646">
            <v>0</v>
          </cell>
          <cell r="F646"/>
          <cell r="H646"/>
          <cell r="I646"/>
          <cell r="J646"/>
          <cell r="K646"/>
          <cell r="N646"/>
          <cell r="Q646"/>
        </row>
        <row r="647">
          <cell r="B647" t="str">
            <v>Rodríguez Fuentes, Antonio Vicente</v>
          </cell>
          <cell r="C647" t="str">
            <v>Professional</v>
          </cell>
          <cell r="D647">
            <v>5.9</v>
          </cell>
          <cell r="E647">
            <v>0</v>
          </cell>
        </row>
        <row r="648">
          <cell r="B648" t="str">
            <v>Rodríguez Gil, María de las Mercedes</v>
          </cell>
          <cell r="C648" t="str">
            <v>Professional</v>
          </cell>
          <cell r="D648" t="str">
            <v>5,9</v>
          </cell>
          <cell r="E648">
            <v>0</v>
          </cell>
          <cell r="F648"/>
          <cell r="H648"/>
          <cell r="I648"/>
          <cell r="J648"/>
          <cell r="K648"/>
          <cell r="N648"/>
        </row>
        <row r="649">
          <cell r="B649" t="str">
            <v>Rodríguez Machado, Eduardo Rafael</v>
          </cell>
          <cell r="C649" t="str">
            <v>Professional</v>
          </cell>
          <cell r="D649">
            <v>5.9</v>
          </cell>
          <cell r="E649">
            <v>0</v>
          </cell>
          <cell r="Q649"/>
          <cell r="R649"/>
          <cell r="S649"/>
          <cell r="T649"/>
        </row>
        <row r="650">
          <cell r="B650" t="str">
            <v>Rodríguez Riesco, Lorenzo</v>
          </cell>
          <cell r="C650" t="str">
            <v>Professional</v>
          </cell>
          <cell r="D650">
            <v>5.9</v>
          </cell>
          <cell r="E650">
            <v>0</v>
          </cell>
        </row>
        <row r="651">
          <cell r="B651" t="str">
            <v>Rodríguez Suárez, Antia</v>
          </cell>
          <cell r="C651" t="str">
            <v>Professional</v>
          </cell>
          <cell r="D651">
            <v>5.9</v>
          </cell>
          <cell r="E651">
            <v>0</v>
          </cell>
        </row>
        <row r="652">
          <cell r="B652" t="str">
            <v>Rojas Vistorte, Ángel Olider</v>
          </cell>
          <cell r="C652" t="str">
            <v>Professional</v>
          </cell>
          <cell r="D652">
            <v>5.9</v>
          </cell>
          <cell r="E652">
            <v>0</v>
          </cell>
        </row>
        <row r="653">
          <cell r="B653" t="str">
            <v>Rolán González, Katia</v>
          </cell>
          <cell r="C653" t="str">
            <v>Professional</v>
          </cell>
          <cell r="D653">
            <v>5.9</v>
          </cell>
          <cell r="E653">
            <v>0</v>
          </cell>
          <cell r="Q653"/>
          <cell r="R653"/>
          <cell r="S653"/>
          <cell r="T653"/>
        </row>
        <row r="654">
          <cell r="B654" t="str">
            <v>Roldán Pardo, Manuel</v>
          </cell>
          <cell r="C654" t="str">
            <v>Professional</v>
          </cell>
          <cell r="D654">
            <v>5.9</v>
          </cell>
          <cell r="E654">
            <v>0</v>
          </cell>
          <cell r="Q654"/>
          <cell r="R654"/>
          <cell r="S654"/>
          <cell r="T654"/>
        </row>
        <row r="655">
          <cell r="B655" t="str">
            <v>Romero Acosta, Kelly Carolina</v>
          </cell>
          <cell r="C655" t="str">
            <v>Professional</v>
          </cell>
          <cell r="D655">
            <v>5.9</v>
          </cell>
          <cell r="E655">
            <v>0</v>
          </cell>
        </row>
        <row r="656">
          <cell r="B656" t="str">
            <v>Romero Cuadrado, Antonia Maria</v>
          </cell>
          <cell r="C656" t="str">
            <v>Professional</v>
          </cell>
          <cell r="D656" t="str">
            <v>5,9</v>
          </cell>
          <cell r="E656">
            <v>0</v>
          </cell>
          <cell r="Q656"/>
          <cell r="R656"/>
        </row>
        <row r="657">
          <cell r="B657" t="str">
            <v>Romero González, Borja</v>
          </cell>
          <cell r="C657" t="str">
            <v>Professional</v>
          </cell>
          <cell r="D657">
            <v>5.9</v>
          </cell>
          <cell r="E657">
            <v>0</v>
          </cell>
        </row>
        <row r="658">
          <cell r="B658" t="str">
            <v>Romero Lorenzo, Juan Manuel</v>
          </cell>
          <cell r="C658" t="str">
            <v>Professional</v>
          </cell>
          <cell r="D658">
            <v>5.9</v>
          </cell>
          <cell r="E658">
            <v>0</v>
          </cell>
          <cell r="Q658"/>
          <cell r="R658"/>
          <cell r="S658"/>
          <cell r="T658"/>
        </row>
        <row r="659">
          <cell r="B659" t="str">
            <v>Rosas García, María Daniela</v>
          </cell>
          <cell r="C659" t="str">
            <v>Professional</v>
          </cell>
          <cell r="D659">
            <v>5.9</v>
          </cell>
          <cell r="E659">
            <v>0</v>
          </cell>
        </row>
        <row r="660">
          <cell r="B660" t="str">
            <v>Rosas Tapia, María Elizabeth</v>
          </cell>
          <cell r="C660" t="str">
            <v>Professional</v>
          </cell>
          <cell r="D660">
            <v>5.9</v>
          </cell>
          <cell r="E660">
            <v>0</v>
          </cell>
        </row>
        <row r="661">
          <cell r="B661" t="str">
            <v>Rosón Burgo, Beatriz</v>
          </cell>
          <cell r="C661" t="str">
            <v>Professional</v>
          </cell>
          <cell r="D661" t="str">
            <v>5,9</v>
          </cell>
          <cell r="E661">
            <v>0</v>
          </cell>
          <cell r="F661"/>
          <cell r="H661"/>
          <cell r="I661"/>
          <cell r="J661"/>
          <cell r="K661"/>
          <cell r="N661"/>
          <cell r="Q661"/>
        </row>
        <row r="662">
          <cell r="B662" t="str">
            <v>Rubio Esparza, Esther</v>
          </cell>
          <cell r="C662" t="str">
            <v>Professional</v>
          </cell>
          <cell r="D662">
            <v>5.9</v>
          </cell>
          <cell r="E662">
            <v>0</v>
          </cell>
        </row>
        <row r="663">
          <cell r="B663" t="str">
            <v>Ruiz Cortés, Marta</v>
          </cell>
          <cell r="C663" t="str">
            <v>Professional</v>
          </cell>
          <cell r="D663">
            <v>5.9</v>
          </cell>
          <cell r="E663">
            <v>0</v>
          </cell>
        </row>
        <row r="664">
          <cell r="B664" t="str">
            <v>Ruiz de los Mozos, Igor</v>
          </cell>
          <cell r="C664" t="str">
            <v>Professional</v>
          </cell>
          <cell r="D664" t="str">
            <v>5,9</v>
          </cell>
          <cell r="E664">
            <v>0</v>
          </cell>
          <cell r="F664"/>
          <cell r="H664"/>
          <cell r="I664"/>
          <cell r="J664"/>
          <cell r="K664"/>
          <cell r="N664"/>
          <cell r="Q664"/>
        </row>
        <row r="665">
          <cell r="B665" t="str">
            <v>Ruiz García, Antonio</v>
          </cell>
          <cell r="C665" t="str">
            <v>Professional</v>
          </cell>
          <cell r="D665">
            <v>5.9</v>
          </cell>
          <cell r="E665">
            <v>0</v>
          </cell>
        </row>
        <row r="666">
          <cell r="B666" t="str">
            <v>Ruiz Rodríguez, José María</v>
          </cell>
          <cell r="C666" t="str">
            <v>Professional</v>
          </cell>
          <cell r="D666">
            <v>5.9</v>
          </cell>
          <cell r="E666">
            <v>0</v>
          </cell>
        </row>
        <row r="667">
          <cell r="B667" t="str">
            <v>Ruiz Romero, Victoria</v>
          </cell>
          <cell r="C667" t="str">
            <v>Professional</v>
          </cell>
          <cell r="D667" t="str">
            <v>5,9</v>
          </cell>
          <cell r="E667">
            <v>2.8</v>
          </cell>
          <cell r="F667"/>
          <cell r="H667"/>
          <cell r="I667">
            <v>4</v>
          </cell>
          <cell r="J667"/>
          <cell r="K667"/>
          <cell r="N667"/>
          <cell r="Q667"/>
        </row>
        <row r="668">
          <cell r="B668" t="str">
            <v>Ruiz Ruiz, José María</v>
          </cell>
          <cell r="C668" t="str">
            <v>Professional</v>
          </cell>
          <cell r="D668">
            <v>5.9</v>
          </cell>
          <cell r="E668">
            <v>0</v>
          </cell>
        </row>
        <row r="669">
          <cell r="B669" t="str">
            <v>Ruzzoli, Manuela</v>
          </cell>
          <cell r="C669" t="str">
            <v>Professional</v>
          </cell>
          <cell r="D669">
            <v>5.9</v>
          </cell>
          <cell r="E669">
            <v>0</v>
          </cell>
        </row>
        <row r="670">
          <cell r="B670" t="str">
            <v>Sabater Olivas, Laura</v>
          </cell>
          <cell r="C670" t="str">
            <v>Professional</v>
          </cell>
          <cell r="D670" t="str">
            <v>5,9</v>
          </cell>
          <cell r="E670">
            <v>7</v>
          </cell>
          <cell r="F670">
            <v>4</v>
          </cell>
          <cell r="J670">
            <v>6</v>
          </cell>
          <cell r="K670"/>
          <cell r="N670"/>
          <cell r="Q670"/>
        </row>
        <row r="671">
          <cell r="B671" t="str">
            <v>Sabater Sala, Ana Isabel</v>
          </cell>
          <cell r="C671" t="str">
            <v>Professional</v>
          </cell>
          <cell r="D671" t="str">
            <v>5,9</v>
          </cell>
          <cell r="E671">
            <v>1.4</v>
          </cell>
          <cell r="I671">
            <v>2</v>
          </cell>
          <cell r="Q671"/>
          <cell r="R671"/>
        </row>
        <row r="672">
          <cell r="B672" t="str">
            <v>Sacristán Horcajada, Eva</v>
          </cell>
          <cell r="C672" t="str">
            <v>Professional</v>
          </cell>
          <cell r="D672" t="str">
            <v>5,9</v>
          </cell>
          <cell r="E672">
            <v>0</v>
          </cell>
          <cell r="F672"/>
          <cell r="H672"/>
          <cell r="I672"/>
          <cell r="J672"/>
          <cell r="K672"/>
          <cell r="N672"/>
          <cell r="Q672"/>
        </row>
        <row r="673">
          <cell r="B673" t="str">
            <v>Sáez Durán, Sandra</v>
          </cell>
          <cell r="C673" t="str">
            <v>Professional</v>
          </cell>
          <cell r="D673" t="str">
            <v>5,9</v>
          </cell>
          <cell r="E673">
            <v>0</v>
          </cell>
          <cell r="Q673"/>
          <cell r="R673"/>
        </row>
        <row r="674">
          <cell r="B674" t="str">
            <v>Salinas Granell, Mireya Beatriz</v>
          </cell>
          <cell r="C674" t="str">
            <v>Professional</v>
          </cell>
          <cell r="D674" t="str">
            <v>5,9</v>
          </cell>
          <cell r="E674">
            <v>3</v>
          </cell>
          <cell r="F674"/>
          <cell r="H674"/>
          <cell r="I674"/>
          <cell r="J674"/>
          <cell r="K674"/>
          <cell r="N674"/>
          <cell r="Q674">
            <v>5</v>
          </cell>
        </row>
        <row r="675">
          <cell r="B675" t="str">
            <v>Salvador Candau, Ester</v>
          </cell>
          <cell r="C675" t="str">
            <v>Professional</v>
          </cell>
          <cell r="D675" t="str">
            <v>5,9</v>
          </cell>
          <cell r="E675">
            <v>0</v>
          </cell>
          <cell r="F675"/>
          <cell r="H675"/>
          <cell r="I675"/>
          <cell r="J675"/>
          <cell r="K675"/>
          <cell r="N675"/>
          <cell r="Q675"/>
        </row>
        <row r="676">
          <cell r="B676" t="str">
            <v>Salvador Simon, Benjamín</v>
          </cell>
          <cell r="C676" t="str">
            <v>Professional</v>
          </cell>
          <cell r="D676">
            <v>5.9</v>
          </cell>
          <cell r="E676">
            <v>0</v>
          </cell>
        </row>
        <row r="677">
          <cell r="B677" t="str">
            <v>Samaniego Gisbert, Juan Andrés</v>
          </cell>
          <cell r="C677" t="str">
            <v>Professional</v>
          </cell>
          <cell r="D677">
            <v>5.9</v>
          </cell>
          <cell r="E677">
            <v>0</v>
          </cell>
        </row>
        <row r="678">
          <cell r="B678" t="str">
            <v>San José Tárrega, Jorge</v>
          </cell>
          <cell r="C678" t="str">
            <v>Professional</v>
          </cell>
          <cell r="D678" t="str">
            <v>5,9</v>
          </cell>
          <cell r="E678">
            <v>0</v>
          </cell>
          <cell r="F678"/>
          <cell r="H678"/>
          <cell r="I678"/>
          <cell r="J678"/>
          <cell r="K678"/>
          <cell r="N678"/>
          <cell r="Q678"/>
        </row>
        <row r="679">
          <cell r="B679" t="str">
            <v>Sánchez Burón, Adolfo</v>
          </cell>
          <cell r="C679" t="str">
            <v>Professional</v>
          </cell>
          <cell r="D679">
            <v>5.9</v>
          </cell>
          <cell r="E679">
            <v>0</v>
          </cell>
        </row>
        <row r="680">
          <cell r="B680" t="str">
            <v>Sánchez Castillo, Carla</v>
          </cell>
          <cell r="C680" t="str">
            <v>Professional</v>
          </cell>
          <cell r="D680" t="str">
            <v>5,9</v>
          </cell>
          <cell r="E680">
            <v>0</v>
          </cell>
          <cell r="F680"/>
          <cell r="H680"/>
          <cell r="I680"/>
          <cell r="J680"/>
          <cell r="K680"/>
          <cell r="N680"/>
          <cell r="Q680"/>
        </row>
        <row r="681">
          <cell r="B681" t="str">
            <v>Sánchez Cuevas, Gema</v>
          </cell>
          <cell r="C681" t="str">
            <v>Professional</v>
          </cell>
          <cell r="D681">
            <v>5.9</v>
          </cell>
          <cell r="E681">
            <v>0</v>
          </cell>
          <cell r="Q681"/>
          <cell r="R681"/>
          <cell r="S681"/>
          <cell r="T681"/>
        </row>
        <row r="682">
          <cell r="B682" t="str">
            <v>Sánchez González, Juan Luis</v>
          </cell>
          <cell r="C682" t="str">
            <v>Professional</v>
          </cell>
          <cell r="D682">
            <v>5.9</v>
          </cell>
          <cell r="E682">
            <v>0</v>
          </cell>
        </row>
        <row r="683">
          <cell r="B683" t="str">
            <v>Sánchez Lara, Encarnación María</v>
          </cell>
          <cell r="C683" t="str">
            <v>Professional</v>
          </cell>
          <cell r="D683">
            <v>5.9</v>
          </cell>
          <cell r="E683">
            <v>0</v>
          </cell>
        </row>
        <row r="684">
          <cell r="B684" t="str">
            <v>Sánchez Olid, José Manuel</v>
          </cell>
          <cell r="C684" t="str">
            <v>Professional</v>
          </cell>
          <cell r="D684">
            <v>5.9</v>
          </cell>
          <cell r="E684">
            <v>0</v>
          </cell>
        </row>
        <row r="685">
          <cell r="B685" t="str">
            <v>Sánchez Ortí, Joan Vicent</v>
          </cell>
          <cell r="C685" t="str">
            <v>Professional</v>
          </cell>
          <cell r="D685">
            <v>5.9</v>
          </cell>
          <cell r="E685">
            <v>0</v>
          </cell>
        </row>
        <row r="686">
          <cell r="B686" t="str">
            <v>Sánchez Ros, Anaís</v>
          </cell>
          <cell r="C686" t="str">
            <v>Professional</v>
          </cell>
          <cell r="D686">
            <v>5.9</v>
          </cell>
          <cell r="E686">
            <v>0</v>
          </cell>
        </row>
        <row r="687">
          <cell r="B687" t="str">
            <v>Sánchez Soriano, María Jesús</v>
          </cell>
          <cell r="C687" t="str">
            <v>Professional</v>
          </cell>
          <cell r="D687">
            <v>5.9</v>
          </cell>
          <cell r="E687">
            <v>0</v>
          </cell>
        </row>
        <row r="688">
          <cell r="B688" t="str">
            <v>Sancho Ferrando, Elena</v>
          </cell>
          <cell r="C688" t="str">
            <v>Professional</v>
          </cell>
          <cell r="D688" t="str">
            <v>5,9</v>
          </cell>
          <cell r="E688">
            <v>0</v>
          </cell>
          <cell r="F688"/>
          <cell r="H688"/>
          <cell r="I688"/>
          <cell r="J688"/>
          <cell r="K688"/>
          <cell r="N688"/>
          <cell r="Q688"/>
        </row>
        <row r="689">
          <cell r="B689" t="str">
            <v>Sand, Solange</v>
          </cell>
          <cell r="C689" t="str">
            <v>Professional</v>
          </cell>
          <cell r="D689">
            <v>5.9</v>
          </cell>
          <cell r="E689">
            <v>0</v>
          </cell>
          <cell r="Q689"/>
          <cell r="R689"/>
          <cell r="S689"/>
          <cell r="T689"/>
        </row>
        <row r="690">
          <cell r="B690" t="str">
            <v>Sanmarco Vázquez, Jessica</v>
          </cell>
          <cell r="C690" t="str">
            <v>Professional</v>
          </cell>
          <cell r="D690">
            <v>5.9</v>
          </cell>
          <cell r="E690">
            <v>0</v>
          </cell>
        </row>
        <row r="691">
          <cell r="B691" t="str">
            <v>Santillán Torres Torija, Carolina</v>
          </cell>
          <cell r="C691" t="str">
            <v>Professional</v>
          </cell>
          <cell r="D691">
            <v>5.9</v>
          </cell>
          <cell r="E691">
            <v>0</v>
          </cell>
        </row>
        <row r="692">
          <cell r="B692" t="str">
            <v>Santiso Bellón, Cristina</v>
          </cell>
          <cell r="C692" t="str">
            <v>Professional</v>
          </cell>
          <cell r="D692" t="str">
            <v>5,9</v>
          </cell>
          <cell r="E692">
            <v>0</v>
          </cell>
          <cell r="F692"/>
          <cell r="H692"/>
          <cell r="I692"/>
          <cell r="J692"/>
          <cell r="K692"/>
          <cell r="N692"/>
          <cell r="Q692"/>
        </row>
        <row r="693">
          <cell r="B693" t="str">
            <v>Sanz González, Silvia</v>
          </cell>
          <cell r="C693" t="str">
            <v>Professional</v>
          </cell>
          <cell r="D693" t="str">
            <v>5,9</v>
          </cell>
          <cell r="E693">
            <v>0</v>
          </cell>
          <cell r="Q693"/>
          <cell r="R693"/>
        </row>
        <row r="694">
          <cell r="B694" t="str">
            <v>Sanz Martínez, Patricia</v>
          </cell>
          <cell r="C694" t="str">
            <v>Professional</v>
          </cell>
          <cell r="D694">
            <v>5.9</v>
          </cell>
          <cell r="E694">
            <v>0</v>
          </cell>
          <cell r="Q694"/>
          <cell r="R694"/>
          <cell r="S694"/>
          <cell r="T694"/>
        </row>
        <row r="695">
          <cell r="B695" t="str">
            <v>Sarmento Henrique, Renata Lenise</v>
          </cell>
          <cell r="C695" t="str">
            <v>Professional</v>
          </cell>
          <cell r="D695">
            <v>5.9</v>
          </cell>
          <cell r="E695">
            <v>0</v>
          </cell>
          <cell r="L695"/>
        </row>
        <row r="696">
          <cell r="B696" t="str">
            <v>Schor-Landman, Guillermo</v>
          </cell>
          <cell r="C696" t="str">
            <v>Professional</v>
          </cell>
          <cell r="D696" t="str">
            <v>5,9</v>
          </cell>
          <cell r="E696">
            <v>0</v>
          </cell>
          <cell r="F696"/>
          <cell r="H696"/>
          <cell r="I696"/>
          <cell r="J696"/>
          <cell r="K696"/>
          <cell r="N696"/>
          <cell r="Q696"/>
        </row>
        <row r="697">
          <cell r="B697" t="str">
            <v>Schweizer, Theresa</v>
          </cell>
          <cell r="C697" t="str">
            <v>Professional</v>
          </cell>
          <cell r="D697">
            <v>5.9</v>
          </cell>
          <cell r="E697">
            <v>0</v>
          </cell>
          <cell r="Q697"/>
          <cell r="R697"/>
          <cell r="S697"/>
          <cell r="T697"/>
        </row>
        <row r="698">
          <cell r="B698" t="str">
            <v>Sebastián Martínez López</v>
          </cell>
          <cell r="C698" t="str">
            <v>Professional</v>
          </cell>
          <cell r="D698" t="str">
            <v>5,9</v>
          </cell>
          <cell r="E698">
            <v>2.8</v>
          </cell>
          <cell r="F698"/>
          <cell r="H698"/>
          <cell r="I698"/>
          <cell r="J698">
            <v>4</v>
          </cell>
          <cell r="K698"/>
          <cell r="N698"/>
          <cell r="Q698"/>
        </row>
        <row r="699">
          <cell r="B699" t="str">
            <v>Sebastiani, Giorgia</v>
          </cell>
          <cell r="C699" t="str">
            <v>Professional</v>
          </cell>
          <cell r="D699" t="str">
            <v>5,9</v>
          </cell>
          <cell r="E699">
            <v>0</v>
          </cell>
          <cell r="F699"/>
          <cell r="H699"/>
          <cell r="I699"/>
          <cell r="J699"/>
          <cell r="K699"/>
          <cell r="N699"/>
          <cell r="Q699"/>
        </row>
        <row r="700">
          <cell r="B700" t="str">
            <v>Sempere Bordes, Lluís</v>
          </cell>
          <cell r="C700" t="str">
            <v>Professional</v>
          </cell>
          <cell r="D700" t="str">
            <v>5,9</v>
          </cell>
          <cell r="E700">
            <v>0</v>
          </cell>
          <cell r="F700"/>
          <cell r="H700"/>
          <cell r="I700"/>
          <cell r="J700"/>
          <cell r="K700"/>
          <cell r="N700"/>
          <cell r="Q700"/>
        </row>
        <row r="701">
          <cell r="B701" t="str">
            <v>Senserrich Velasco, Jordi</v>
          </cell>
          <cell r="C701" t="str">
            <v>Professional</v>
          </cell>
          <cell r="D701">
            <v>5.9</v>
          </cell>
          <cell r="E701">
            <v>2.1</v>
          </cell>
          <cell r="O701">
            <v>3</v>
          </cell>
        </row>
        <row r="702">
          <cell r="B702" t="str">
            <v>Serge Rodríguez, Andrea Cecilia</v>
          </cell>
          <cell r="C702" t="str">
            <v>Professional</v>
          </cell>
          <cell r="D702">
            <v>5.9</v>
          </cell>
          <cell r="E702">
            <v>0</v>
          </cell>
        </row>
        <row r="703">
          <cell r="B703" t="str">
            <v>Serra Maqueda, Aida</v>
          </cell>
          <cell r="C703" t="str">
            <v>Professional</v>
          </cell>
          <cell r="D703" t="str">
            <v>5,9</v>
          </cell>
          <cell r="E703">
            <v>0</v>
          </cell>
          <cell r="F703"/>
          <cell r="H703"/>
          <cell r="I703"/>
          <cell r="J703"/>
          <cell r="K703"/>
          <cell r="N703"/>
          <cell r="Q703"/>
        </row>
        <row r="704">
          <cell r="B704" t="str">
            <v>Serralta García, Laura Beatriz</v>
          </cell>
          <cell r="C704" t="str">
            <v>Professional</v>
          </cell>
          <cell r="D704" t="str">
            <v>5,9</v>
          </cell>
          <cell r="E704">
            <v>3.5</v>
          </cell>
          <cell r="F704"/>
          <cell r="H704">
            <v>2</v>
          </cell>
          <cell r="K704">
            <v>3</v>
          </cell>
          <cell r="N704"/>
          <cell r="Q704"/>
        </row>
        <row r="705">
          <cell r="B705" t="str">
            <v>Serrano Alcalá, Alicia</v>
          </cell>
          <cell r="C705" t="str">
            <v>Professional</v>
          </cell>
          <cell r="D705" t="str">
            <v>5,9</v>
          </cell>
          <cell r="E705">
            <v>0</v>
          </cell>
          <cell r="Q705"/>
          <cell r="R705"/>
        </row>
        <row r="706">
          <cell r="B706" t="str">
            <v>Serrano Zárate, Berenice</v>
          </cell>
          <cell r="C706" t="str">
            <v>Professional</v>
          </cell>
          <cell r="D706">
            <v>5.9</v>
          </cell>
          <cell r="E706">
            <v>0</v>
          </cell>
          <cell r="Q706"/>
          <cell r="R706"/>
          <cell r="S706"/>
          <cell r="T706"/>
        </row>
        <row r="707">
          <cell r="B707" t="str">
            <v>Siquier Perelló, Antònia</v>
          </cell>
          <cell r="C707" t="str">
            <v>Professional</v>
          </cell>
          <cell r="D707">
            <v>5.9</v>
          </cell>
          <cell r="E707">
            <v>0</v>
          </cell>
          <cell r="N707"/>
        </row>
        <row r="708">
          <cell r="B708" t="str">
            <v>Smani, Younes</v>
          </cell>
          <cell r="C708" t="str">
            <v>Professional</v>
          </cell>
          <cell r="D708" t="str">
            <v>5,9</v>
          </cell>
          <cell r="E708">
            <v>0</v>
          </cell>
          <cell r="Q708"/>
          <cell r="R708"/>
        </row>
        <row r="709">
          <cell r="B709" t="str">
            <v>Solano Parada, Jennifer</v>
          </cell>
          <cell r="C709" t="str">
            <v>Professional</v>
          </cell>
          <cell r="D709" t="str">
            <v>5,9</v>
          </cell>
          <cell r="E709">
            <v>0</v>
          </cell>
          <cell r="F709"/>
          <cell r="H709"/>
          <cell r="I709"/>
          <cell r="J709"/>
          <cell r="K709"/>
          <cell r="N709"/>
          <cell r="Q709"/>
        </row>
        <row r="710">
          <cell r="B710" t="str">
            <v>Solaz García, Álvaro</v>
          </cell>
          <cell r="C710" t="str">
            <v>Professional</v>
          </cell>
          <cell r="D710" t="str">
            <v>5,9</v>
          </cell>
          <cell r="E710">
            <v>0</v>
          </cell>
          <cell r="F710"/>
          <cell r="H710"/>
          <cell r="I710"/>
          <cell r="J710"/>
          <cell r="K710"/>
          <cell r="N710"/>
          <cell r="Q710"/>
        </row>
        <row r="711">
          <cell r="B711" t="str">
            <v>Soler Pons, Carlos</v>
          </cell>
          <cell r="C711" t="str">
            <v>Professional</v>
          </cell>
          <cell r="D711">
            <v>5.9</v>
          </cell>
          <cell r="E711">
            <v>2.1</v>
          </cell>
          <cell r="O711">
            <v>3</v>
          </cell>
        </row>
        <row r="712">
          <cell r="B712" t="str">
            <v>Solís García, Gonzalo</v>
          </cell>
          <cell r="C712" t="str">
            <v>Professional</v>
          </cell>
          <cell r="D712" t="str">
            <v>5,9</v>
          </cell>
          <cell r="E712">
            <v>2.1</v>
          </cell>
          <cell r="F712"/>
          <cell r="H712"/>
          <cell r="I712"/>
          <cell r="J712"/>
          <cell r="K712">
            <v>3</v>
          </cell>
          <cell r="N712"/>
          <cell r="Q712"/>
        </row>
        <row r="713">
          <cell r="B713" t="str">
            <v>Soriano Álvarez, Arantxa</v>
          </cell>
          <cell r="C713" t="str">
            <v>Professional</v>
          </cell>
          <cell r="D713">
            <v>5.9</v>
          </cell>
          <cell r="E713">
            <v>0</v>
          </cell>
        </row>
        <row r="714">
          <cell r="B714" t="str">
            <v>Soriano Vidal, Francisco Javier</v>
          </cell>
          <cell r="C714" t="str">
            <v>Professional</v>
          </cell>
          <cell r="D714" t="str">
            <v>5,9</v>
          </cell>
          <cell r="E714">
            <v>0</v>
          </cell>
          <cell r="F714"/>
          <cell r="H714"/>
          <cell r="I714"/>
          <cell r="J714"/>
          <cell r="K714"/>
          <cell r="N714"/>
          <cell r="Q714"/>
          <cell r="R714" t="str">
            <v>no tutoriza este curso</v>
          </cell>
        </row>
        <row r="715">
          <cell r="B715" t="str">
            <v>Soto Pérez, Felipe Claudio</v>
          </cell>
          <cell r="C715" t="str">
            <v>Professional</v>
          </cell>
          <cell r="D715">
            <v>5.9</v>
          </cell>
          <cell r="E715">
            <v>1.4</v>
          </cell>
          <cell r="L715">
            <v>2</v>
          </cell>
          <cell r="Q715"/>
          <cell r="R715"/>
          <cell r="S715"/>
          <cell r="T715"/>
        </row>
        <row r="716">
          <cell r="B716" t="str">
            <v>Soto Sanz, Victoria</v>
          </cell>
          <cell r="C716" t="str">
            <v>Professional</v>
          </cell>
          <cell r="D716">
            <v>5.9</v>
          </cell>
          <cell r="E716">
            <v>0</v>
          </cell>
        </row>
        <row r="717">
          <cell r="B717" t="str">
            <v>Suárez Blay, María Dolores</v>
          </cell>
          <cell r="C717" t="str">
            <v>Professional</v>
          </cell>
          <cell r="D717">
            <v>5.9</v>
          </cell>
          <cell r="E717">
            <v>0</v>
          </cell>
        </row>
        <row r="718">
          <cell r="B718" t="str">
            <v>Subirana Mirete, Judit</v>
          </cell>
          <cell r="C718" t="str">
            <v>Professional</v>
          </cell>
          <cell r="D718">
            <v>5.9</v>
          </cell>
          <cell r="E718">
            <v>0</v>
          </cell>
        </row>
        <row r="719">
          <cell r="B719" t="str">
            <v>Suso Ribera, Carlos</v>
          </cell>
          <cell r="C719" t="str">
            <v>Professional</v>
          </cell>
          <cell r="D719">
            <v>5.9</v>
          </cell>
          <cell r="E719">
            <v>0</v>
          </cell>
        </row>
        <row r="720">
          <cell r="B720" t="str">
            <v>Szygendowska, Marta</v>
          </cell>
          <cell r="C720" t="str">
            <v>Professional</v>
          </cell>
          <cell r="D720">
            <v>5.9</v>
          </cell>
          <cell r="E720">
            <v>0</v>
          </cell>
        </row>
        <row r="721">
          <cell r="B721" t="str">
            <v>Taberner Cortés, Alida</v>
          </cell>
          <cell r="C721" t="str">
            <v>Professional</v>
          </cell>
          <cell r="D721" t="str">
            <v>5,9</v>
          </cell>
          <cell r="E721">
            <v>0</v>
          </cell>
          <cell r="F721"/>
          <cell r="H721"/>
          <cell r="I721"/>
          <cell r="J721"/>
          <cell r="K721"/>
          <cell r="N721"/>
          <cell r="Q721"/>
        </row>
        <row r="722">
          <cell r="B722" t="str">
            <v>Tamarit Chuliá, Alicia</v>
          </cell>
          <cell r="C722" t="str">
            <v>Professional</v>
          </cell>
          <cell r="D722">
            <v>5.9</v>
          </cell>
          <cell r="E722">
            <v>0</v>
          </cell>
        </row>
        <row r="723">
          <cell r="B723" t="str">
            <v>Tapia Iglesias, José Luis</v>
          </cell>
          <cell r="C723" t="str">
            <v>Professional</v>
          </cell>
          <cell r="D723">
            <v>5.9</v>
          </cell>
          <cell r="E723">
            <v>0</v>
          </cell>
        </row>
        <row r="724">
          <cell r="B724" t="str">
            <v>Tarazón Melguizo, Estefanía</v>
          </cell>
          <cell r="C724" t="str">
            <v>Professional</v>
          </cell>
          <cell r="D724" t="str">
            <v>5,9</v>
          </cell>
          <cell r="E724">
            <v>0</v>
          </cell>
          <cell r="Q724"/>
          <cell r="R724"/>
        </row>
        <row r="725">
          <cell r="B725" t="str">
            <v>Tarifa Rodríguez, Aida</v>
          </cell>
          <cell r="C725" t="str">
            <v>Professional</v>
          </cell>
          <cell r="D725">
            <v>5.9</v>
          </cell>
          <cell r="E725">
            <v>0</v>
          </cell>
        </row>
        <row r="726">
          <cell r="B726" t="str">
            <v>Telechea Fernández, Marcelino</v>
          </cell>
          <cell r="C726" t="str">
            <v>Professional</v>
          </cell>
          <cell r="D726" t="str">
            <v>5,9</v>
          </cell>
          <cell r="E726">
            <v>0</v>
          </cell>
          <cell r="F726"/>
          <cell r="H726"/>
          <cell r="Q726"/>
          <cell r="R726" t="str">
            <v>no asignar en mues</v>
          </cell>
        </row>
        <row r="727">
          <cell r="B727" t="str">
            <v>Tirado Gómez, Graciela Isabel</v>
          </cell>
          <cell r="C727" t="str">
            <v>Professional</v>
          </cell>
          <cell r="D727">
            <v>5.9</v>
          </cell>
          <cell r="E727">
            <v>0</v>
          </cell>
        </row>
        <row r="728">
          <cell r="B728" t="str">
            <v>Tobar Tosse, Henry Fabian</v>
          </cell>
          <cell r="C728" t="str">
            <v>Professional</v>
          </cell>
          <cell r="D728" t="str">
            <v>5,9</v>
          </cell>
          <cell r="E728">
            <v>7</v>
          </cell>
          <cell r="F728">
            <v>6</v>
          </cell>
          <cell r="J728">
            <v>4</v>
          </cell>
          <cell r="K728"/>
          <cell r="N728"/>
          <cell r="Q728"/>
        </row>
        <row r="729">
          <cell r="B729" t="str">
            <v>Toro García, Virginia</v>
          </cell>
          <cell r="C729" t="str">
            <v>Professional</v>
          </cell>
          <cell r="D729">
            <v>5.9</v>
          </cell>
          <cell r="E729">
            <v>0</v>
          </cell>
        </row>
        <row r="730">
          <cell r="B730" t="str">
            <v>Toro Martín, Silvia</v>
          </cell>
          <cell r="C730" t="str">
            <v>Professional</v>
          </cell>
          <cell r="D730">
            <v>5.9</v>
          </cell>
          <cell r="E730">
            <v>0</v>
          </cell>
        </row>
        <row r="731">
          <cell r="B731" t="str">
            <v>Torralba Jerez, Eva María</v>
          </cell>
          <cell r="C731" t="str">
            <v>Professional</v>
          </cell>
          <cell r="D731">
            <v>5.9</v>
          </cell>
          <cell r="E731">
            <v>0</v>
          </cell>
        </row>
        <row r="732">
          <cell r="B732" t="str">
            <v>Torres Aviño, Elena</v>
          </cell>
          <cell r="C732" t="str">
            <v>Professional</v>
          </cell>
          <cell r="D732">
            <v>5.9</v>
          </cell>
          <cell r="E732">
            <v>0</v>
          </cell>
        </row>
        <row r="733">
          <cell r="B733" t="str">
            <v>Torres Fernández, Gloria María</v>
          </cell>
          <cell r="C733" t="str">
            <v>Professional</v>
          </cell>
          <cell r="D733">
            <v>5.9</v>
          </cell>
          <cell r="E733">
            <v>0</v>
          </cell>
        </row>
        <row r="734">
          <cell r="B734" t="str">
            <v>Torres Prioris, María José</v>
          </cell>
          <cell r="C734" t="str">
            <v>Professional</v>
          </cell>
          <cell r="D734">
            <v>5.9</v>
          </cell>
          <cell r="E734">
            <v>0</v>
          </cell>
          <cell r="H734"/>
          <cell r="N734"/>
        </row>
        <row r="735">
          <cell r="B735" t="str">
            <v>Trapero González, Irene</v>
          </cell>
          <cell r="C735" t="str">
            <v>Professional</v>
          </cell>
          <cell r="D735">
            <v>5.9</v>
          </cell>
          <cell r="E735">
            <v>0</v>
          </cell>
          <cell r="Q735"/>
          <cell r="R735"/>
          <cell r="S735"/>
          <cell r="T735"/>
        </row>
        <row r="736">
          <cell r="B736" t="str">
            <v>Tresgallo Saiz, Emilio Constantino</v>
          </cell>
          <cell r="C736" t="str">
            <v>Professional</v>
          </cell>
          <cell r="D736">
            <v>5.9</v>
          </cell>
          <cell r="E736">
            <v>0</v>
          </cell>
        </row>
        <row r="737">
          <cell r="B737" t="str">
            <v>Tripiana Sánchez, Iban</v>
          </cell>
          <cell r="C737" t="str">
            <v>Professional</v>
          </cell>
          <cell r="D737">
            <v>5.9</v>
          </cell>
          <cell r="E737">
            <v>0</v>
          </cell>
          <cell r="Q737"/>
          <cell r="R737"/>
          <cell r="S737"/>
          <cell r="T737"/>
        </row>
        <row r="738">
          <cell r="B738" t="str">
            <v>Tronchoni Albert, Héctor</v>
          </cell>
          <cell r="C738" t="str">
            <v>Professional</v>
          </cell>
          <cell r="D738">
            <v>5.9</v>
          </cell>
          <cell r="E738">
            <v>0</v>
          </cell>
        </row>
        <row r="739">
          <cell r="B739" t="str">
            <v>Ubago Jiménez, José Luis</v>
          </cell>
          <cell r="C739" t="str">
            <v>Professional</v>
          </cell>
          <cell r="D739">
            <v>5.9</v>
          </cell>
          <cell r="E739">
            <v>0</v>
          </cell>
        </row>
        <row r="740">
          <cell r="B740" t="str">
            <v>Ulla Díez, Sara</v>
          </cell>
          <cell r="C740" t="str">
            <v>Professional</v>
          </cell>
          <cell r="D740">
            <v>5.9</v>
          </cell>
          <cell r="E740">
            <v>0</v>
          </cell>
          <cell r="Q740"/>
          <cell r="R740"/>
          <cell r="S740"/>
          <cell r="T740"/>
        </row>
        <row r="741">
          <cell r="B741" t="str">
            <v>Valdés García, Enric</v>
          </cell>
          <cell r="C741" t="str">
            <v>Professional</v>
          </cell>
          <cell r="D741" t="str">
            <v>5,9</v>
          </cell>
          <cell r="E741">
            <v>0</v>
          </cell>
          <cell r="F741"/>
          <cell r="H741"/>
          <cell r="I741"/>
          <cell r="J741"/>
          <cell r="K741"/>
          <cell r="N741"/>
          <cell r="Q741"/>
        </row>
        <row r="742">
          <cell r="B742" t="str">
            <v>Valentín Centeno, Alberto</v>
          </cell>
          <cell r="C742" t="str">
            <v>Professional</v>
          </cell>
          <cell r="D742">
            <v>5.9</v>
          </cell>
          <cell r="E742">
            <v>2.8</v>
          </cell>
          <cell r="L742">
            <v>4</v>
          </cell>
          <cell r="Q742"/>
          <cell r="R742"/>
          <cell r="S742"/>
          <cell r="T742"/>
        </row>
        <row r="743">
          <cell r="B743" t="str">
            <v>Valera Lloris, Raquel</v>
          </cell>
          <cell r="C743" t="str">
            <v>Professional</v>
          </cell>
          <cell r="D743">
            <v>5.9</v>
          </cell>
          <cell r="E743">
            <v>7</v>
          </cell>
          <cell r="G743">
            <v>4</v>
          </cell>
          <cell r="M743">
            <v>6</v>
          </cell>
        </row>
        <row r="744">
          <cell r="B744" t="str">
            <v>Valero Chaves, Mónica</v>
          </cell>
          <cell r="C744" t="str">
            <v>Professional</v>
          </cell>
          <cell r="D744">
            <v>5.9</v>
          </cell>
          <cell r="E744">
            <v>0</v>
          </cell>
          <cell r="Q744"/>
          <cell r="R744"/>
          <cell r="S744"/>
          <cell r="T744"/>
        </row>
        <row r="745">
          <cell r="B745" t="str">
            <v>Valero Rello, Ana</v>
          </cell>
          <cell r="C745" t="str">
            <v>Professional</v>
          </cell>
          <cell r="D745" t="str">
            <v>5,9</v>
          </cell>
          <cell r="E745">
            <v>0</v>
          </cell>
          <cell r="F745"/>
          <cell r="H745"/>
          <cell r="I745"/>
          <cell r="J745"/>
          <cell r="K745"/>
          <cell r="N745"/>
          <cell r="Q745"/>
        </row>
        <row r="746">
          <cell r="B746" t="str">
            <v>Valiente Parra, Nicolás</v>
          </cell>
          <cell r="C746" t="str">
            <v>Professional</v>
          </cell>
          <cell r="D746" t="str">
            <v>5,9</v>
          </cell>
          <cell r="E746">
            <v>4.2</v>
          </cell>
          <cell r="F746">
            <v>1</v>
          </cell>
          <cell r="H746"/>
          <cell r="I746"/>
          <cell r="J746">
            <v>5</v>
          </cell>
          <cell r="K746"/>
          <cell r="N746"/>
          <cell r="Q746"/>
        </row>
        <row r="747">
          <cell r="B747" t="str">
            <v>Valls Mollá, Lydia</v>
          </cell>
          <cell r="C747" t="str">
            <v>Professional</v>
          </cell>
          <cell r="D747">
            <v>5.9</v>
          </cell>
          <cell r="E747">
            <v>0</v>
          </cell>
          <cell r="K747"/>
        </row>
        <row r="748">
          <cell r="B748" t="str">
            <v>Varela Castiñeiras, Isabel María</v>
          </cell>
          <cell r="C748" t="str">
            <v>Professional</v>
          </cell>
          <cell r="D748">
            <v>5.9</v>
          </cell>
          <cell r="E748">
            <v>0</v>
          </cell>
        </row>
        <row r="749">
          <cell r="B749" t="str">
            <v>Varela Tembra, Juan José</v>
          </cell>
          <cell r="C749" t="str">
            <v>Professional</v>
          </cell>
          <cell r="D749">
            <v>5.9</v>
          </cell>
          <cell r="E749">
            <v>0</v>
          </cell>
        </row>
        <row r="750">
          <cell r="B750" t="str">
            <v>Vargas Salinas, Viviana Sylvia Elena</v>
          </cell>
          <cell r="C750" t="str">
            <v>Professional</v>
          </cell>
          <cell r="D750">
            <v>5.9</v>
          </cell>
          <cell r="E750">
            <v>0</v>
          </cell>
        </row>
        <row r="751">
          <cell r="B751" t="str">
            <v>Vásquez Amezquita, Milena</v>
          </cell>
          <cell r="C751" t="str">
            <v>Professional</v>
          </cell>
          <cell r="D751">
            <v>5.9</v>
          </cell>
          <cell r="E751">
            <v>1.4</v>
          </cell>
          <cell r="O751">
            <v>2</v>
          </cell>
        </row>
        <row r="752">
          <cell r="B752" t="str">
            <v>Vásquez Vásquez, Sebastián Andrés</v>
          </cell>
          <cell r="C752" t="str">
            <v>Professional</v>
          </cell>
          <cell r="D752">
            <v>5.9</v>
          </cell>
          <cell r="E752">
            <v>0</v>
          </cell>
        </row>
        <row r="753">
          <cell r="B753" t="str">
            <v>Vázquez Aguilar, Laura Alejandra</v>
          </cell>
          <cell r="C753" t="str">
            <v>Professional</v>
          </cell>
          <cell r="D753" t="str">
            <v>5,9</v>
          </cell>
          <cell r="E753">
            <v>0</v>
          </cell>
          <cell r="F753"/>
          <cell r="H753"/>
          <cell r="I753"/>
          <cell r="J753"/>
          <cell r="K753"/>
          <cell r="N753"/>
          <cell r="R753" t="str">
            <v>renuncia temporal</v>
          </cell>
        </row>
        <row r="754">
          <cell r="B754" t="str">
            <v>Vázquez Miraz, Pedro</v>
          </cell>
          <cell r="C754" t="str">
            <v>Professional</v>
          </cell>
          <cell r="D754">
            <v>5.9</v>
          </cell>
          <cell r="E754">
            <v>0</v>
          </cell>
        </row>
        <row r="755">
          <cell r="B755" t="str">
            <v>Vázquez Prieto, Severo</v>
          </cell>
          <cell r="C755" t="str">
            <v>Professional</v>
          </cell>
          <cell r="D755" t="str">
            <v>5,9</v>
          </cell>
          <cell r="E755">
            <v>7</v>
          </cell>
          <cell r="F755">
            <v>3</v>
          </cell>
          <cell r="J755">
            <v>7</v>
          </cell>
          <cell r="Q755"/>
          <cell r="R755"/>
        </row>
        <row r="756">
          <cell r="B756" t="str">
            <v>Vázquez Robles, José Julián</v>
          </cell>
          <cell r="C756" t="str">
            <v>Professional</v>
          </cell>
          <cell r="D756">
            <v>5.9</v>
          </cell>
          <cell r="E756">
            <v>0</v>
          </cell>
          <cell r="Q756"/>
          <cell r="R756"/>
          <cell r="S756"/>
          <cell r="T756"/>
        </row>
        <row r="757">
          <cell r="B757" t="str">
            <v>Vázquez, Natalia</v>
          </cell>
          <cell r="C757" t="str">
            <v>Professional</v>
          </cell>
          <cell r="D757">
            <v>5.9</v>
          </cell>
          <cell r="E757">
            <v>0</v>
          </cell>
        </row>
        <row r="758">
          <cell r="B758" t="str">
            <v>Vázquez, Victoria</v>
          </cell>
          <cell r="C758" t="str">
            <v>Professional</v>
          </cell>
          <cell r="D758">
            <v>5.9</v>
          </cell>
          <cell r="E758">
            <v>0</v>
          </cell>
        </row>
        <row r="759">
          <cell r="B759" t="str">
            <v>Vega Sanz, María</v>
          </cell>
          <cell r="C759" t="str">
            <v>Professional</v>
          </cell>
          <cell r="D759">
            <v>5.9</v>
          </cell>
          <cell r="E759">
            <v>0</v>
          </cell>
        </row>
        <row r="760">
          <cell r="B760" t="str">
            <v>Veiga Rodeiro, Sergio</v>
          </cell>
          <cell r="C760" t="str">
            <v>Professional</v>
          </cell>
          <cell r="D760">
            <v>5.9</v>
          </cell>
          <cell r="E760">
            <v>2.1</v>
          </cell>
          <cell r="L760">
            <v>3</v>
          </cell>
        </row>
        <row r="761">
          <cell r="B761" t="str">
            <v>Velasco Mayol, Lydia</v>
          </cell>
          <cell r="C761" t="str">
            <v>Professional</v>
          </cell>
          <cell r="D761" t="str">
            <v>5,9</v>
          </cell>
          <cell r="E761">
            <v>0</v>
          </cell>
          <cell r="F761"/>
          <cell r="H761"/>
          <cell r="I761"/>
          <cell r="J761"/>
          <cell r="K761"/>
          <cell r="N761"/>
          <cell r="Q761"/>
        </row>
        <row r="762">
          <cell r="B762" t="str">
            <v>Velasco Vega, Cristina</v>
          </cell>
          <cell r="C762" t="str">
            <v>Professional</v>
          </cell>
          <cell r="D762">
            <v>5.9</v>
          </cell>
          <cell r="E762">
            <v>0</v>
          </cell>
        </row>
        <row r="763">
          <cell r="B763" t="str">
            <v>Velázquez Martínez, Zaily Leticia</v>
          </cell>
          <cell r="C763" t="str">
            <v>Professional</v>
          </cell>
          <cell r="D763">
            <v>5.9</v>
          </cell>
          <cell r="E763">
            <v>0</v>
          </cell>
        </row>
        <row r="764">
          <cell r="B764" t="str">
            <v>Vera Vergara, Vivian</v>
          </cell>
          <cell r="C764" t="str">
            <v>Professional</v>
          </cell>
          <cell r="D764">
            <v>5.9</v>
          </cell>
          <cell r="E764">
            <v>0</v>
          </cell>
          <cell r="Q764"/>
          <cell r="R764"/>
          <cell r="S764"/>
          <cell r="T764"/>
        </row>
        <row r="765">
          <cell r="B765" t="str">
            <v>Vercher Herráez, Enric</v>
          </cell>
          <cell r="C765" t="str">
            <v>Professional</v>
          </cell>
          <cell r="D765" t="str">
            <v>5,9</v>
          </cell>
          <cell r="E765">
            <v>0</v>
          </cell>
          <cell r="F765"/>
          <cell r="H765"/>
          <cell r="I765"/>
          <cell r="J765"/>
          <cell r="K765"/>
          <cell r="N765"/>
          <cell r="Q765"/>
        </row>
        <row r="766">
          <cell r="B766" t="str">
            <v>Verdecia Carballo, Enrique</v>
          </cell>
          <cell r="C766" t="str">
            <v>Professional</v>
          </cell>
          <cell r="D766">
            <v>5.9</v>
          </cell>
          <cell r="E766">
            <v>0</v>
          </cell>
        </row>
        <row r="767">
          <cell r="B767" t="str">
            <v>Vicario Badía, Patricia</v>
          </cell>
          <cell r="C767" t="str">
            <v>Professional</v>
          </cell>
          <cell r="D767" t="str">
            <v>5,9</v>
          </cell>
          <cell r="E767">
            <v>0</v>
          </cell>
          <cell r="F767"/>
          <cell r="H767"/>
          <cell r="I767"/>
          <cell r="J767"/>
          <cell r="K767"/>
          <cell r="N767"/>
        </row>
        <row r="768">
          <cell r="B768" t="str">
            <v>Vidal Gil, Lorena</v>
          </cell>
          <cell r="C768" t="str">
            <v>Professional</v>
          </cell>
          <cell r="D768" t="str">
            <v>5,9</v>
          </cell>
          <cell r="E768">
            <v>0</v>
          </cell>
          <cell r="F768"/>
          <cell r="H768"/>
          <cell r="I768"/>
          <cell r="J768"/>
          <cell r="K768"/>
          <cell r="N768"/>
          <cell r="Q768"/>
        </row>
        <row r="769">
          <cell r="B769" t="str">
            <v>Vieites Leston, Tania</v>
          </cell>
          <cell r="C769" t="str">
            <v>Professional</v>
          </cell>
          <cell r="D769">
            <v>5.9</v>
          </cell>
          <cell r="E769">
            <v>0</v>
          </cell>
          <cell r="Q769"/>
          <cell r="R769"/>
          <cell r="S769"/>
          <cell r="T769"/>
        </row>
        <row r="770">
          <cell r="B770" t="str">
            <v>Vila Vicent, Susana</v>
          </cell>
          <cell r="C770" t="str">
            <v>Professional</v>
          </cell>
          <cell r="D770" t="str">
            <v>5,9</v>
          </cell>
          <cell r="E770">
            <v>0</v>
          </cell>
          <cell r="F770"/>
          <cell r="H770"/>
          <cell r="Q770"/>
        </row>
        <row r="771">
          <cell r="B771" t="str">
            <v>Villagrán Venegas, Aída Mariana</v>
          </cell>
          <cell r="C771" t="str">
            <v>Professional</v>
          </cell>
          <cell r="D771">
            <v>5.9</v>
          </cell>
          <cell r="E771">
            <v>0</v>
          </cell>
          <cell r="Q771"/>
          <cell r="R771"/>
          <cell r="S771"/>
          <cell r="T771"/>
        </row>
        <row r="772">
          <cell r="B772" t="str">
            <v>Villarreal Díaz, Pablo</v>
          </cell>
          <cell r="C772" t="str">
            <v>Professional</v>
          </cell>
          <cell r="D772" t="str">
            <v>5,9</v>
          </cell>
          <cell r="E772">
            <v>0</v>
          </cell>
          <cell r="F772"/>
          <cell r="H772"/>
          <cell r="I772"/>
          <cell r="J772"/>
          <cell r="K772"/>
          <cell r="N772"/>
          <cell r="Q772"/>
        </row>
        <row r="773">
          <cell r="B773" t="str">
            <v>Xavier, Marlon</v>
          </cell>
          <cell r="C773" t="str">
            <v>Professional</v>
          </cell>
          <cell r="D773">
            <v>5.9</v>
          </cell>
          <cell r="E773">
            <v>2.1</v>
          </cell>
          <cell r="L773">
            <v>3</v>
          </cell>
        </row>
        <row r="774">
          <cell r="B774" t="str">
            <v>Yagüe Menéndez, Paula</v>
          </cell>
          <cell r="C774" t="str">
            <v>Professional</v>
          </cell>
          <cell r="D774" t="str">
            <v>5,9</v>
          </cell>
          <cell r="E774">
            <v>0</v>
          </cell>
          <cell r="F774"/>
          <cell r="H774"/>
          <cell r="I774"/>
          <cell r="J774"/>
          <cell r="K774"/>
          <cell r="N774"/>
          <cell r="Q774"/>
        </row>
        <row r="775">
          <cell r="B775" t="str">
            <v>Yáñez Vilches, Aurora</v>
          </cell>
          <cell r="C775" t="str">
            <v>Professional</v>
          </cell>
          <cell r="D775" t="str">
            <v>5,9</v>
          </cell>
          <cell r="E775">
            <v>0</v>
          </cell>
          <cell r="Q775"/>
          <cell r="R775"/>
        </row>
        <row r="776">
          <cell r="B776" t="str">
            <v>Yatim Harkous, Wissam</v>
          </cell>
          <cell r="C776" t="str">
            <v>Professional</v>
          </cell>
          <cell r="D776">
            <v>5.9</v>
          </cell>
          <cell r="E776">
            <v>0</v>
          </cell>
        </row>
        <row r="777">
          <cell r="B777" t="str">
            <v>Zaky Menéndez, Lorena</v>
          </cell>
          <cell r="C777" t="str">
            <v>Professional</v>
          </cell>
          <cell r="D777">
            <v>5.9</v>
          </cell>
          <cell r="E777">
            <v>0</v>
          </cell>
        </row>
        <row r="778">
          <cell r="B778" t="str">
            <v>Zalazar Jaime, Mauricio Federico</v>
          </cell>
          <cell r="C778" t="str">
            <v>Professional</v>
          </cell>
          <cell r="D778">
            <v>5.9</v>
          </cell>
          <cell r="E778">
            <v>0</v>
          </cell>
        </row>
        <row r="779">
          <cell r="B779" t="str">
            <v>Zangri, Rosaria María</v>
          </cell>
          <cell r="C779" t="str">
            <v>Professional</v>
          </cell>
          <cell r="D779">
            <v>5.9</v>
          </cell>
          <cell r="E779">
            <v>0</v>
          </cell>
        </row>
        <row r="780">
          <cell r="B780" t="str">
            <v>Zegarra Valdivia, Jonathan Adrián</v>
          </cell>
          <cell r="C780" t="str">
            <v>Professional</v>
          </cell>
          <cell r="D780">
            <v>5.9</v>
          </cell>
          <cell r="E780">
            <v>0</v>
          </cell>
          <cell r="Q780"/>
          <cell r="R780"/>
          <cell r="S780"/>
          <cell r="T780"/>
        </row>
        <row r="781">
          <cell r="B781" t="str">
            <v>Zolog, Teodora Cosmina</v>
          </cell>
          <cell r="C781" t="str">
            <v>Professional</v>
          </cell>
          <cell r="D781">
            <v>5.9</v>
          </cell>
          <cell r="E781">
            <v>0</v>
          </cell>
          <cell r="Q781"/>
          <cell r="R781"/>
          <cell r="S781"/>
          <cell r="T781"/>
        </row>
        <row r="782">
          <cell r="B782" t="str">
            <v>Zorrilla Larrainzar, Idoia</v>
          </cell>
          <cell r="C782" t="str">
            <v>Professional</v>
          </cell>
          <cell r="D782">
            <v>5.9</v>
          </cell>
          <cell r="E782">
            <v>0</v>
          </cell>
          <cell r="Q782"/>
          <cell r="R782"/>
          <cell r="S782"/>
          <cell r="T782"/>
        </row>
        <row r="783">
          <cell r="B783" t="str">
            <v>Zúñiga Trejos, Sheila</v>
          </cell>
          <cell r="C783" t="str">
            <v>Professional</v>
          </cell>
          <cell r="D783" t="str">
            <v>5,9</v>
          </cell>
          <cell r="E783">
            <v>2.8</v>
          </cell>
          <cell r="F783">
            <v>2</v>
          </cell>
          <cell r="J783">
            <v>2</v>
          </cell>
          <cell r="Q783"/>
          <cell r="R783"/>
        </row>
        <row r="784">
          <cell r="B784" t="str">
            <v>Arnau Paltor, Pablo</v>
          </cell>
          <cell r="C784" t="e">
            <v>#VALUE!</v>
          </cell>
          <cell r="D784" t="e">
            <v>#VALUE!</v>
          </cell>
          <cell r="E784">
            <v>4.1999999999999993</v>
          </cell>
          <cell r="F784"/>
          <cell r="H784">
            <v>4</v>
          </cell>
          <cell r="I784"/>
          <cell r="J784"/>
          <cell r="K784">
            <v>2</v>
          </cell>
          <cell r="N784"/>
        </row>
        <row r="785">
          <cell r="B785" t="str">
            <v>Clara Bullich Vilarrubias</v>
          </cell>
          <cell r="C785" t="e">
            <v>#VALUE!</v>
          </cell>
          <cell r="D785" t="e">
            <v>#VALUE!</v>
          </cell>
          <cell r="E785">
            <v>1.4</v>
          </cell>
          <cell r="O785">
            <v>2</v>
          </cell>
        </row>
        <row r="786">
          <cell r="B786" t="str">
            <v>Jaime Simarro</v>
          </cell>
          <cell r="C786" t="e">
            <v>#VALUE!</v>
          </cell>
          <cell r="D786" t="e">
            <v>#VALUE!</v>
          </cell>
          <cell r="E786">
            <v>1.4</v>
          </cell>
          <cell r="O786">
            <v>2</v>
          </cell>
        </row>
        <row r="787">
          <cell r="B787" t="str">
            <v>Julia Leira Morano</v>
          </cell>
          <cell r="C787" t="e">
            <v>#VALUE!</v>
          </cell>
          <cell r="D787" t="e">
            <v>#VALUE!</v>
          </cell>
          <cell r="E787">
            <v>3.5</v>
          </cell>
          <cell r="F787"/>
          <cell r="M787">
            <v>5</v>
          </cell>
          <cell r="Q787"/>
          <cell r="R787"/>
        </row>
        <row r="788">
          <cell r="C788" t="e">
            <v>#VALUE!</v>
          </cell>
          <cell r="D788" t="e">
            <v>#VALUE!</v>
          </cell>
          <cell r="E788">
            <v>0</v>
          </cell>
          <cell r="F788"/>
          <cell r="H788"/>
          <cell r="I788"/>
          <cell r="J788"/>
          <cell r="K788"/>
          <cell r="N788"/>
        </row>
        <row r="789">
          <cell r="C789" t="e">
            <v>#VALUE!</v>
          </cell>
          <cell r="D789" t="e">
            <v>#VALUE!</v>
          </cell>
          <cell r="E789">
            <v>0</v>
          </cell>
          <cell r="F789"/>
          <cell r="H789"/>
          <cell r="I789"/>
          <cell r="J789"/>
          <cell r="K789"/>
          <cell r="N789"/>
        </row>
        <row r="790">
          <cell r="C790" t="e">
            <v>#VALUE!</v>
          </cell>
          <cell r="D790" t="e">
            <v>#VALUE!</v>
          </cell>
          <cell r="E790">
            <v>0</v>
          </cell>
          <cell r="F790"/>
          <cell r="H790"/>
          <cell r="I790"/>
          <cell r="J790"/>
          <cell r="K790"/>
          <cell r="N790"/>
        </row>
        <row r="791">
          <cell r="C791" t="e">
            <v>#VALUE!</v>
          </cell>
          <cell r="D791" t="e">
            <v>#VALUE!</v>
          </cell>
          <cell r="E791">
            <v>0</v>
          </cell>
          <cell r="F791"/>
          <cell r="H791"/>
          <cell r="I791"/>
          <cell r="J791"/>
          <cell r="K791"/>
          <cell r="N791"/>
        </row>
        <row r="792">
          <cell r="C792" t="e">
            <v>#VALUE!</v>
          </cell>
          <cell r="D792" t="e">
            <v>#VALUE!</v>
          </cell>
          <cell r="E792">
            <v>0</v>
          </cell>
        </row>
        <row r="793">
          <cell r="C793" t="e">
            <v>#VALUE!</v>
          </cell>
          <cell r="D793" t="e">
            <v>#VALUE!</v>
          </cell>
          <cell r="E793">
            <v>0</v>
          </cell>
          <cell r="F793"/>
          <cell r="H793"/>
          <cell r="I793"/>
          <cell r="J793"/>
          <cell r="K793"/>
          <cell r="N793"/>
        </row>
        <row r="794">
          <cell r="C794" t="e">
            <v>#VALUE!</v>
          </cell>
          <cell r="D794" t="e">
            <v>#VALUE!</v>
          </cell>
          <cell r="E794">
            <v>0</v>
          </cell>
          <cell r="F794"/>
          <cell r="H794"/>
          <cell r="I794"/>
          <cell r="J794"/>
          <cell r="K794"/>
          <cell r="N794"/>
        </row>
        <row r="795">
          <cell r="B795"/>
          <cell r="C795" t="e">
            <v>#VALUE!</v>
          </cell>
          <cell r="D795" t="e">
            <v>#VALUE!</v>
          </cell>
          <cell r="E795">
            <v>0</v>
          </cell>
          <cell r="F795"/>
        </row>
        <row r="796">
          <cell r="C796" t="e">
            <v>#VALUE!</v>
          </cell>
          <cell r="D796" t="e">
            <v>#VALUE!</v>
          </cell>
          <cell r="E796">
            <v>0</v>
          </cell>
          <cell r="F796"/>
          <cell r="H796"/>
          <cell r="I796"/>
          <cell r="J796"/>
          <cell r="K796"/>
          <cell r="N796"/>
          <cell r="Q796"/>
        </row>
        <row r="797">
          <cell r="B797"/>
          <cell r="C797" t="e">
            <v>#VALUE!</v>
          </cell>
          <cell r="D797" t="e">
            <v>#VALUE!</v>
          </cell>
          <cell r="E797">
            <v>0</v>
          </cell>
          <cell r="F797"/>
        </row>
        <row r="798">
          <cell r="B798"/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</row>
        <row r="799">
          <cell r="B799"/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</row>
        <row r="800">
          <cell r="B800"/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</row>
        <row r="801">
          <cell r="B801"/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</row>
        <row r="802">
          <cell r="B802"/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</row>
        <row r="803">
          <cell r="B803"/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</row>
        <row r="804">
          <cell r="B804"/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</row>
        <row r="805">
          <cell r="B805"/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</row>
        <row r="806">
          <cell r="B806"/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</row>
        <row r="807">
          <cell r="B807"/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</row>
        <row r="808">
          <cell r="B808"/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</row>
        <row r="809">
          <cell r="B809"/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</row>
        <row r="810">
          <cell r="B810"/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</row>
        <row r="811">
          <cell r="B811"/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</row>
        <row r="812">
          <cell r="B812"/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</row>
        <row r="813">
          <cell r="B813"/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</row>
        <row r="814">
          <cell r="B814"/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</row>
        <row r="815">
          <cell r="B815"/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</row>
        <row r="816">
          <cell r="B816"/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</row>
        <row r="817">
          <cell r="B817"/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</row>
        <row r="818">
          <cell r="B818"/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</row>
        <row r="819">
          <cell r="B819"/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</row>
        <row r="820">
          <cell r="B820"/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</row>
        <row r="821">
          <cell r="B821"/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</row>
        <row r="822">
          <cell r="B822"/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</row>
        <row r="823">
          <cell r="B823"/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</row>
        <row r="824">
          <cell r="B824"/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</row>
        <row r="825">
          <cell r="B825"/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</row>
        <row r="826">
          <cell r="B826"/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</row>
        <row r="827">
          <cell r="B827"/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</row>
        <row r="828">
          <cell r="B828"/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</row>
        <row r="829"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</row>
        <row r="830"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</row>
        <row r="831"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</row>
        <row r="832">
          <cell r="B832"/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</row>
        <row r="833">
          <cell r="B833"/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</row>
        <row r="834">
          <cell r="B834"/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</row>
        <row r="835">
          <cell r="B835"/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</row>
        <row r="836">
          <cell r="B836"/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</row>
        <row r="837">
          <cell r="B837"/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</row>
        <row r="838">
          <cell r="B838"/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</row>
        <row r="839">
          <cell r="B839"/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</row>
        <row r="840">
          <cell r="B840"/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</row>
        <row r="841">
          <cell r="B841"/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</row>
        <row r="842">
          <cell r="B842"/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</row>
        <row r="843">
          <cell r="B843"/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</row>
        <row r="844">
          <cell r="B844"/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</row>
        <row r="845">
          <cell r="B845"/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</row>
        <row r="846">
          <cell r="B846"/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</row>
        <row r="847">
          <cell r="B847"/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</row>
        <row r="848">
          <cell r="B848"/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</row>
        <row r="849">
          <cell r="B849"/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</row>
        <row r="850">
          <cell r="B850"/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</row>
        <row r="851">
          <cell r="B851"/>
          <cell r="C851"/>
          <cell r="D851"/>
          <cell r="E851"/>
          <cell r="F851"/>
          <cell r="G851"/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</row>
        <row r="852">
          <cell r="B852"/>
          <cell r="C852"/>
          <cell r="D852"/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</row>
        <row r="853">
          <cell r="B853"/>
          <cell r="C853"/>
          <cell r="D853"/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</row>
        <row r="854">
          <cell r="B854"/>
          <cell r="C854"/>
          <cell r="D854"/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</row>
        <row r="855">
          <cell r="B855"/>
          <cell r="C855"/>
          <cell r="D855"/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</row>
        <row r="856">
          <cell r="B856"/>
          <cell r="C856"/>
          <cell r="D856"/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</row>
        <row r="857">
          <cell r="B857"/>
          <cell r="C857"/>
          <cell r="D857"/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</row>
        <row r="858">
          <cell r="B858"/>
          <cell r="C858"/>
          <cell r="D858"/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</row>
        <row r="859">
          <cell r="B859"/>
          <cell r="C859"/>
          <cell r="D859"/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</row>
        <row r="860">
          <cell r="B860"/>
          <cell r="C860"/>
          <cell r="D860"/>
          <cell r="E860"/>
          <cell r="F860"/>
          <cell r="G860"/>
          <cell r="H860"/>
          <cell r="I860"/>
          <cell r="J860"/>
          <cell r="K860"/>
          <cell r="L860"/>
          <cell r="M860"/>
          <cell r="N860"/>
          <cell r="O860"/>
          <cell r="P860"/>
          <cell r="Q860"/>
          <cell r="R860"/>
        </row>
        <row r="861">
          <cell r="B861"/>
          <cell r="C861"/>
          <cell r="D861"/>
          <cell r="E861"/>
          <cell r="F861"/>
          <cell r="G861"/>
          <cell r="H861"/>
          <cell r="I861"/>
          <cell r="J861"/>
          <cell r="K861"/>
          <cell r="L861"/>
          <cell r="M861"/>
          <cell r="N861"/>
          <cell r="O861"/>
          <cell r="P861"/>
          <cell r="Q861"/>
          <cell r="R861"/>
        </row>
        <row r="862">
          <cell r="B862"/>
          <cell r="C862"/>
          <cell r="D862"/>
          <cell r="E862"/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  <cell r="P862"/>
          <cell r="Q862"/>
          <cell r="R862"/>
        </row>
        <row r="863">
          <cell r="B863"/>
          <cell r="C863"/>
          <cell r="D863"/>
          <cell r="E863"/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  <cell r="P863"/>
          <cell r="Q863"/>
          <cell r="R863"/>
        </row>
        <row r="864">
          <cell r="B864"/>
          <cell r="C864"/>
          <cell r="D864"/>
          <cell r="E864"/>
          <cell r="F864"/>
          <cell r="G864"/>
          <cell r="H864"/>
          <cell r="I864"/>
          <cell r="J864"/>
          <cell r="K864"/>
          <cell r="L864"/>
          <cell r="M864"/>
          <cell r="N864"/>
          <cell r="O864"/>
          <cell r="P864"/>
          <cell r="Q864"/>
          <cell r="R864"/>
        </row>
        <row r="865">
          <cell r="B865"/>
          <cell r="C865"/>
          <cell r="D865"/>
          <cell r="E865"/>
          <cell r="F865"/>
          <cell r="G865"/>
          <cell r="H865"/>
          <cell r="I865"/>
          <cell r="J865"/>
          <cell r="K865"/>
          <cell r="L865"/>
          <cell r="M865"/>
          <cell r="N865"/>
          <cell r="O865"/>
          <cell r="P865"/>
          <cell r="Q865"/>
          <cell r="R865"/>
        </row>
        <row r="866">
          <cell r="B866"/>
          <cell r="C866"/>
          <cell r="D866"/>
          <cell r="E866"/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</row>
        <row r="867">
          <cell r="B867"/>
          <cell r="C867"/>
          <cell r="D867"/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</row>
        <row r="868">
          <cell r="B868"/>
          <cell r="C868"/>
          <cell r="D868"/>
          <cell r="E868"/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</row>
        <row r="869">
          <cell r="B869"/>
          <cell r="C869"/>
          <cell r="D869"/>
          <cell r="E869"/>
          <cell r="F869"/>
          <cell r="G869"/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</row>
        <row r="870">
          <cell r="B870"/>
          <cell r="C870"/>
          <cell r="D870"/>
          <cell r="E870"/>
          <cell r="F870"/>
          <cell r="G870"/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</row>
        <row r="871">
          <cell r="B871"/>
          <cell r="C871"/>
          <cell r="D871"/>
          <cell r="E871"/>
          <cell r="F871"/>
          <cell r="G871"/>
          <cell r="H871"/>
          <cell r="I871"/>
          <cell r="J871"/>
          <cell r="K871"/>
          <cell r="L871"/>
          <cell r="M871"/>
          <cell r="N871"/>
          <cell r="O871"/>
          <cell r="P871"/>
          <cell r="Q871"/>
          <cell r="R871"/>
        </row>
        <row r="872">
          <cell r="B872"/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</row>
        <row r="873">
          <cell r="B873"/>
          <cell r="C873"/>
          <cell r="D873"/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</row>
        <row r="874">
          <cell r="B874"/>
          <cell r="C874"/>
          <cell r="D874"/>
          <cell r="E874"/>
          <cell r="F874"/>
          <cell r="G874"/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</row>
        <row r="875">
          <cell r="B875"/>
          <cell r="C875"/>
          <cell r="D875"/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</row>
        <row r="876">
          <cell r="B876"/>
          <cell r="C876"/>
          <cell r="D876"/>
          <cell r="E876"/>
          <cell r="F876"/>
          <cell r="G876"/>
          <cell r="H876"/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</row>
        <row r="877">
          <cell r="B877"/>
          <cell r="C877"/>
          <cell r="D877"/>
          <cell r="E877"/>
          <cell r="F877"/>
          <cell r="G877"/>
          <cell r="H877"/>
          <cell r="I877"/>
          <cell r="J877"/>
          <cell r="K877"/>
          <cell r="L877"/>
          <cell r="M877"/>
          <cell r="N877"/>
          <cell r="O877"/>
          <cell r="P877"/>
          <cell r="Q877"/>
          <cell r="R877"/>
        </row>
        <row r="878">
          <cell r="B878"/>
          <cell r="C878"/>
          <cell r="D878"/>
          <cell r="E878"/>
          <cell r="F878"/>
          <cell r="G878"/>
          <cell r="H878"/>
          <cell r="I878"/>
          <cell r="J878"/>
          <cell r="K878"/>
          <cell r="L878"/>
          <cell r="M878"/>
          <cell r="N878"/>
          <cell r="O878"/>
          <cell r="P878"/>
          <cell r="Q878"/>
          <cell r="R878"/>
        </row>
        <row r="879">
          <cell r="B879"/>
          <cell r="C879"/>
          <cell r="D879"/>
          <cell r="E879"/>
          <cell r="F879"/>
          <cell r="G879"/>
          <cell r="H879"/>
          <cell r="I879"/>
          <cell r="J879"/>
          <cell r="K879"/>
          <cell r="L879"/>
          <cell r="M879"/>
          <cell r="N879"/>
          <cell r="O879"/>
          <cell r="P879"/>
          <cell r="Q879"/>
          <cell r="R879"/>
        </row>
        <row r="880">
          <cell r="B880"/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  <cell r="M880"/>
          <cell r="N880"/>
          <cell r="O880"/>
          <cell r="P880"/>
          <cell r="Q880"/>
          <cell r="R880"/>
        </row>
        <row r="881">
          <cell r="B881"/>
          <cell r="C881"/>
          <cell r="D881"/>
          <cell r="E881"/>
          <cell r="F881"/>
          <cell r="G881"/>
          <cell r="H881"/>
          <cell r="I881"/>
          <cell r="J881"/>
          <cell r="K881"/>
          <cell r="L881"/>
          <cell r="M881"/>
          <cell r="N881"/>
          <cell r="O881"/>
          <cell r="P881"/>
          <cell r="Q881"/>
          <cell r="R881"/>
        </row>
        <row r="882">
          <cell r="B882"/>
          <cell r="C882"/>
          <cell r="D882"/>
          <cell r="E882"/>
          <cell r="F882"/>
          <cell r="G882"/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</row>
        <row r="883">
          <cell r="B883"/>
          <cell r="C883"/>
          <cell r="D883"/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</row>
        <row r="884">
          <cell r="B884"/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</row>
        <row r="885">
          <cell r="B885"/>
          <cell r="C885"/>
          <cell r="D885"/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</row>
        <row r="886">
          <cell r="B886"/>
          <cell r="C886"/>
          <cell r="D886"/>
          <cell r="E886"/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</row>
        <row r="887">
          <cell r="B887"/>
          <cell r="C887"/>
          <cell r="D887"/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</row>
        <row r="888">
          <cell r="B888"/>
          <cell r="C888"/>
          <cell r="D888"/>
          <cell r="E888"/>
          <cell r="F888"/>
          <cell r="G888"/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</row>
        <row r="889">
          <cell r="B889"/>
          <cell r="C889"/>
          <cell r="D889"/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</row>
        <row r="890">
          <cell r="B890"/>
          <cell r="C890"/>
          <cell r="D890"/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</row>
        <row r="891">
          <cell r="B891"/>
          <cell r="C891"/>
          <cell r="D891"/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</row>
        <row r="892">
          <cell r="B892"/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</row>
        <row r="893">
          <cell r="B893"/>
          <cell r="C893"/>
          <cell r="D893"/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</row>
        <row r="894">
          <cell r="B894"/>
          <cell r="C894"/>
          <cell r="D894"/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</row>
        <row r="895">
          <cell r="B895"/>
          <cell r="C895"/>
          <cell r="D895"/>
          <cell r="E895"/>
          <cell r="F895"/>
          <cell r="G895"/>
          <cell r="H895"/>
          <cell r="I895"/>
          <cell r="J895"/>
          <cell r="K895"/>
          <cell r="L895"/>
          <cell r="M895"/>
          <cell r="N895"/>
          <cell r="O895"/>
          <cell r="P895"/>
          <cell r="Q895"/>
          <cell r="R895"/>
        </row>
        <row r="896">
          <cell r="B896"/>
          <cell r="C896"/>
          <cell r="D896"/>
          <cell r="E896"/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  <cell r="P896"/>
          <cell r="Q896"/>
          <cell r="R896"/>
        </row>
        <row r="897">
          <cell r="B897"/>
          <cell r="C897"/>
          <cell r="D897"/>
          <cell r="E897"/>
          <cell r="F897"/>
          <cell r="G897"/>
          <cell r="H897"/>
          <cell r="I897"/>
          <cell r="J897"/>
          <cell r="K897"/>
          <cell r="L897"/>
          <cell r="M897"/>
          <cell r="N897"/>
          <cell r="O897"/>
          <cell r="P897"/>
          <cell r="Q897"/>
          <cell r="R897"/>
        </row>
        <row r="898">
          <cell r="B898"/>
          <cell r="C898"/>
          <cell r="D898"/>
          <cell r="E898"/>
          <cell r="F898"/>
          <cell r="G898"/>
          <cell r="H898"/>
          <cell r="I898"/>
          <cell r="J898"/>
          <cell r="K898"/>
          <cell r="L898"/>
          <cell r="M898"/>
          <cell r="N898"/>
          <cell r="O898"/>
          <cell r="P898"/>
          <cell r="Q898"/>
          <cell r="R898"/>
        </row>
        <row r="899">
          <cell r="B899"/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  <cell r="M899"/>
          <cell r="N899"/>
          <cell r="O899"/>
          <cell r="P899"/>
          <cell r="Q899"/>
          <cell r="R899"/>
        </row>
        <row r="900">
          <cell r="B900"/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  <cell r="M900"/>
          <cell r="N900"/>
          <cell r="O900"/>
          <cell r="P900"/>
          <cell r="Q900"/>
          <cell r="R900"/>
        </row>
        <row r="901">
          <cell r="B901"/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</row>
        <row r="902">
          <cell r="B902"/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</row>
        <row r="903">
          <cell r="B903"/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</row>
        <row r="904">
          <cell r="B904"/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</row>
        <row r="905">
          <cell r="B905"/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</row>
        <row r="906">
          <cell r="B906"/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  <cell r="P906"/>
          <cell r="Q906"/>
          <cell r="R906"/>
        </row>
        <row r="907">
          <cell r="B907"/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</row>
        <row r="908">
          <cell r="B908"/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</row>
        <row r="909">
          <cell r="B909"/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</row>
        <row r="910">
          <cell r="B910"/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</row>
        <row r="911">
          <cell r="B911"/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  <cell r="P911"/>
          <cell r="Q911"/>
          <cell r="R911"/>
        </row>
        <row r="912">
          <cell r="B912"/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  <cell r="P912"/>
          <cell r="Q912"/>
          <cell r="R912"/>
        </row>
        <row r="913">
          <cell r="B913"/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  <cell r="P913"/>
          <cell r="Q913"/>
          <cell r="R913"/>
        </row>
        <row r="914">
          <cell r="B914"/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  <cell r="P914"/>
          <cell r="Q914"/>
          <cell r="R914"/>
        </row>
        <row r="915">
          <cell r="B915"/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  <cell r="P915"/>
          <cell r="Q915"/>
          <cell r="R915"/>
        </row>
        <row r="916">
          <cell r="B916"/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  <cell r="P916"/>
          <cell r="Q916"/>
          <cell r="R916"/>
        </row>
        <row r="917">
          <cell r="B917"/>
          <cell r="C917"/>
          <cell r="D917"/>
          <cell r="E917"/>
          <cell r="F917"/>
          <cell r="G917"/>
          <cell r="H917"/>
          <cell r="I917"/>
          <cell r="J917"/>
          <cell r="K917"/>
          <cell r="L917"/>
          <cell r="M917"/>
          <cell r="N917"/>
          <cell r="O917"/>
          <cell r="P917"/>
          <cell r="Q917"/>
          <cell r="R917"/>
        </row>
        <row r="918">
          <cell r="B918"/>
          <cell r="C918"/>
          <cell r="D918"/>
          <cell r="E918"/>
          <cell r="F918"/>
          <cell r="G918"/>
          <cell r="H918"/>
          <cell r="I918"/>
          <cell r="J918"/>
          <cell r="K918"/>
          <cell r="L918"/>
          <cell r="M918"/>
          <cell r="N918"/>
          <cell r="O918"/>
          <cell r="P918"/>
          <cell r="Q918"/>
          <cell r="R918"/>
        </row>
        <row r="919">
          <cell r="B919"/>
          <cell r="C919"/>
          <cell r="D919"/>
          <cell r="E919"/>
          <cell r="F919"/>
          <cell r="G919"/>
          <cell r="H919"/>
          <cell r="I919"/>
          <cell r="J919"/>
          <cell r="K919"/>
          <cell r="L919"/>
          <cell r="M919"/>
          <cell r="N919"/>
          <cell r="O919"/>
          <cell r="P919"/>
          <cell r="Q919"/>
          <cell r="R919"/>
        </row>
        <row r="920">
          <cell r="B920"/>
          <cell r="C920"/>
          <cell r="D920"/>
          <cell r="E920"/>
          <cell r="F920"/>
          <cell r="G920"/>
          <cell r="H920"/>
          <cell r="I920"/>
          <cell r="J920"/>
          <cell r="K920"/>
          <cell r="L920"/>
          <cell r="M920"/>
          <cell r="N920"/>
          <cell r="O920"/>
          <cell r="P920"/>
          <cell r="Q920"/>
          <cell r="R920"/>
        </row>
        <row r="921">
          <cell r="B921"/>
          <cell r="C921"/>
          <cell r="D921"/>
          <cell r="E921"/>
          <cell r="F921"/>
          <cell r="G921"/>
          <cell r="H921"/>
          <cell r="I921"/>
          <cell r="J921"/>
          <cell r="K921"/>
          <cell r="L921"/>
          <cell r="M921"/>
          <cell r="N921"/>
          <cell r="O921"/>
          <cell r="P921"/>
          <cell r="Q921"/>
          <cell r="R921"/>
        </row>
        <row r="922">
          <cell r="B922"/>
          <cell r="C922"/>
          <cell r="D922"/>
          <cell r="E922"/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</row>
        <row r="923">
          <cell r="B923"/>
          <cell r="C923"/>
          <cell r="D923"/>
          <cell r="E923"/>
          <cell r="F923"/>
          <cell r="G923"/>
          <cell r="H923"/>
          <cell r="I923"/>
          <cell r="J923"/>
          <cell r="K923"/>
          <cell r="L923"/>
          <cell r="M923"/>
          <cell r="N923"/>
          <cell r="O923"/>
          <cell r="P923"/>
          <cell r="Q923"/>
          <cell r="R923"/>
        </row>
        <row r="924">
          <cell r="B924"/>
          <cell r="C924"/>
          <cell r="D924"/>
          <cell r="E924"/>
          <cell r="F924"/>
          <cell r="G924"/>
          <cell r="H924"/>
          <cell r="I924"/>
          <cell r="J924"/>
          <cell r="K924"/>
          <cell r="L924"/>
          <cell r="M924"/>
          <cell r="N924"/>
          <cell r="O924"/>
          <cell r="P924"/>
          <cell r="Q924"/>
          <cell r="R924"/>
        </row>
        <row r="925">
          <cell r="B925"/>
          <cell r="C925"/>
          <cell r="D925"/>
          <cell r="E925"/>
          <cell r="F925"/>
          <cell r="G925"/>
          <cell r="H925"/>
          <cell r="I925"/>
          <cell r="J925"/>
          <cell r="K925"/>
          <cell r="L925"/>
          <cell r="M925"/>
          <cell r="N925"/>
          <cell r="O925"/>
          <cell r="P925"/>
          <cell r="Q925"/>
          <cell r="R925"/>
        </row>
        <row r="926">
          <cell r="B926"/>
          <cell r="C926"/>
          <cell r="D926"/>
          <cell r="E926"/>
          <cell r="F926"/>
          <cell r="G926"/>
          <cell r="H926"/>
          <cell r="I926"/>
          <cell r="J926"/>
          <cell r="K926"/>
          <cell r="L926"/>
          <cell r="M926"/>
          <cell r="N926"/>
          <cell r="O926"/>
          <cell r="P926"/>
          <cell r="Q926"/>
          <cell r="R926"/>
        </row>
        <row r="927">
          <cell r="B927"/>
          <cell r="C927"/>
          <cell r="D927"/>
          <cell r="E927"/>
          <cell r="F927"/>
          <cell r="G927"/>
          <cell r="H927"/>
          <cell r="I927"/>
          <cell r="J927"/>
          <cell r="K927"/>
          <cell r="L927"/>
          <cell r="M927"/>
          <cell r="N927"/>
          <cell r="O927"/>
          <cell r="P927"/>
          <cell r="Q927"/>
          <cell r="R927"/>
        </row>
        <row r="928">
          <cell r="B928"/>
          <cell r="C928"/>
          <cell r="D928"/>
          <cell r="E928"/>
          <cell r="F928"/>
          <cell r="G928"/>
          <cell r="H928"/>
          <cell r="I928"/>
          <cell r="J928"/>
          <cell r="K928"/>
          <cell r="L928"/>
          <cell r="M928"/>
          <cell r="N928"/>
          <cell r="O928"/>
          <cell r="P928"/>
          <cell r="Q928"/>
          <cell r="R928"/>
        </row>
        <row r="929">
          <cell r="B929"/>
          <cell r="C929"/>
          <cell r="D929"/>
          <cell r="E929"/>
          <cell r="F929"/>
          <cell r="G929"/>
          <cell r="H929"/>
          <cell r="I929"/>
          <cell r="J929"/>
          <cell r="K929"/>
          <cell r="L929"/>
          <cell r="M929"/>
          <cell r="N929"/>
          <cell r="O929"/>
          <cell r="P929"/>
          <cell r="Q929"/>
          <cell r="R929"/>
        </row>
        <row r="930">
          <cell r="B930"/>
          <cell r="C930"/>
          <cell r="D930"/>
          <cell r="E930"/>
          <cell r="F930"/>
          <cell r="G930"/>
          <cell r="H930"/>
          <cell r="I930"/>
          <cell r="J930"/>
          <cell r="K930"/>
          <cell r="L930"/>
          <cell r="M930"/>
          <cell r="N930"/>
          <cell r="O930"/>
          <cell r="P930"/>
          <cell r="Q930"/>
          <cell r="R930"/>
        </row>
        <row r="931">
          <cell r="B931"/>
          <cell r="C931"/>
          <cell r="D931"/>
          <cell r="E931"/>
          <cell r="F931"/>
          <cell r="G931"/>
          <cell r="H931"/>
          <cell r="I931"/>
          <cell r="J931"/>
          <cell r="K931"/>
          <cell r="L931"/>
          <cell r="M931"/>
          <cell r="N931"/>
          <cell r="O931"/>
          <cell r="P931"/>
          <cell r="Q931"/>
          <cell r="R931"/>
        </row>
        <row r="932">
          <cell r="B932"/>
          <cell r="C932"/>
          <cell r="D932"/>
          <cell r="E932"/>
          <cell r="F932"/>
          <cell r="G932"/>
          <cell r="H932"/>
          <cell r="I932"/>
          <cell r="J932"/>
          <cell r="K932"/>
          <cell r="L932"/>
          <cell r="M932"/>
          <cell r="N932"/>
          <cell r="O932"/>
          <cell r="P932"/>
          <cell r="Q932"/>
          <cell r="R932"/>
        </row>
        <row r="933">
          <cell r="B933"/>
          <cell r="C933"/>
          <cell r="D933"/>
          <cell r="E933"/>
          <cell r="F933"/>
          <cell r="G933"/>
          <cell r="H933"/>
          <cell r="I933"/>
          <cell r="J933"/>
          <cell r="K933"/>
          <cell r="L933"/>
          <cell r="M933"/>
          <cell r="N933"/>
          <cell r="O933"/>
          <cell r="P933"/>
          <cell r="Q933"/>
          <cell r="R933"/>
        </row>
        <row r="934">
          <cell r="B934"/>
          <cell r="C934"/>
          <cell r="D934"/>
          <cell r="E934"/>
          <cell r="F934"/>
          <cell r="G934"/>
          <cell r="H934"/>
          <cell r="I934"/>
          <cell r="J934"/>
          <cell r="K934"/>
          <cell r="L934"/>
          <cell r="M934"/>
          <cell r="N934"/>
          <cell r="O934"/>
          <cell r="P934"/>
          <cell r="Q934"/>
          <cell r="R934"/>
        </row>
        <row r="935">
          <cell r="B935"/>
          <cell r="C935"/>
          <cell r="D935"/>
          <cell r="E935"/>
          <cell r="F935"/>
          <cell r="G935"/>
          <cell r="H935"/>
          <cell r="I935"/>
          <cell r="J935"/>
          <cell r="K935"/>
          <cell r="L935"/>
          <cell r="M935"/>
          <cell r="N935"/>
          <cell r="O935"/>
          <cell r="P935"/>
          <cell r="Q935"/>
          <cell r="R935"/>
        </row>
        <row r="936">
          <cell r="B936"/>
          <cell r="C936"/>
          <cell r="D936"/>
          <cell r="E936"/>
          <cell r="F936"/>
          <cell r="G936"/>
          <cell r="H936"/>
          <cell r="I936"/>
          <cell r="J936"/>
          <cell r="K936"/>
          <cell r="L936"/>
          <cell r="M936"/>
          <cell r="N936"/>
          <cell r="O936"/>
          <cell r="P936"/>
          <cell r="Q936"/>
          <cell r="R936"/>
        </row>
        <row r="937">
          <cell r="B937"/>
          <cell r="C937"/>
          <cell r="D937"/>
          <cell r="E937"/>
          <cell r="F937"/>
          <cell r="G937"/>
          <cell r="H937"/>
          <cell r="I937"/>
          <cell r="J937"/>
          <cell r="K937"/>
          <cell r="L937"/>
          <cell r="M937"/>
          <cell r="N937"/>
          <cell r="O937"/>
          <cell r="P937"/>
          <cell r="Q937"/>
          <cell r="R937"/>
        </row>
        <row r="938">
          <cell r="B938"/>
          <cell r="C938"/>
          <cell r="D938"/>
          <cell r="E938"/>
          <cell r="F938"/>
          <cell r="G938"/>
          <cell r="H938"/>
          <cell r="I938"/>
          <cell r="J938"/>
          <cell r="K938"/>
          <cell r="L938"/>
          <cell r="M938"/>
          <cell r="N938"/>
          <cell r="O938"/>
          <cell r="P938"/>
          <cell r="Q938"/>
          <cell r="R938"/>
        </row>
        <row r="939">
          <cell r="B939"/>
          <cell r="C939"/>
          <cell r="D939"/>
          <cell r="E939"/>
          <cell r="F939"/>
          <cell r="G939"/>
          <cell r="H939"/>
          <cell r="I939"/>
          <cell r="J939"/>
          <cell r="K939"/>
          <cell r="L939"/>
          <cell r="M939"/>
          <cell r="N939"/>
          <cell r="O939"/>
          <cell r="P939"/>
          <cell r="Q939"/>
          <cell r="R939"/>
        </row>
        <row r="940">
          <cell r="B940"/>
          <cell r="C940"/>
          <cell r="D940"/>
          <cell r="E940"/>
          <cell r="F940"/>
          <cell r="G940"/>
          <cell r="H940"/>
          <cell r="I940"/>
          <cell r="J940"/>
          <cell r="K940"/>
          <cell r="L940"/>
          <cell r="M940"/>
          <cell r="N940"/>
          <cell r="O940"/>
          <cell r="P940"/>
          <cell r="Q940"/>
          <cell r="R940"/>
        </row>
        <row r="941">
          <cell r="B941"/>
          <cell r="C941"/>
          <cell r="D941"/>
          <cell r="E941"/>
          <cell r="F941"/>
          <cell r="G941"/>
          <cell r="H941"/>
          <cell r="I941"/>
          <cell r="J941"/>
          <cell r="K941"/>
          <cell r="L941"/>
          <cell r="M941"/>
          <cell r="N941"/>
          <cell r="O941"/>
          <cell r="P941"/>
          <cell r="Q941"/>
          <cell r="R941"/>
        </row>
        <row r="942">
          <cell r="B942"/>
          <cell r="C942"/>
          <cell r="D942"/>
          <cell r="E942"/>
          <cell r="F942"/>
          <cell r="G942"/>
          <cell r="H942"/>
          <cell r="I942"/>
          <cell r="J942"/>
          <cell r="K942"/>
          <cell r="L942"/>
          <cell r="M942"/>
          <cell r="N942"/>
          <cell r="O942"/>
          <cell r="P942"/>
          <cell r="Q942"/>
          <cell r="R942"/>
        </row>
        <row r="943">
          <cell r="B943"/>
          <cell r="C943"/>
          <cell r="D943"/>
          <cell r="E943"/>
          <cell r="F943"/>
          <cell r="G943"/>
          <cell r="H943"/>
          <cell r="I943"/>
          <cell r="J943"/>
          <cell r="K943"/>
          <cell r="L943"/>
          <cell r="M943"/>
          <cell r="N943"/>
          <cell r="O943"/>
          <cell r="P943"/>
          <cell r="Q943"/>
          <cell r="R943"/>
        </row>
        <row r="944">
          <cell r="B944"/>
          <cell r="C944"/>
          <cell r="D944"/>
          <cell r="E944"/>
          <cell r="F944"/>
          <cell r="G944"/>
          <cell r="H944"/>
          <cell r="I944"/>
          <cell r="J944"/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</row>
        <row r="945">
          <cell r="B945"/>
          <cell r="C945"/>
          <cell r="D945"/>
          <cell r="E945"/>
          <cell r="F945"/>
          <cell r="G945"/>
          <cell r="H945"/>
          <cell r="I945"/>
          <cell r="J945"/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</row>
        <row r="946">
          <cell r="B946"/>
          <cell r="C946"/>
          <cell r="D946"/>
          <cell r="E946"/>
          <cell r="F946"/>
          <cell r="G946"/>
          <cell r="H946"/>
          <cell r="I946"/>
          <cell r="J946"/>
          <cell r="K946"/>
          <cell r="L946"/>
          <cell r="M946"/>
          <cell r="N946"/>
          <cell r="O946"/>
          <cell r="P946"/>
          <cell r="Q946"/>
          <cell r="R946"/>
        </row>
        <row r="947">
          <cell r="B947"/>
          <cell r="C947"/>
          <cell r="D947"/>
          <cell r="E947"/>
          <cell r="F947"/>
          <cell r="G947"/>
          <cell r="H947"/>
          <cell r="I947"/>
          <cell r="J947"/>
          <cell r="K947"/>
          <cell r="L947"/>
          <cell r="M947"/>
          <cell r="N947"/>
          <cell r="O947"/>
          <cell r="P947"/>
          <cell r="Q947"/>
          <cell r="R947"/>
        </row>
        <row r="948">
          <cell r="B948"/>
          <cell r="C948"/>
          <cell r="D948"/>
          <cell r="E948"/>
          <cell r="F948"/>
          <cell r="G948"/>
          <cell r="H948"/>
          <cell r="I948"/>
          <cell r="J948"/>
          <cell r="K948"/>
          <cell r="L948"/>
          <cell r="M948"/>
          <cell r="N948"/>
          <cell r="O948"/>
          <cell r="P948"/>
          <cell r="Q948"/>
          <cell r="R948"/>
        </row>
        <row r="949">
          <cell r="B949"/>
          <cell r="C949"/>
          <cell r="D949"/>
          <cell r="E949"/>
          <cell r="F949"/>
          <cell r="G949"/>
          <cell r="H949"/>
          <cell r="I949"/>
          <cell r="J949"/>
          <cell r="K949"/>
          <cell r="L949"/>
          <cell r="M949"/>
          <cell r="N949"/>
          <cell r="O949"/>
          <cell r="P949"/>
          <cell r="Q949"/>
          <cell r="R949"/>
        </row>
        <row r="950">
          <cell r="B950"/>
          <cell r="C950"/>
          <cell r="D950"/>
          <cell r="E950"/>
          <cell r="F950"/>
          <cell r="G950"/>
          <cell r="H950"/>
          <cell r="I950"/>
          <cell r="J950"/>
          <cell r="K950"/>
          <cell r="L950"/>
          <cell r="M950"/>
          <cell r="N950"/>
          <cell r="O950"/>
          <cell r="P950"/>
          <cell r="Q950"/>
          <cell r="R950"/>
        </row>
        <row r="951">
          <cell r="B951"/>
          <cell r="C951"/>
          <cell r="D951"/>
          <cell r="E951"/>
          <cell r="F951"/>
          <cell r="G951"/>
          <cell r="H951"/>
          <cell r="I951"/>
          <cell r="J951"/>
          <cell r="K951"/>
          <cell r="L951"/>
          <cell r="M951"/>
          <cell r="N951"/>
          <cell r="O951"/>
          <cell r="P951"/>
          <cell r="Q951"/>
          <cell r="R951"/>
        </row>
        <row r="952">
          <cell r="B952"/>
          <cell r="C952"/>
          <cell r="D952"/>
          <cell r="E952"/>
          <cell r="F952"/>
          <cell r="G952"/>
          <cell r="H952"/>
          <cell r="I952"/>
          <cell r="J952"/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</row>
        <row r="953">
          <cell r="B953"/>
          <cell r="C953"/>
          <cell r="D953"/>
          <cell r="E953"/>
          <cell r="F953"/>
          <cell r="G953"/>
          <cell r="H953"/>
          <cell r="I953"/>
          <cell r="J953"/>
          <cell r="K953"/>
          <cell r="L953"/>
          <cell r="M953"/>
          <cell r="N953"/>
          <cell r="O953"/>
          <cell r="P953"/>
          <cell r="Q953"/>
          <cell r="R953"/>
        </row>
        <row r="954">
          <cell r="B954"/>
          <cell r="C954"/>
          <cell r="D954"/>
          <cell r="E954"/>
          <cell r="F954"/>
          <cell r="G954"/>
          <cell r="H954"/>
          <cell r="I954"/>
          <cell r="J954"/>
          <cell r="K954"/>
          <cell r="L954"/>
          <cell r="M954"/>
          <cell r="N954"/>
          <cell r="O954"/>
          <cell r="P954"/>
          <cell r="Q954"/>
          <cell r="R954"/>
        </row>
        <row r="955">
          <cell r="B955"/>
          <cell r="C955"/>
          <cell r="D955"/>
          <cell r="E955"/>
          <cell r="F955"/>
          <cell r="G955"/>
          <cell r="H955"/>
          <cell r="I955"/>
          <cell r="J955"/>
          <cell r="K955"/>
          <cell r="L955"/>
          <cell r="M955"/>
          <cell r="N955"/>
          <cell r="O955"/>
          <cell r="P955"/>
          <cell r="Q955"/>
          <cell r="R955"/>
        </row>
        <row r="956">
          <cell r="B956"/>
          <cell r="C956"/>
          <cell r="D956"/>
          <cell r="E956"/>
          <cell r="F956"/>
          <cell r="G956"/>
          <cell r="H956"/>
          <cell r="I956"/>
          <cell r="J956"/>
          <cell r="K956"/>
          <cell r="L956"/>
          <cell r="M956"/>
          <cell r="N956"/>
          <cell r="O956"/>
          <cell r="P956"/>
          <cell r="Q956"/>
          <cell r="R956"/>
        </row>
        <row r="957">
          <cell r="B957"/>
          <cell r="C957"/>
          <cell r="D957"/>
          <cell r="E957"/>
          <cell r="F957"/>
          <cell r="G957"/>
          <cell r="H957"/>
          <cell r="I957"/>
          <cell r="J957"/>
          <cell r="K957"/>
          <cell r="L957"/>
          <cell r="M957"/>
          <cell r="N957"/>
          <cell r="O957"/>
          <cell r="P957"/>
          <cell r="Q957"/>
          <cell r="R957"/>
        </row>
        <row r="958">
          <cell r="B958"/>
          <cell r="C958"/>
          <cell r="D958"/>
          <cell r="E958"/>
          <cell r="F958"/>
          <cell r="G958"/>
          <cell r="H958"/>
          <cell r="I958"/>
          <cell r="J958"/>
          <cell r="K958"/>
          <cell r="L958"/>
          <cell r="M958"/>
          <cell r="N958"/>
          <cell r="O958"/>
          <cell r="P958"/>
          <cell r="Q958"/>
          <cell r="R958"/>
        </row>
        <row r="959">
          <cell r="B959"/>
          <cell r="C959"/>
          <cell r="D959"/>
          <cell r="E959"/>
          <cell r="F959"/>
          <cell r="G959"/>
          <cell r="H959"/>
          <cell r="I959"/>
          <cell r="J959"/>
          <cell r="K959"/>
          <cell r="L959"/>
          <cell r="M959"/>
          <cell r="N959"/>
          <cell r="O959"/>
          <cell r="P959"/>
          <cell r="Q959"/>
          <cell r="R959"/>
        </row>
        <row r="960">
          <cell r="B960"/>
          <cell r="C960"/>
          <cell r="D960"/>
          <cell r="E960"/>
          <cell r="F960"/>
          <cell r="G960"/>
          <cell r="H960"/>
          <cell r="I960"/>
          <cell r="J960"/>
          <cell r="K960"/>
          <cell r="L960"/>
          <cell r="M960"/>
          <cell r="N960"/>
          <cell r="O960"/>
          <cell r="P960"/>
          <cell r="Q960"/>
          <cell r="R960"/>
        </row>
        <row r="961">
          <cell r="B961"/>
          <cell r="C961"/>
          <cell r="D961"/>
          <cell r="E961"/>
          <cell r="F961"/>
          <cell r="G961"/>
          <cell r="H961"/>
          <cell r="I961"/>
          <cell r="J961"/>
          <cell r="K961"/>
          <cell r="L961"/>
          <cell r="M961"/>
          <cell r="N961"/>
          <cell r="O961"/>
          <cell r="P961"/>
          <cell r="Q961"/>
          <cell r="R961"/>
        </row>
        <row r="962">
          <cell r="B962"/>
          <cell r="C962"/>
          <cell r="D962"/>
          <cell r="E962"/>
          <cell r="F962"/>
          <cell r="G962"/>
          <cell r="H962"/>
          <cell r="I962"/>
          <cell r="J962"/>
          <cell r="K962"/>
          <cell r="L962"/>
          <cell r="M962"/>
          <cell r="N962"/>
          <cell r="O962"/>
          <cell r="P962"/>
          <cell r="Q962"/>
          <cell r="R962"/>
        </row>
        <row r="963">
          <cell r="B963"/>
          <cell r="C963"/>
          <cell r="D963"/>
          <cell r="E963"/>
          <cell r="F963"/>
          <cell r="G963"/>
          <cell r="H963"/>
          <cell r="I963"/>
          <cell r="J963"/>
          <cell r="K963"/>
          <cell r="L963"/>
          <cell r="M963"/>
          <cell r="N963"/>
          <cell r="O963"/>
          <cell r="P963"/>
          <cell r="Q963"/>
          <cell r="R963"/>
        </row>
        <row r="964">
          <cell r="B964"/>
          <cell r="C964"/>
          <cell r="D964"/>
          <cell r="E964"/>
          <cell r="F964"/>
          <cell r="G964"/>
          <cell r="H964"/>
          <cell r="I964"/>
          <cell r="J964"/>
          <cell r="K964"/>
          <cell r="L964"/>
          <cell r="M964"/>
          <cell r="N964"/>
          <cell r="O964"/>
          <cell r="P964"/>
          <cell r="Q964"/>
          <cell r="R964"/>
        </row>
        <row r="965">
          <cell r="B965"/>
          <cell r="C965"/>
          <cell r="D965"/>
          <cell r="E965"/>
          <cell r="F965"/>
          <cell r="G965"/>
          <cell r="H965"/>
          <cell r="I965"/>
          <cell r="J965"/>
          <cell r="K965"/>
          <cell r="L965"/>
          <cell r="M965"/>
          <cell r="N965"/>
          <cell r="O965"/>
          <cell r="P965"/>
          <cell r="Q965"/>
          <cell r="R965"/>
        </row>
        <row r="966">
          <cell r="B966"/>
          <cell r="C966"/>
          <cell r="D966"/>
          <cell r="E966"/>
          <cell r="F966"/>
          <cell r="G966"/>
          <cell r="H966"/>
          <cell r="I966"/>
          <cell r="J966"/>
          <cell r="K966"/>
          <cell r="L966"/>
          <cell r="M966"/>
          <cell r="N966"/>
          <cell r="O966"/>
          <cell r="P966"/>
          <cell r="Q966"/>
          <cell r="R966"/>
        </row>
        <row r="967">
          <cell r="B967"/>
          <cell r="C967"/>
          <cell r="D967"/>
          <cell r="E967"/>
          <cell r="F967"/>
          <cell r="G967"/>
          <cell r="H967"/>
          <cell r="I967"/>
          <cell r="J967"/>
          <cell r="K967"/>
          <cell r="L967"/>
          <cell r="M967"/>
          <cell r="N967"/>
          <cell r="O967"/>
          <cell r="P967"/>
          <cell r="Q967"/>
          <cell r="R967"/>
        </row>
        <row r="968">
          <cell r="B968"/>
          <cell r="C968"/>
          <cell r="D968"/>
          <cell r="E968"/>
          <cell r="F968"/>
          <cell r="G968"/>
          <cell r="H968"/>
          <cell r="I968"/>
          <cell r="J968"/>
          <cell r="K968"/>
          <cell r="L968"/>
          <cell r="M968"/>
          <cell r="N968"/>
          <cell r="O968"/>
          <cell r="P968"/>
          <cell r="Q968"/>
          <cell r="R968"/>
        </row>
        <row r="969">
          <cell r="B969"/>
          <cell r="C969"/>
          <cell r="D969"/>
          <cell r="E969"/>
          <cell r="F969"/>
          <cell r="G969"/>
          <cell r="H969"/>
          <cell r="I969"/>
          <cell r="J969"/>
          <cell r="K969"/>
          <cell r="L969"/>
          <cell r="M969"/>
          <cell r="N969"/>
          <cell r="O969"/>
          <cell r="P969"/>
          <cell r="Q969"/>
          <cell r="R969"/>
        </row>
        <row r="970">
          <cell r="B970"/>
          <cell r="C970"/>
          <cell r="D970"/>
          <cell r="E970"/>
          <cell r="F970"/>
          <cell r="G970"/>
          <cell r="H970"/>
          <cell r="I970"/>
          <cell r="J970"/>
          <cell r="K970"/>
          <cell r="L970"/>
          <cell r="M970"/>
          <cell r="N970"/>
          <cell r="O970"/>
          <cell r="P970"/>
          <cell r="Q970"/>
          <cell r="R970"/>
        </row>
        <row r="971">
          <cell r="B971"/>
          <cell r="C971"/>
          <cell r="D971"/>
          <cell r="E971"/>
          <cell r="F971"/>
          <cell r="G971"/>
          <cell r="H971"/>
          <cell r="I971"/>
          <cell r="J971"/>
          <cell r="K971"/>
          <cell r="L971"/>
          <cell r="M971"/>
          <cell r="N971"/>
          <cell r="O971"/>
          <cell r="P971"/>
          <cell r="Q971"/>
          <cell r="R971"/>
        </row>
        <row r="972">
          <cell r="B972"/>
          <cell r="C972"/>
          <cell r="D972"/>
          <cell r="E972"/>
          <cell r="F972"/>
          <cell r="G972"/>
          <cell r="H972"/>
          <cell r="I972"/>
          <cell r="J972"/>
          <cell r="K972"/>
          <cell r="L972"/>
          <cell r="M972"/>
          <cell r="N972"/>
          <cell r="O972"/>
          <cell r="P972"/>
          <cell r="Q972"/>
          <cell r="R972"/>
        </row>
        <row r="973">
          <cell r="B973"/>
          <cell r="C973"/>
          <cell r="D973"/>
          <cell r="E973"/>
          <cell r="F973"/>
          <cell r="G973"/>
          <cell r="H973"/>
          <cell r="I973"/>
          <cell r="J973"/>
          <cell r="K973"/>
          <cell r="L973"/>
          <cell r="M973"/>
          <cell r="N973"/>
          <cell r="O973"/>
          <cell r="P973"/>
          <cell r="Q973"/>
          <cell r="R973"/>
        </row>
        <row r="974">
          <cell r="B974"/>
          <cell r="C974"/>
          <cell r="D974"/>
          <cell r="E974"/>
          <cell r="F974"/>
          <cell r="G974"/>
          <cell r="H974"/>
          <cell r="I974"/>
          <cell r="J974"/>
          <cell r="K974"/>
          <cell r="L974"/>
          <cell r="M974"/>
          <cell r="N974"/>
          <cell r="O974"/>
          <cell r="P974"/>
          <cell r="Q974"/>
          <cell r="R974"/>
        </row>
        <row r="975">
          <cell r="B975"/>
          <cell r="C975"/>
          <cell r="D975"/>
          <cell r="E975"/>
          <cell r="F975"/>
          <cell r="G975"/>
          <cell r="H975"/>
          <cell r="I975"/>
          <cell r="J975"/>
          <cell r="K975"/>
          <cell r="L975"/>
          <cell r="M975"/>
          <cell r="N975"/>
          <cell r="O975"/>
          <cell r="P975"/>
          <cell r="Q975"/>
          <cell r="R975"/>
        </row>
        <row r="976">
          <cell r="B976"/>
          <cell r="C976"/>
          <cell r="D976"/>
          <cell r="E976"/>
          <cell r="F976"/>
          <cell r="G976"/>
          <cell r="H976"/>
          <cell r="I976"/>
          <cell r="J976"/>
          <cell r="K976"/>
          <cell r="L976"/>
          <cell r="M976"/>
          <cell r="N976"/>
          <cell r="O976"/>
          <cell r="P976"/>
          <cell r="Q976"/>
          <cell r="R976"/>
        </row>
        <row r="977">
          <cell r="B977"/>
          <cell r="C977"/>
          <cell r="D977"/>
          <cell r="E977"/>
          <cell r="F977"/>
          <cell r="G977"/>
          <cell r="H977"/>
          <cell r="I977"/>
          <cell r="J977"/>
          <cell r="K977"/>
          <cell r="L977"/>
          <cell r="M977"/>
          <cell r="N977"/>
          <cell r="O977"/>
          <cell r="P977"/>
          <cell r="Q977"/>
          <cell r="R977"/>
        </row>
        <row r="978">
          <cell r="B978"/>
          <cell r="C978"/>
          <cell r="D978"/>
          <cell r="E978"/>
          <cell r="F978"/>
          <cell r="G978"/>
          <cell r="H978"/>
          <cell r="I978"/>
          <cell r="J978"/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</row>
        <row r="979">
          <cell r="B979"/>
          <cell r="C979"/>
          <cell r="D979"/>
          <cell r="E979"/>
          <cell r="F979"/>
          <cell r="G979"/>
          <cell r="H979"/>
          <cell r="I979"/>
          <cell r="J979"/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</row>
        <row r="980">
          <cell r="B980"/>
          <cell r="C980"/>
          <cell r="D980"/>
          <cell r="E980"/>
          <cell r="F980"/>
          <cell r="G980"/>
          <cell r="H980"/>
          <cell r="I980"/>
          <cell r="J980"/>
          <cell r="K980"/>
          <cell r="L980"/>
          <cell r="M980"/>
          <cell r="N980"/>
          <cell r="O980"/>
          <cell r="P980"/>
          <cell r="Q980"/>
          <cell r="R980"/>
        </row>
        <row r="981">
          <cell r="B981"/>
          <cell r="C981"/>
          <cell r="D981"/>
          <cell r="E981"/>
          <cell r="F981"/>
          <cell r="G981"/>
          <cell r="H981"/>
          <cell r="I981"/>
          <cell r="J981"/>
          <cell r="K981"/>
          <cell r="L981"/>
          <cell r="M981"/>
          <cell r="N981"/>
          <cell r="O981"/>
          <cell r="P981"/>
          <cell r="Q981"/>
          <cell r="R981"/>
        </row>
        <row r="982">
          <cell r="B982"/>
          <cell r="C982"/>
          <cell r="D982"/>
          <cell r="E982"/>
          <cell r="F982"/>
          <cell r="G982"/>
          <cell r="H982"/>
          <cell r="I982"/>
          <cell r="J982"/>
          <cell r="K982"/>
          <cell r="L982"/>
          <cell r="M982"/>
          <cell r="N982"/>
          <cell r="O982"/>
          <cell r="P982"/>
          <cell r="Q982"/>
          <cell r="R982"/>
        </row>
        <row r="983">
          <cell r="B983"/>
          <cell r="C983"/>
          <cell r="D983"/>
          <cell r="E983"/>
          <cell r="F983"/>
          <cell r="G983"/>
          <cell r="H983"/>
          <cell r="I983"/>
          <cell r="J983"/>
          <cell r="K983"/>
          <cell r="L983"/>
          <cell r="M983"/>
          <cell r="N983"/>
          <cell r="O983"/>
          <cell r="P983"/>
          <cell r="Q983"/>
          <cell r="R983"/>
        </row>
        <row r="984">
          <cell r="B984"/>
          <cell r="C984"/>
          <cell r="D984"/>
          <cell r="E984"/>
          <cell r="F984"/>
          <cell r="G984"/>
          <cell r="H984"/>
          <cell r="I984"/>
          <cell r="J984"/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</row>
        <row r="985">
          <cell r="B985"/>
          <cell r="C985"/>
          <cell r="D985"/>
          <cell r="E985"/>
          <cell r="F985"/>
          <cell r="G985"/>
          <cell r="H985"/>
          <cell r="I985"/>
          <cell r="J985"/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</row>
        <row r="986">
          <cell r="B986"/>
          <cell r="C986"/>
          <cell r="D986"/>
          <cell r="E986"/>
          <cell r="F986"/>
          <cell r="G986"/>
          <cell r="H986"/>
          <cell r="I986"/>
          <cell r="J986"/>
          <cell r="K986"/>
          <cell r="L986"/>
          <cell r="M986"/>
          <cell r="N986"/>
          <cell r="O986"/>
          <cell r="P986"/>
          <cell r="Q986"/>
          <cell r="R986"/>
        </row>
        <row r="987">
          <cell r="B987"/>
          <cell r="C987"/>
          <cell r="D987"/>
          <cell r="E987"/>
          <cell r="F987"/>
          <cell r="G987"/>
          <cell r="H987"/>
          <cell r="I987"/>
          <cell r="J987"/>
          <cell r="K987"/>
          <cell r="L987"/>
          <cell r="M987"/>
          <cell r="N987"/>
          <cell r="O987"/>
          <cell r="P987"/>
          <cell r="Q987"/>
          <cell r="R987"/>
        </row>
        <row r="988">
          <cell r="B988"/>
          <cell r="C988"/>
          <cell r="D988"/>
          <cell r="E988"/>
          <cell r="F988"/>
          <cell r="G988"/>
          <cell r="H988"/>
          <cell r="I988"/>
          <cell r="J988"/>
          <cell r="K988"/>
          <cell r="L988"/>
          <cell r="M988"/>
          <cell r="N988"/>
          <cell r="O988"/>
          <cell r="P988"/>
          <cell r="Q988"/>
          <cell r="R988"/>
        </row>
        <row r="989">
          <cell r="B989"/>
          <cell r="C989"/>
          <cell r="D989"/>
          <cell r="E989"/>
          <cell r="F989"/>
          <cell r="G989"/>
          <cell r="H989"/>
          <cell r="I989"/>
          <cell r="J989"/>
          <cell r="K989"/>
          <cell r="L989"/>
          <cell r="M989"/>
          <cell r="N989"/>
          <cell r="O989"/>
          <cell r="P989"/>
          <cell r="Q989"/>
          <cell r="R989"/>
        </row>
        <row r="990">
          <cell r="B990"/>
          <cell r="C990"/>
          <cell r="D990"/>
          <cell r="E990"/>
          <cell r="F990"/>
          <cell r="G990"/>
          <cell r="H990"/>
          <cell r="I990"/>
          <cell r="J990"/>
          <cell r="K990"/>
          <cell r="L990"/>
          <cell r="M990"/>
          <cell r="N990"/>
          <cell r="O990"/>
          <cell r="P990"/>
          <cell r="Q990"/>
          <cell r="R990"/>
        </row>
        <row r="991">
          <cell r="B991"/>
          <cell r="C991"/>
          <cell r="D991"/>
          <cell r="E991"/>
          <cell r="F991"/>
          <cell r="G991"/>
          <cell r="H991"/>
          <cell r="I991"/>
          <cell r="J991"/>
          <cell r="K991"/>
          <cell r="L991"/>
          <cell r="M991"/>
          <cell r="N991"/>
          <cell r="O991"/>
          <cell r="P991"/>
          <cell r="Q991"/>
          <cell r="R991"/>
        </row>
        <row r="992">
          <cell r="B992"/>
          <cell r="C992"/>
          <cell r="D992"/>
          <cell r="E992"/>
          <cell r="F992"/>
          <cell r="G992"/>
          <cell r="H992"/>
          <cell r="I992"/>
          <cell r="J992"/>
          <cell r="K992"/>
          <cell r="L992"/>
          <cell r="M992"/>
          <cell r="N992"/>
          <cell r="O992"/>
          <cell r="P992"/>
          <cell r="Q992"/>
          <cell r="R992"/>
        </row>
        <row r="993">
          <cell r="B993"/>
          <cell r="C993"/>
          <cell r="D993"/>
          <cell r="E993"/>
          <cell r="F993"/>
          <cell r="G993"/>
          <cell r="H993"/>
          <cell r="I993"/>
          <cell r="J993"/>
          <cell r="K993"/>
          <cell r="L993"/>
          <cell r="M993"/>
          <cell r="N993"/>
          <cell r="O993"/>
          <cell r="P993"/>
          <cell r="Q993"/>
          <cell r="R993"/>
        </row>
        <row r="994">
          <cell r="B994"/>
          <cell r="C994"/>
          <cell r="D994"/>
          <cell r="E994"/>
          <cell r="F994"/>
          <cell r="G994"/>
          <cell r="H994"/>
          <cell r="I994"/>
          <cell r="J994"/>
          <cell r="K994"/>
          <cell r="L994"/>
          <cell r="M994"/>
          <cell r="N994"/>
          <cell r="O994"/>
          <cell r="P994"/>
          <cell r="Q994"/>
          <cell r="R994"/>
        </row>
        <row r="995">
          <cell r="B995"/>
          <cell r="C995"/>
          <cell r="D995"/>
          <cell r="E995"/>
          <cell r="F995"/>
          <cell r="G995"/>
          <cell r="H995"/>
          <cell r="I995"/>
          <cell r="J995"/>
          <cell r="K995"/>
          <cell r="L995"/>
          <cell r="M995"/>
          <cell r="N995"/>
          <cell r="O995"/>
          <cell r="P995"/>
          <cell r="Q995"/>
          <cell r="R995"/>
        </row>
        <row r="996">
          <cell r="B996"/>
          <cell r="C996"/>
          <cell r="D996"/>
          <cell r="E996"/>
          <cell r="F996"/>
          <cell r="G996"/>
          <cell r="H996"/>
          <cell r="I996"/>
          <cell r="J996"/>
          <cell r="K996"/>
          <cell r="L996"/>
          <cell r="M996"/>
          <cell r="N996"/>
          <cell r="O996"/>
          <cell r="P996"/>
          <cell r="Q996"/>
          <cell r="R996"/>
        </row>
        <row r="997">
          <cell r="B997"/>
          <cell r="C997"/>
          <cell r="D997"/>
          <cell r="E997"/>
          <cell r="F997"/>
          <cell r="G997"/>
          <cell r="H997"/>
          <cell r="I997"/>
          <cell r="J997"/>
          <cell r="K997"/>
          <cell r="L997"/>
          <cell r="M997"/>
          <cell r="N997"/>
          <cell r="O997"/>
          <cell r="P997"/>
          <cell r="Q997"/>
          <cell r="R997"/>
        </row>
        <row r="998">
          <cell r="B998"/>
          <cell r="C998"/>
          <cell r="D998"/>
          <cell r="E998"/>
          <cell r="F998"/>
          <cell r="G998"/>
          <cell r="H998"/>
          <cell r="I998"/>
          <cell r="J998"/>
          <cell r="K998"/>
          <cell r="L998"/>
          <cell r="M998"/>
          <cell r="N998"/>
          <cell r="O998"/>
          <cell r="P998"/>
          <cell r="Q998"/>
          <cell r="R998"/>
        </row>
        <row r="999">
          <cell r="B999"/>
          <cell r="C999"/>
          <cell r="D999"/>
          <cell r="E999"/>
          <cell r="F999"/>
          <cell r="G999"/>
          <cell r="H999"/>
          <cell r="I999"/>
          <cell r="J999"/>
          <cell r="K999"/>
          <cell r="L999"/>
          <cell r="M999"/>
          <cell r="N999"/>
          <cell r="O999"/>
          <cell r="P999"/>
          <cell r="Q999"/>
          <cell r="R999"/>
        </row>
        <row r="1000">
          <cell r="B1000"/>
          <cell r="C1000"/>
          <cell r="D1000"/>
          <cell r="E1000"/>
          <cell r="F1000"/>
          <cell r="G1000"/>
          <cell r="H1000"/>
          <cell r="I1000"/>
          <cell r="J1000"/>
          <cell r="K1000"/>
          <cell r="L1000"/>
          <cell r="M1000"/>
          <cell r="N1000"/>
          <cell r="O1000"/>
          <cell r="P1000"/>
          <cell r="Q1000"/>
          <cell r="R1000"/>
        </row>
        <row r="1001">
          <cell r="B1001"/>
          <cell r="C1001"/>
          <cell r="D1001"/>
          <cell r="E1001"/>
          <cell r="F1001"/>
          <cell r="G1001"/>
          <cell r="H1001"/>
          <cell r="I1001"/>
          <cell r="J1001"/>
          <cell r="K1001"/>
          <cell r="L1001"/>
          <cell r="M1001"/>
          <cell r="N1001"/>
          <cell r="O1001"/>
          <cell r="P1001"/>
          <cell r="Q1001"/>
          <cell r="R1001"/>
        </row>
        <row r="1002">
          <cell r="B1002"/>
          <cell r="C1002"/>
          <cell r="D1002"/>
          <cell r="E1002"/>
          <cell r="F1002"/>
          <cell r="G1002"/>
          <cell r="H1002"/>
          <cell r="I1002"/>
          <cell r="J1002"/>
          <cell r="K1002"/>
          <cell r="L1002"/>
          <cell r="M1002"/>
          <cell r="N1002"/>
          <cell r="O1002"/>
          <cell r="P1002"/>
          <cell r="Q1002"/>
          <cell r="R1002"/>
        </row>
        <row r="1003">
          <cell r="B1003"/>
          <cell r="C1003"/>
          <cell r="D1003"/>
          <cell r="E1003"/>
          <cell r="F1003"/>
          <cell r="G1003"/>
          <cell r="H1003"/>
          <cell r="I1003"/>
          <cell r="J1003"/>
          <cell r="K1003"/>
          <cell r="L1003"/>
          <cell r="M1003"/>
          <cell r="N1003"/>
          <cell r="O1003"/>
          <cell r="P1003"/>
          <cell r="Q1003"/>
          <cell r="R1003"/>
        </row>
        <row r="1004">
          <cell r="B1004"/>
          <cell r="C1004"/>
          <cell r="D1004"/>
          <cell r="E1004"/>
          <cell r="F1004"/>
          <cell r="G1004"/>
          <cell r="H1004"/>
          <cell r="I1004"/>
          <cell r="J1004"/>
          <cell r="K1004"/>
          <cell r="L1004"/>
          <cell r="M1004"/>
          <cell r="N1004"/>
          <cell r="O1004"/>
          <cell r="P1004"/>
          <cell r="Q1004"/>
          <cell r="R1004"/>
        </row>
        <row r="1005">
          <cell r="B1005"/>
          <cell r="C1005"/>
          <cell r="D1005"/>
          <cell r="E1005"/>
          <cell r="F1005"/>
          <cell r="G1005"/>
          <cell r="H1005"/>
          <cell r="I1005"/>
          <cell r="J1005"/>
          <cell r="K1005"/>
          <cell r="L1005"/>
          <cell r="M1005"/>
          <cell r="N1005"/>
          <cell r="O1005"/>
          <cell r="P1005"/>
          <cell r="Q1005"/>
          <cell r="R1005"/>
        </row>
        <row r="1006">
          <cell r="B1006"/>
          <cell r="C1006"/>
          <cell r="D1006"/>
          <cell r="E1006"/>
          <cell r="F1006"/>
          <cell r="G1006"/>
          <cell r="H1006"/>
          <cell r="I1006"/>
          <cell r="J1006"/>
          <cell r="K1006"/>
          <cell r="L1006"/>
          <cell r="M1006"/>
          <cell r="N1006"/>
          <cell r="O1006"/>
          <cell r="P1006"/>
          <cell r="Q1006"/>
          <cell r="R1006"/>
        </row>
        <row r="1007">
          <cell r="B1007"/>
          <cell r="C1007"/>
          <cell r="D1007"/>
          <cell r="E1007"/>
          <cell r="F1007"/>
          <cell r="G1007"/>
          <cell r="H1007"/>
          <cell r="I1007"/>
          <cell r="J1007"/>
          <cell r="K1007"/>
          <cell r="L1007"/>
          <cell r="M1007"/>
          <cell r="N1007"/>
          <cell r="O1007"/>
          <cell r="P1007"/>
          <cell r="Q1007"/>
          <cell r="R1007"/>
        </row>
        <row r="1008">
          <cell r="B1008"/>
          <cell r="C1008"/>
          <cell r="D1008"/>
          <cell r="E1008"/>
          <cell r="F1008"/>
          <cell r="G1008"/>
          <cell r="H1008"/>
          <cell r="I1008"/>
          <cell r="J1008"/>
          <cell r="K1008"/>
          <cell r="L1008"/>
          <cell r="M1008"/>
          <cell r="N1008"/>
          <cell r="O1008"/>
          <cell r="P1008"/>
          <cell r="Q1008"/>
          <cell r="R1008"/>
        </row>
        <row r="1009">
          <cell r="B1009"/>
          <cell r="C1009"/>
          <cell r="D1009"/>
          <cell r="E1009"/>
          <cell r="F1009"/>
          <cell r="G1009"/>
          <cell r="H1009"/>
          <cell r="I1009"/>
          <cell r="J1009"/>
          <cell r="K1009"/>
          <cell r="L1009"/>
          <cell r="M1009"/>
          <cell r="N1009"/>
          <cell r="O1009"/>
          <cell r="P1009"/>
          <cell r="Q1009"/>
          <cell r="R1009"/>
        </row>
        <row r="1010">
          <cell r="J1010"/>
          <cell r="K1010"/>
          <cell r="N1010"/>
        </row>
        <row r="1011">
          <cell r="J1011"/>
          <cell r="K1011"/>
          <cell r="N1011"/>
        </row>
        <row r="1012">
          <cell r="J1012"/>
          <cell r="K1012"/>
          <cell r="N1012"/>
        </row>
        <row r="1013">
          <cell r="J1013"/>
          <cell r="K1013"/>
          <cell r="N1013"/>
        </row>
        <row r="1014">
          <cell r="J1014"/>
          <cell r="K1014"/>
          <cell r="N1014"/>
        </row>
        <row r="1015">
          <cell r="J1015"/>
          <cell r="K1015"/>
          <cell r="N1015"/>
        </row>
        <row r="1016">
          <cell r="J1016"/>
          <cell r="K1016"/>
          <cell r="N1016"/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9VX6-W4l1ki_lEHmAjH5Fd60v93w5mtMv2nKUf3IDD392CUtPAPiS5ZoCJfdDJBE" itemId="01U5M4NY3BYUWVLAZWD5ELV4GQPXR5Y4QY">
      <xxl21:absoluteUrl r:id="rId2"/>
      <xxl21:relativeUrl r:id="rId3"/>
    </xxl21:alternateUrls>
    <sheetNames>
      <sheetName val="DATOS DOCENTES"/>
      <sheetName val="POD"/>
      <sheetName val="Hoja1"/>
      <sheetName val="Hoja2"/>
      <sheetName val="Histórico"/>
      <sheetName val="Ps. jurídica educ"/>
    </sheetNames>
    <sheetDataSet>
      <sheetData sheetId="0">
        <row r="1">
          <cell r="A1"/>
          <cell r="B1"/>
          <cell r="C1"/>
          <cell r="D1">
            <v>1</v>
          </cell>
          <cell r="E1">
            <v>2</v>
          </cell>
          <cell r="F1">
            <v>3</v>
          </cell>
          <cell r="G1">
            <v>4</v>
          </cell>
          <cell r="H1">
            <v>5</v>
          </cell>
          <cell r="I1">
            <v>6</v>
          </cell>
          <cell r="J1">
            <v>7</v>
          </cell>
          <cell r="K1">
            <v>8</v>
          </cell>
          <cell r="L1">
            <v>9</v>
          </cell>
          <cell r="M1">
            <v>10</v>
          </cell>
          <cell r="N1">
            <v>11</v>
          </cell>
          <cell r="O1">
            <v>12</v>
          </cell>
          <cell r="P1">
            <v>13</v>
          </cell>
          <cell r="Q1">
            <v>14</v>
          </cell>
          <cell r="R1">
            <v>15</v>
          </cell>
          <cell r="S1">
            <v>16</v>
          </cell>
          <cell r="T1">
            <v>17</v>
          </cell>
          <cell r="U1">
            <v>18</v>
          </cell>
          <cell r="V1">
            <v>19</v>
          </cell>
          <cell r="W1">
            <v>20</v>
          </cell>
          <cell r="X1">
            <v>21</v>
          </cell>
          <cell r="Y1">
            <v>22</v>
          </cell>
          <cell r="Z1"/>
          <cell r="AA1"/>
          <cell r="AB1">
            <v>25</v>
          </cell>
          <cell r="AC1">
            <v>26</v>
          </cell>
          <cell r="AD1">
            <v>27</v>
          </cell>
          <cell r="AE1">
            <v>28</v>
          </cell>
          <cell r="AF1">
            <v>29</v>
          </cell>
          <cell r="AG1">
            <v>30</v>
          </cell>
          <cell r="AH1">
            <v>31</v>
          </cell>
          <cell r="AI1">
            <v>32</v>
          </cell>
        </row>
        <row r="2">
          <cell r="A2" t="str">
            <v>DNI</v>
          </cell>
          <cell r="B2" t="str">
            <v>APELLIDOS</v>
          </cell>
          <cell r="C2" t="str">
            <v>NOMBRE</v>
          </cell>
          <cell r="D2" t="str">
            <v>APELLIDOS, NOMBRE</v>
          </cell>
          <cell r="E2" t="str">
            <v>Usuario</v>
          </cell>
          <cell r="F2" t="str">
            <v>CORREO</v>
          </cell>
          <cell r="G2" t="str">
            <v>Doctorado/a</v>
          </cell>
          <cell r="H2" t="str">
            <v>Acreditado/a</v>
          </cell>
          <cell r="I2" t="str">
            <v>ÁMBITO DE CONOCIMIENTO_1</v>
          </cell>
          <cell r="J2" t="str">
            <v>ÁMBITO DE CONOCIMIENTO_2</v>
          </cell>
          <cell r="K2" t="str">
            <v>ÁMBITO DE CONOCIMIENTO_3</v>
          </cell>
          <cell r="L2" t="str">
            <v>ÁMBITO DE CONOCIMIENTO_4</v>
          </cell>
          <cell r="M2" t="str">
            <v>TIPO VINCULACIÓN</v>
          </cell>
          <cell r="N2" t="str">
            <v>Responsable académico/a</v>
          </cell>
          <cell r="O2" t="str">
            <v>VICEDECANATO</v>
          </cell>
          <cell r="P2" t="str">
            <v>% VINCULACIÓN (ATENEA/POD)</v>
          </cell>
          <cell r="Q2" t="str">
            <v>TRANSFORMA CONTRATO A ECTS</v>
          </cell>
          <cell r="R2" t="str">
            <v>Próximo cambio de contrato</v>
          </cell>
          <cell r="S2" t="str">
            <v>SEXENIOS</v>
          </cell>
          <cell r="T2" t="str">
            <v>RAZÓN REDUCCIONES</v>
          </cell>
          <cell r="U2" t="str">
            <v>ECTS REDUCCIÓN</v>
          </cell>
          <cell r="V2" t="str">
            <v>CRÉDITOS EN OTRA FACULTAD</v>
          </cell>
          <cell r="W2" t="str">
            <v>FACULTAD</v>
          </cell>
          <cell r="X2" t="str">
            <v>CRÉDITOS DOCENCIA + TFT EN PSICO 2026</v>
          </cell>
          <cell r="Y2" t="str">
            <v>CRÉDITOS DOCENCIA + TFT EN CBS 2026</v>
          </cell>
          <cell r="Z2" t="str">
            <v>CRÉDITOS DOCENCIA + TFT EN CSS 2026</v>
          </cell>
          <cell r="AA2"/>
          <cell r="AB2" t="str">
            <v>STATUS ACTIVO/NO ACTIVO POD</v>
          </cell>
          <cell r="AC2" t="str">
            <v>STATUS ACTIVO/NO ACTIVO</v>
          </cell>
          <cell r="AD2" t="str">
            <v>F. Inicio</v>
          </cell>
          <cell r="AE2" t="str">
            <v>F. Fin (aprox)</v>
          </cell>
          <cell r="AF2" t="str">
            <v xml:space="preserve">BAJA  EFECTIVA </v>
          </cell>
          <cell r="AG2" t="str">
            <v>MOTIVO</v>
          </cell>
          <cell r="AH2" t="str">
            <v>OBSERVACIONES</v>
          </cell>
          <cell r="AI2"/>
        </row>
        <row r="3">
          <cell r="A3"/>
          <cell r="B3"/>
          <cell r="C3"/>
          <cell r="D3">
            <v>1</v>
          </cell>
          <cell r="E3">
            <v>2</v>
          </cell>
          <cell r="F3">
            <v>3</v>
          </cell>
          <cell r="G3">
            <v>4</v>
          </cell>
          <cell r="H3">
            <v>5</v>
          </cell>
          <cell r="I3">
            <v>6</v>
          </cell>
          <cell r="J3">
            <v>7</v>
          </cell>
          <cell r="K3">
            <v>8</v>
          </cell>
          <cell r="L3">
            <v>9</v>
          </cell>
          <cell r="M3">
            <v>10</v>
          </cell>
          <cell r="N3">
            <v>11</v>
          </cell>
          <cell r="O3">
            <v>12</v>
          </cell>
          <cell r="P3">
            <v>13</v>
          </cell>
          <cell r="Q3">
            <v>14</v>
          </cell>
          <cell r="R3">
            <v>15</v>
          </cell>
          <cell r="S3">
            <v>16</v>
          </cell>
          <cell r="T3">
            <v>17</v>
          </cell>
          <cell r="U3">
            <v>18</v>
          </cell>
          <cell r="V3">
            <v>19</v>
          </cell>
          <cell r="W3">
            <v>20</v>
          </cell>
          <cell r="X3">
            <v>21</v>
          </cell>
          <cell r="Y3">
            <v>22</v>
          </cell>
          <cell r="Z3">
            <v>23</v>
          </cell>
          <cell r="AA3">
            <v>24</v>
          </cell>
          <cell r="AB3">
            <v>25</v>
          </cell>
          <cell r="AC3">
            <v>26</v>
          </cell>
          <cell r="AD3">
            <v>27</v>
          </cell>
          <cell r="AE3">
            <v>28</v>
          </cell>
          <cell r="AF3">
            <v>29</v>
          </cell>
          <cell r="AG3">
            <v>30</v>
          </cell>
          <cell r="AH3">
            <v>31</v>
          </cell>
          <cell r="AI3">
            <v>32</v>
          </cell>
        </row>
        <row r="4">
          <cell r="A4" t="str">
            <v>76941444G</v>
          </cell>
          <cell r="B4" t="str">
            <v>Abad Villaverde</v>
          </cell>
          <cell r="C4" t="str">
            <v>Beatriz</v>
          </cell>
          <cell r="D4" t="str">
            <v>Abad Villaverde, Beatriz</v>
          </cell>
          <cell r="E4" t="str">
            <v>beatriz.abad</v>
          </cell>
          <cell r="F4" t="str">
            <v>beatriz.abad@professor.universidadviu.com</v>
          </cell>
          <cell r="G4" t="str">
            <v>Yes</v>
          </cell>
          <cell r="H4" t="str">
            <v>NO</v>
          </cell>
          <cell r="I4" t="str">
            <v>Programa Oficial de Doctorado en Psicología Social</v>
          </cell>
          <cell r="J4" t="str">
            <v>Programa Oficial de Doctorado en Psicología Social</v>
          </cell>
          <cell r="K4" t="str">
            <v>Licenciada en Psicología</v>
          </cell>
          <cell r="L4" t="str">
            <v>Máster Universitario en Psicogerontología</v>
          </cell>
          <cell r="M4" t="str">
            <v>Labour</v>
          </cell>
          <cell r="N4" t="str">
            <v>Gómez Martínez, Sandra</v>
          </cell>
          <cell r="O4" t="str">
            <v>CSS</v>
          </cell>
          <cell r="P4">
            <v>100</v>
          </cell>
          <cell r="Q4" t="str">
            <v>50</v>
          </cell>
          <cell r="R4"/>
          <cell r="S4"/>
          <cell r="T4" t="str">
            <v>Sin reducción</v>
          </cell>
          <cell r="U4">
            <v>0</v>
          </cell>
          <cell r="V4"/>
          <cell r="W4"/>
          <cell r="X4">
            <v>22</v>
          </cell>
          <cell r="Y4">
            <v>0</v>
          </cell>
          <cell r="Z4">
            <v>0</v>
          </cell>
          <cell r="AA4"/>
          <cell r="AB4" t="str">
            <v>Active - signed</v>
          </cell>
          <cell r="AC4" t="str">
            <v>BAJA TEMPORAL</v>
          </cell>
          <cell r="AD4">
            <v>46005</v>
          </cell>
          <cell r="AE4" t="str">
            <v>14/03/2026</v>
          </cell>
          <cell r="AF4"/>
          <cell r="AG4" t="str">
            <v>ENFERMEDAD</v>
          </cell>
          <cell r="AH4" t="str">
            <v>no sabemos fecha inicio y fin</v>
          </cell>
          <cell r="AI4" t="str">
            <v>76941444G</v>
          </cell>
        </row>
        <row r="5">
          <cell r="A5" t="str">
            <v>50621913V</v>
          </cell>
          <cell r="B5" t="str">
            <v>Abalo Rodríguez</v>
          </cell>
          <cell r="C5" t="str">
            <v>Inés</v>
          </cell>
          <cell r="D5" t="str">
            <v>Abalo Rodríguez, Inés</v>
          </cell>
          <cell r="E5" t="str">
            <v>iabalor@professional.universidadviu.com</v>
          </cell>
          <cell r="F5" t="str">
            <v>iabalor@professional.universidadviu.com</v>
          </cell>
          <cell r="G5" t="str">
            <v>Yes</v>
          </cell>
          <cell r="H5" t="str">
            <v>NO</v>
          </cell>
          <cell r="I5" t="str">
            <v>Doctorado en Psicología</v>
          </cell>
          <cell r="J5" t="str">
            <v>Máster en Neurociencia</v>
          </cell>
          <cell r="K5" t="str">
            <v>Máster en "MSc Mind, Language and Embodied Cognition"</v>
          </cell>
          <cell r="L5" t="str">
            <v/>
          </cell>
          <cell r="M5" t="str">
            <v>Professional</v>
          </cell>
          <cell r="N5" t="str">
            <v/>
          </cell>
          <cell r="O5" t="str">
            <v>CSS</v>
          </cell>
          <cell r="P5">
            <v>0</v>
          </cell>
          <cell r="Q5" t="str">
            <v xml:space="preserve"> </v>
          </cell>
          <cell r="R5"/>
          <cell r="S5"/>
          <cell r="T5" t="str">
            <v>Sin reducción</v>
          </cell>
          <cell r="U5">
            <v>0</v>
          </cell>
          <cell r="V5"/>
          <cell r="W5"/>
          <cell r="X5">
            <v>0</v>
          </cell>
          <cell r="Y5">
            <v>0</v>
          </cell>
          <cell r="Z5">
            <v>0</v>
          </cell>
          <cell r="AA5"/>
          <cell r="AB5" t="str">
            <v>Active - signed</v>
          </cell>
          <cell r="AC5" t="str">
            <v>ACTIVO</v>
          </cell>
          <cell r="AD5"/>
          <cell r="AE5"/>
          <cell r="AF5"/>
          <cell r="AG5"/>
          <cell r="AH5"/>
          <cell r="AI5" t="str">
            <v>50621913V</v>
          </cell>
        </row>
        <row r="6">
          <cell r="A6" t="str">
            <v>25191300K</v>
          </cell>
          <cell r="B6" t="str">
            <v>Abarca Sos</v>
          </cell>
          <cell r="C6" t="str">
            <v>Alberto</v>
          </cell>
          <cell r="D6" t="str">
            <v>Abarca Sos, Alberto</v>
          </cell>
          <cell r="E6" t="str">
            <v>alberto.abarca</v>
          </cell>
          <cell r="F6" t="str">
            <v>alberto.abarca@professional.universidadviu.com</v>
          </cell>
          <cell r="G6" t="str">
            <v>Yes</v>
          </cell>
          <cell r="H6" t="str">
            <v>Yes</v>
          </cell>
          <cell r="I6" t="str">
            <v>Motricidad humana: actividades físicas y deportivas</v>
          </cell>
          <cell r="J6" t="str">
            <v>Licenciado en Ciencias de la Actividad Física y el Deporte</v>
          </cell>
          <cell r="K6" t="str">
            <v/>
          </cell>
          <cell r="L6" t="str">
            <v/>
          </cell>
          <cell r="M6" t="str">
            <v>Professional</v>
          </cell>
          <cell r="N6" t="str">
            <v/>
          </cell>
          <cell r="O6" t="str">
            <v>CBS</v>
          </cell>
          <cell r="P6">
            <v>0</v>
          </cell>
          <cell r="Q6" t="str">
            <v xml:space="preserve"> </v>
          </cell>
          <cell r="R6"/>
          <cell r="S6"/>
          <cell r="T6" t="str">
            <v>Sin reducción</v>
          </cell>
          <cell r="U6">
            <v>0</v>
          </cell>
          <cell r="V6"/>
          <cell r="W6"/>
          <cell r="X6">
            <v>0</v>
          </cell>
          <cell r="Y6">
            <v>0</v>
          </cell>
          <cell r="Z6">
            <v>0</v>
          </cell>
          <cell r="AA6"/>
          <cell r="AB6" t="str">
            <v>Active - signed</v>
          </cell>
          <cell r="AC6" t="str">
            <v>ACTIVO</v>
          </cell>
          <cell r="AD6"/>
          <cell r="AE6"/>
          <cell r="AF6"/>
          <cell r="AG6"/>
          <cell r="AH6"/>
          <cell r="AI6" t="str">
            <v>25191300K</v>
          </cell>
        </row>
        <row r="7">
          <cell r="A7" t="str">
            <v>25412227X</v>
          </cell>
          <cell r="B7" t="str">
            <v>Abarca Torralba</v>
          </cell>
          <cell r="C7" t="str">
            <v>Mari Carmen</v>
          </cell>
          <cell r="D7" t="str">
            <v>Abarca Torralba, Mari Carmen</v>
          </cell>
          <cell r="E7" t="str">
            <v>maricarmen.abarca</v>
          </cell>
          <cell r="F7" t="str">
            <v>maricarmen.abarca@professor.universidadviu.com</v>
          </cell>
          <cell r="G7" t="str">
            <v>NO</v>
          </cell>
          <cell r="H7" t="str">
            <v>NO</v>
          </cell>
          <cell r="I7" t="str">
            <v>Ingeniería Técnica industrial</v>
          </cell>
          <cell r="J7" t="str">
            <v>Ingeniería en Organización industrial</v>
          </cell>
          <cell r="K7" t="str">
            <v/>
          </cell>
          <cell r="L7" t="str">
            <v/>
          </cell>
          <cell r="M7" t="str">
            <v>Labour</v>
          </cell>
          <cell r="N7" t="str">
            <v>Pellín Carcelén, Ana</v>
          </cell>
          <cell r="O7" t="str">
            <v>CBS</v>
          </cell>
          <cell r="P7">
            <v>18</v>
          </cell>
          <cell r="Q7" t="str">
            <v>18</v>
          </cell>
          <cell r="R7"/>
          <cell r="S7"/>
          <cell r="T7" t="str">
            <v>Sin reducción</v>
          </cell>
          <cell r="U7">
            <v>0</v>
          </cell>
          <cell r="V7"/>
          <cell r="W7"/>
          <cell r="X7">
            <v>0</v>
          </cell>
          <cell r="Y7">
            <v>0</v>
          </cell>
          <cell r="Z7">
            <v>17.600000000000001</v>
          </cell>
          <cell r="AA7"/>
          <cell r="AB7" t="str">
            <v>Active - signed</v>
          </cell>
          <cell r="AC7" t="str">
            <v>ACTIVO</v>
          </cell>
          <cell r="AD7"/>
          <cell r="AE7"/>
          <cell r="AF7"/>
          <cell r="AG7"/>
          <cell r="AH7"/>
          <cell r="AI7" t="str">
            <v>25412227X</v>
          </cell>
        </row>
        <row r="8">
          <cell r="A8" t="str">
            <v>46615013Q</v>
          </cell>
          <cell r="B8" t="str">
            <v>Abellán Sánchez</v>
          </cell>
          <cell r="C8" t="str">
            <v>María del Rosario</v>
          </cell>
          <cell r="D8" t="str">
            <v>Abellán Sánchez, María del Rosario</v>
          </cell>
          <cell r="E8" t="str">
            <v>mariadelrosario.abellan</v>
          </cell>
          <cell r="F8" t="str">
            <v>mariadelrosario.abellan@professional.universidadviu.com</v>
          </cell>
          <cell r="G8" t="str">
            <v>Yes</v>
          </cell>
          <cell r="H8" t="str">
            <v>NO</v>
          </cell>
          <cell r="I8" t="str">
            <v>Bioquímica</v>
          </cell>
          <cell r="J8" t="str">
            <v>Doctorado en Ciencias Experimentales y de la Salud</v>
          </cell>
          <cell r="K8" t="str">
            <v/>
          </cell>
          <cell r="L8" t="str">
            <v/>
          </cell>
          <cell r="M8" t="str">
            <v>Professional</v>
          </cell>
          <cell r="N8" t="str">
            <v/>
          </cell>
          <cell r="O8" t="str">
            <v>CBS</v>
          </cell>
          <cell r="P8">
            <v>0</v>
          </cell>
          <cell r="Q8" t="str">
            <v xml:space="preserve"> </v>
          </cell>
          <cell r="R8"/>
          <cell r="S8"/>
          <cell r="T8" t="str">
            <v>Sin reducción</v>
          </cell>
          <cell r="U8">
            <v>0</v>
          </cell>
          <cell r="V8"/>
          <cell r="W8"/>
          <cell r="X8">
            <v>0</v>
          </cell>
          <cell r="Y8">
            <v>0</v>
          </cell>
          <cell r="Z8">
            <v>0</v>
          </cell>
          <cell r="AA8"/>
          <cell r="AB8" t="str">
            <v>Active - signed</v>
          </cell>
          <cell r="AC8" t="str">
            <v>NO ACTIVO</v>
          </cell>
          <cell r="AD8"/>
          <cell r="AE8"/>
          <cell r="AF8">
            <v>45713</v>
          </cell>
          <cell r="AG8" t="str">
            <v>CESE DE CONTRATO</v>
          </cell>
          <cell r="AH8"/>
          <cell r="AI8" t="str">
            <v>46615013Q</v>
          </cell>
        </row>
        <row r="9">
          <cell r="A9" t="str">
            <v>30655519S</v>
          </cell>
          <cell r="B9" t="str">
            <v>Abia Holgado</v>
          </cell>
          <cell r="C9" t="str">
            <v>David Ángel</v>
          </cell>
          <cell r="D9" t="str">
            <v>Abia Holgado, David Ángel</v>
          </cell>
          <cell r="E9" t="str">
            <v>dabiah@professional.universidadviu.com</v>
          </cell>
          <cell r="F9" t="str">
            <v>dabiah@professional.universidadviu.com</v>
          </cell>
          <cell r="G9" t="str">
            <v>NO</v>
          </cell>
          <cell r="H9" t="str">
            <v>NO</v>
          </cell>
          <cell r="I9" t="str">
            <v/>
          </cell>
          <cell r="J9" t="str">
            <v/>
          </cell>
          <cell r="K9" t="str">
            <v/>
          </cell>
          <cell r="L9" t="str">
            <v/>
          </cell>
          <cell r="M9" t="str">
            <v>Professional</v>
          </cell>
          <cell r="N9" t="str">
            <v/>
          </cell>
          <cell r="O9" t="str">
            <v>CBS</v>
          </cell>
          <cell r="P9">
            <v>0</v>
          </cell>
          <cell r="Q9" t="str">
            <v xml:space="preserve"> </v>
          </cell>
          <cell r="R9"/>
          <cell r="S9"/>
          <cell r="T9" t="str">
            <v>Sin reducción</v>
          </cell>
          <cell r="U9">
            <v>0</v>
          </cell>
          <cell r="V9"/>
          <cell r="W9"/>
          <cell r="X9">
            <v>0</v>
          </cell>
          <cell r="Y9">
            <v>0</v>
          </cell>
          <cell r="Z9">
            <v>0</v>
          </cell>
          <cell r="AA9"/>
          <cell r="AB9" t="str">
            <v>Active - signed</v>
          </cell>
          <cell r="AC9" t="str">
            <v>ACTIVO</v>
          </cell>
          <cell r="AD9"/>
          <cell r="AE9"/>
          <cell r="AF9"/>
          <cell r="AG9"/>
          <cell r="AH9"/>
          <cell r="AI9" t="str">
            <v>30655519S</v>
          </cell>
        </row>
        <row r="10">
          <cell r="A10" t="str">
            <v>76953128G</v>
          </cell>
          <cell r="B10" t="str">
            <v>Acebes Andreu</v>
          </cell>
          <cell r="C10" t="str">
            <v>Félix</v>
          </cell>
          <cell r="D10" t="str">
            <v>Acebes Andreu, Félix</v>
          </cell>
          <cell r="E10" t="str">
            <v>felix.acebes@professor.universidadviu.com</v>
          </cell>
          <cell r="F10" t="str">
            <v>felix.acebes@professor.universidadviu.com</v>
          </cell>
          <cell r="G10" t="str">
            <v>Yes</v>
          </cell>
          <cell r="H10" t="str">
            <v>Yes</v>
          </cell>
          <cell r="I10" t="str">
            <v>Doctorado en Psicología</v>
          </cell>
          <cell r="J10" t="str">
            <v>Licenciatura en Psicología</v>
          </cell>
          <cell r="K10" t="str">
            <v/>
          </cell>
          <cell r="L10" t="str">
            <v/>
          </cell>
          <cell r="M10" t="str">
            <v>Labour</v>
          </cell>
          <cell r="N10"/>
          <cell r="O10" t="str">
            <v>CSS</v>
          </cell>
          <cell r="P10" t="str">
            <v>50,00</v>
          </cell>
          <cell r="Q10" t="b">
            <v>0</v>
          </cell>
          <cell r="R10"/>
          <cell r="S10"/>
          <cell r="T10" t="str">
            <v>Sin reducción</v>
          </cell>
          <cell r="U10">
            <v>0</v>
          </cell>
          <cell r="V10"/>
          <cell r="W10"/>
          <cell r="X10">
            <v>0</v>
          </cell>
          <cell r="Y10">
            <v>0</v>
          </cell>
          <cell r="Z10">
            <v>0</v>
          </cell>
          <cell r="AA10"/>
          <cell r="AB10" t="str">
            <v>Concluded</v>
          </cell>
          <cell r="AC10" t="str">
            <v>NO ACTIVO</v>
          </cell>
          <cell r="AD10"/>
          <cell r="AE10"/>
          <cell r="AF10">
            <v>45717</v>
          </cell>
          <cell r="AG10" t="str">
            <v>CESE DE CONTRATO</v>
          </cell>
          <cell r="AH10"/>
          <cell r="AI10" t="str">
            <v>76953128G</v>
          </cell>
        </row>
        <row r="11">
          <cell r="A11" t="str">
            <v>08933309V</v>
          </cell>
          <cell r="B11" t="str">
            <v>Acebes Sánchez</v>
          </cell>
          <cell r="C11" t="str">
            <v>Jorge</v>
          </cell>
          <cell r="D11" t="str">
            <v>Acebes Sánchez, Jorge</v>
          </cell>
          <cell r="E11" t="str">
            <v>jorge.acebes</v>
          </cell>
          <cell r="F11" t="str">
            <v>jorge.acebes@professional.universidadviu.com</v>
          </cell>
          <cell r="G11" t="str">
            <v>Yes</v>
          </cell>
          <cell r="H11" t="str">
            <v>Yes</v>
          </cell>
          <cell r="I11" t="str">
            <v>ciencias de la Actividad Física y del Deporte</v>
          </cell>
          <cell r="J11" t="str">
            <v>Licenciado en Ciencias de la Actividad Física y del Deporte. Itinerario, Planificación y Gestión Deportiva</v>
          </cell>
          <cell r="K11" t="str">
            <v>Máster en Gestión de Entidades e Instalaciones Deportivas</v>
          </cell>
          <cell r="L11" t="str">
            <v>Máster Universitario de Profesor de Educación Secundaria Obligatoria y Bachillerato, Formación Profesional y Enseñanzas de Idiomas, en la especialidad de Educación Física</v>
          </cell>
          <cell r="M11" t="str">
            <v>Professional</v>
          </cell>
          <cell r="N11" t="str">
            <v/>
          </cell>
          <cell r="O11"/>
          <cell r="P11">
            <v>0</v>
          </cell>
          <cell r="Q11" t="str">
            <v xml:space="preserve"> </v>
          </cell>
          <cell r="R11"/>
          <cell r="S11"/>
          <cell r="T11" t="str">
            <v>Sin reducción</v>
          </cell>
          <cell r="U11">
            <v>0</v>
          </cell>
          <cell r="V11"/>
          <cell r="W11"/>
          <cell r="X11">
            <v>0</v>
          </cell>
          <cell r="Y11">
            <v>0</v>
          </cell>
          <cell r="Z11">
            <v>0</v>
          </cell>
          <cell r="AA11"/>
          <cell r="AB11" t="str">
            <v>Concluded</v>
          </cell>
          <cell r="AC11" t="str">
            <v>NO ACTIVO</v>
          </cell>
          <cell r="AD11"/>
          <cell r="AE11"/>
          <cell r="AF11">
            <v>45323</v>
          </cell>
          <cell r="AG11" t="str">
            <v>CESE DE CONTRATO</v>
          </cell>
          <cell r="AH11"/>
          <cell r="AI11" t="str">
            <v>08933309V</v>
          </cell>
        </row>
        <row r="12">
          <cell r="A12" t="str">
            <v>30951257L</v>
          </cell>
          <cell r="B12" t="str">
            <v>Aceituno Solís</v>
          </cell>
          <cell r="C12" t="str">
            <v>Javier</v>
          </cell>
          <cell r="D12" t="str">
            <v>Aceituno Solís, Javier</v>
          </cell>
          <cell r="E12" t="str">
            <v>jaceitunos@professional.universidadviu.com</v>
          </cell>
          <cell r="F12" t="str">
            <v>jaceitunos@professional.universidadviu.com</v>
          </cell>
          <cell r="G12" t="str">
            <v>NO</v>
          </cell>
          <cell r="H12" t="str">
            <v>NO</v>
          </cell>
          <cell r="I12" t="str">
            <v>Master Universitario en Psicologia general sanitaria</v>
          </cell>
          <cell r="J12" t="str">
            <v>Licenciado en Psicologia</v>
          </cell>
          <cell r="K12" t="str">
            <v/>
          </cell>
          <cell r="L12" t="str">
            <v/>
          </cell>
          <cell r="M12" t="str">
            <v>Professional</v>
          </cell>
          <cell r="N12" t="str">
            <v/>
          </cell>
          <cell r="O12" t="str">
            <v>CSS</v>
          </cell>
          <cell r="P12">
            <v>0</v>
          </cell>
          <cell r="Q12" t="str">
            <v xml:space="preserve"> </v>
          </cell>
          <cell r="R12"/>
          <cell r="S12"/>
          <cell r="T12" t="str">
            <v>Sin reducción</v>
          </cell>
          <cell r="U12">
            <v>0</v>
          </cell>
          <cell r="V12"/>
          <cell r="W12"/>
          <cell r="X12">
            <v>0</v>
          </cell>
          <cell r="Y12">
            <v>0</v>
          </cell>
          <cell r="Z12">
            <v>0</v>
          </cell>
          <cell r="AA12"/>
          <cell r="AB12" t="str">
            <v>Active - signed</v>
          </cell>
          <cell r="AC12" t="str">
            <v>ACTIVO</v>
          </cell>
          <cell r="AD12"/>
          <cell r="AE12"/>
          <cell r="AF12"/>
          <cell r="AG12"/>
          <cell r="AH12"/>
          <cell r="AI12" t="str">
            <v>30951257L</v>
          </cell>
        </row>
        <row r="13">
          <cell r="A13" t="str">
            <v>44576208T</v>
          </cell>
          <cell r="B13" t="str">
            <v>Acha Durán</v>
          </cell>
          <cell r="C13" t="str">
            <v>María Nieves</v>
          </cell>
          <cell r="D13" t="str">
            <v>Acha Durán, María Nieves</v>
          </cell>
          <cell r="E13" t="str">
            <v>machad@professional.universidadviu.com</v>
          </cell>
          <cell r="F13" t="str">
            <v>machad@professional.universidadviu.com</v>
          </cell>
          <cell r="G13" t="str">
            <v>NO</v>
          </cell>
          <cell r="H13" t="str">
            <v>NO</v>
          </cell>
          <cell r="I13" t="str">
            <v>Consultora EMDR</v>
          </cell>
          <cell r="J13" t="str">
            <v>Licenciada en Psicología</v>
          </cell>
          <cell r="K13" t="str">
            <v/>
          </cell>
          <cell r="L13" t="str">
            <v/>
          </cell>
          <cell r="M13" t="str">
            <v>Professional</v>
          </cell>
          <cell r="N13" t="str">
            <v/>
          </cell>
          <cell r="O13" t="str">
            <v>CSS</v>
          </cell>
          <cell r="P13">
            <v>0</v>
          </cell>
          <cell r="Q13" t="str">
            <v xml:space="preserve"> </v>
          </cell>
          <cell r="R13"/>
          <cell r="S13"/>
          <cell r="T13" t="str">
            <v>Sin reducción</v>
          </cell>
          <cell r="U13">
            <v>0</v>
          </cell>
          <cell r="V13"/>
          <cell r="W13"/>
          <cell r="X13">
            <v>0</v>
          </cell>
          <cell r="Y13">
            <v>0</v>
          </cell>
          <cell r="Z13">
            <v>0</v>
          </cell>
          <cell r="AA13"/>
          <cell r="AB13" t="str">
            <v>Concluded</v>
          </cell>
          <cell r="AC13" t="str">
            <v>ACTIVO</v>
          </cell>
          <cell r="AD13"/>
          <cell r="AE13"/>
          <cell r="AF13"/>
          <cell r="AG13"/>
          <cell r="AH13"/>
          <cell r="AI13" t="str">
            <v>44576208T</v>
          </cell>
        </row>
        <row r="14">
          <cell r="A14" t="str">
            <v>78643833W</v>
          </cell>
          <cell r="B14" t="str">
            <v>Acosta González</v>
          </cell>
          <cell r="C14" t="str">
            <v>Paola</v>
          </cell>
          <cell r="D14" t="str">
            <v>Acosta González, Paola</v>
          </cell>
          <cell r="E14" t="str">
            <v>pacostag@professional.universidadviu.com</v>
          </cell>
          <cell r="F14" t="str">
            <v>pacostag@professional.universidadviu.com</v>
          </cell>
          <cell r="G14" t="str">
            <v>NO</v>
          </cell>
          <cell r="H14" t="str">
            <v>NO</v>
          </cell>
          <cell r="I14" t="str">
            <v>Máster en Psicología General Sanitaria</v>
          </cell>
          <cell r="J14" t="str">
            <v>Grado en Psicología</v>
          </cell>
          <cell r="K14" t="str">
            <v/>
          </cell>
          <cell r="L14" t="str">
            <v/>
          </cell>
          <cell r="M14" t="str">
            <v>Labour</v>
          </cell>
          <cell r="N14" t="str">
            <v>Cairós, Mariana Elena</v>
          </cell>
          <cell r="O14" t="str">
            <v>CSS</v>
          </cell>
          <cell r="P14">
            <v>12</v>
          </cell>
          <cell r="Q14" t="str">
            <v>12</v>
          </cell>
          <cell r="R14" t="str">
            <v>laboralización marzo</v>
          </cell>
          <cell r="S14"/>
          <cell r="T14" t="str">
            <v>Sin reducción</v>
          </cell>
          <cell r="U14">
            <v>0</v>
          </cell>
          <cell r="V14"/>
          <cell r="W14"/>
          <cell r="X14">
            <v>12</v>
          </cell>
          <cell r="Y14">
            <v>0</v>
          </cell>
          <cell r="Z14">
            <v>10.199999999999999</v>
          </cell>
          <cell r="AA14"/>
          <cell r="AB14" t="str">
            <v>Active - signed</v>
          </cell>
          <cell r="AC14" t="str">
            <v>ACTIVO</v>
          </cell>
          <cell r="AD14"/>
          <cell r="AE14"/>
          <cell r="AF14"/>
          <cell r="AG14"/>
          <cell r="AH14" t="str">
            <v>PTE. LABORALIZACIÓN/ PROPUESTA LABORAL</v>
          </cell>
          <cell r="AI14" t="str">
            <v>78643833W</v>
          </cell>
        </row>
        <row r="15">
          <cell r="A15" t="str">
            <v>54058811W</v>
          </cell>
          <cell r="B15" t="str">
            <v>Acosta Herrera</v>
          </cell>
          <cell r="C15" t="str">
            <v>Marialbert</v>
          </cell>
          <cell r="D15" t="str">
            <v>Acosta Herrera, Marialbert</v>
          </cell>
          <cell r="E15" t="str">
            <v>macostah@professional.universidadviu.com</v>
          </cell>
          <cell r="F15" t="str">
            <v>macostah@professional.universidadviu.com</v>
          </cell>
          <cell r="G15" t="str">
            <v>Yes</v>
          </cell>
          <cell r="H15" t="str">
            <v>NO</v>
          </cell>
          <cell r="I15" t="str">
            <v>Programa Oficial de Doctorado en Ciencias Biomédicas</v>
          </cell>
          <cell r="J15" t="str">
            <v>Biología</v>
          </cell>
          <cell r="K15" t="str">
            <v/>
          </cell>
          <cell r="L15" t="str">
            <v/>
          </cell>
          <cell r="M15" t="str">
            <v>Professional</v>
          </cell>
          <cell r="N15"/>
          <cell r="O15" t="str">
            <v>CBS</v>
          </cell>
          <cell r="P15">
            <v>0</v>
          </cell>
          <cell r="Q15" t="str">
            <v xml:space="preserve"> </v>
          </cell>
          <cell r="R15"/>
          <cell r="S15"/>
          <cell r="T15" t="str">
            <v>Sin reducción</v>
          </cell>
          <cell r="U15">
            <v>0</v>
          </cell>
          <cell r="V15"/>
          <cell r="W15"/>
          <cell r="X15">
            <v>0</v>
          </cell>
          <cell r="Y15">
            <v>0</v>
          </cell>
          <cell r="Z15">
            <v>0</v>
          </cell>
          <cell r="AA15"/>
          <cell r="AB15" t="str">
            <v>Active - signed</v>
          </cell>
          <cell r="AC15" t="str">
            <v>ACTIVO</v>
          </cell>
          <cell r="AD15"/>
          <cell r="AE15"/>
          <cell r="AF15"/>
          <cell r="AG15"/>
          <cell r="AH15"/>
          <cell r="AI15" t="str">
            <v>54058811W</v>
          </cell>
        </row>
        <row r="16">
          <cell r="A16" t="str">
            <v>54113650D</v>
          </cell>
          <cell r="B16" t="str">
            <v>Acosta Pérez</v>
          </cell>
          <cell r="C16" t="str">
            <v>Irene</v>
          </cell>
          <cell r="D16" t="str">
            <v>Acosta Pérez, Irene</v>
          </cell>
          <cell r="E16" t="str">
            <v>irene.acosta</v>
          </cell>
          <cell r="F16" t="str">
            <v>irene.acosta@professor.universidadviu.com</v>
          </cell>
          <cell r="G16" t="str">
            <v>Yes</v>
          </cell>
          <cell r="H16" t="str">
            <v>NO</v>
          </cell>
          <cell r="I16" t="str">
            <v>Psicología</v>
          </cell>
          <cell r="J16" t="str">
            <v>Psicología Clínica y Salud</v>
          </cell>
          <cell r="K16" t="str">
            <v/>
          </cell>
          <cell r="L16" t="str">
            <v/>
          </cell>
          <cell r="M16" t="str">
            <v>Labour</v>
          </cell>
          <cell r="N16" t="str">
            <v>Gómez Martínez, Sandra</v>
          </cell>
          <cell r="O16" t="str">
            <v>CSS</v>
          </cell>
          <cell r="P16">
            <v>100</v>
          </cell>
          <cell r="Q16" t="str">
            <v>50</v>
          </cell>
          <cell r="R16"/>
          <cell r="S16"/>
          <cell r="T16" t="str">
            <v>Sin reducción</v>
          </cell>
          <cell r="U16">
            <v>0</v>
          </cell>
          <cell r="V16"/>
          <cell r="W16"/>
          <cell r="X16">
            <v>50</v>
          </cell>
          <cell r="Y16">
            <v>0</v>
          </cell>
          <cell r="Z16">
            <v>0</v>
          </cell>
          <cell r="AA16"/>
          <cell r="AB16" t="str">
            <v>Active - signed</v>
          </cell>
          <cell r="AC16" t="str">
            <v>ACTIVO</v>
          </cell>
          <cell r="AD16"/>
          <cell r="AE16"/>
          <cell r="AF16"/>
          <cell r="AG16"/>
          <cell r="AH16"/>
          <cell r="AI16" t="str">
            <v>54113650D</v>
          </cell>
        </row>
        <row r="17">
          <cell r="A17" t="str">
            <v>53626940W</v>
          </cell>
          <cell r="B17" t="str">
            <v>Adam Artigues</v>
          </cell>
          <cell r="C17" t="str">
            <v>Anna</v>
          </cell>
          <cell r="D17" t="str">
            <v>Adam Artigues, Anna</v>
          </cell>
          <cell r="E17" t="str">
            <v>anna.adam</v>
          </cell>
          <cell r="F17" t="str">
            <v>anna.adam@professional.universidadviu.com</v>
          </cell>
          <cell r="G17" t="str">
            <v>Yes</v>
          </cell>
          <cell r="H17" t="str">
            <v>NO</v>
          </cell>
          <cell r="I17" t="str">
            <v>Biotecnología</v>
          </cell>
          <cell r="J17" t="str">
            <v>Máster universitario en Biotecnologia de la reproducción humana asistida</v>
          </cell>
          <cell r="K17"/>
          <cell r="L17" t="str">
            <v/>
          </cell>
          <cell r="M17" t="str">
            <v>Professional</v>
          </cell>
          <cell r="N17" t="str">
            <v/>
          </cell>
          <cell r="O17" t="str">
            <v>CBS</v>
          </cell>
          <cell r="P17">
            <v>0</v>
          </cell>
          <cell r="Q17" t="str">
            <v xml:space="preserve"> </v>
          </cell>
          <cell r="R17"/>
          <cell r="S17"/>
          <cell r="T17" t="str">
            <v>Sin reducción</v>
          </cell>
          <cell r="U17">
            <v>0</v>
          </cell>
          <cell r="V17"/>
          <cell r="W17"/>
          <cell r="X17">
            <v>0</v>
          </cell>
          <cell r="Y17">
            <v>0</v>
          </cell>
          <cell r="Z17">
            <v>0</v>
          </cell>
          <cell r="AA17"/>
          <cell r="AB17" t="str">
            <v>Active - signed</v>
          </cell>
          <cell r="AC17" t="str">
            <v>ACTIVO</v>
          </cell>
          <cell r="AD17"/>
          <cell r="AE17"/>
          <cell r="AF17"/>
          <cell r="AG17"/>
          <cell r="AH17"/>
          <cell r="AI17" t="str">
            <v>53626940W</v>
          </cell>
        </row>
        <row r="18">
          <cell r="A18" t="str">
            <v>44837725F</v>
          </cell>
          <cell r="B18" t="str">
            <v>Agrafojo Nieto</v>
          </cell>
          <cell r="C18" t="str">
            <v>María Helena</v>
          </cell>
          <cell r="D18" t="str">
            <v>Agrafojo Nieto, María Helena</v>
          </cell>
          <cell r="E18" t="str">
            <v>magrafojon@professional.universidadviu.com</v>
          </cell>
          <cell r="F18" t="str">
            <v>magrafojon@professional.universidadviu.com</v>
          </cell>
          <cell r="G18" t="str">
            <v>Yes</v>
          </cell>
          <cell r="H18" t="str">
            <v>NO</v>
          </cell>
          <cell r="I18" t="str">
            <v>Doctorado en Gerontologia</v>
          </cell>
          <cell r="J18" t="str">
            <v>Master en Gerontologia Clinica</v>
          </cell>
          <cell r="K18" t="str">
            <v>Licenciada en Psicología</v>
          </cell>
          <cell r="L18" t="str">
            <v/>
          </cell>
          <cell r="M18" t="str">
            <v>Professional</v>
          </cell>
          <cell r="N18" t="str">
            <v/>
          </cell>
          <cell r="O18" t="str">
            <v>CSS</v>
          </cell>
          <cell r="P18">
            <v>0</v>
          </cell>
          <cell r="Q18" t="str">
            <v xml:space="preserve"> </v>
          </cell>
          <cell r="R18"/>
          <cell r="S18"/>
          <cell r="T18" t="str">
            <v>Sin reducción</v>
          </cell>
          <cell r="U18">
            <v>0</v>
          </cell>
          <cell r="V18"/>
          <cell r="W18"/>
          <cell r="X18">
            <v>0</v>
          </cell>
          <cell r="Y18">
            <v>0</v>
          </cell>
          <cell r="Z18">
            <v>0</v>
          </cell>
          <cell r="AA18"/>
          <cell r="AB18" t="str">
            <v>Active - signed</v>
          </cell>
          <cell r="AC18" t="str">
            <v>ACTIVO</v>
          </cell>
          <cell r="AD18"/>
          <cell r="AE18"/>
          <cell r="AF18"/>
          <cell r="AG18"/>
          <cell r="AH18"/>
          <cell r="AI18" t="str">
            <v>44837725F</v>
          </cell>
        </row>
        <row r="19">
          <cell r="A19" t="str">
            <v>Y4954734L</v>
          </cell>
          <cell r="B19" t="str">
            <v>Aguasanta Regalado</v>
          </cell>
          <cell r="C19" t="str">
            <v>Miriam Elizabeth</v>
          </cell>
          <cell r="D19" t="str">
            <v>Aguasanta Regalado, Miriam Elizabeth</v>
          </cell>
          <cell r="E19" t="str">
            <v>miriamelizabeth.aguasanta</v>
          </cell>
          <cell r="F19" t="str">
            <v>miriamelizabeth.aguasanta@professional.universidadviu.com</v>
          </cell>
          <cell r="G19" t="str">
            <v>Yes</v>
          </cell>
          <cell r="H19" t="str">
            <v>NO</v>
          </cell>
          <cell r="I19" t="str">
            <v>Doctorado</v>
          </cell>
          <cell r="J19" t="str">
            <v>Master universitario en psicopedagogia</v>
          </cell>
          <cell r="K19" t="str">
            <v>Licenciatura en Psicología Laboral</v>
          </cell>
          <cell r="L19" t="str">
            <v/>
          </cell>
          <cell r="M19" t="str">
            <v>Professional</v>
          </cell>
          <cell r="N19"/>
          <cell r="O19" t="str">
            <v>CSS</v>
          </cell>
          <cell r="P19">
            <v>0</v>
          </cell>
          <cell r="Q19" t="str">
            <v xml:space="preserve"> </v>
          </cell>
          <cell r="R19"/>
          <cell r="S19"/>
          <cell r="T19" t="str">
            <v>Sin reducción</v>
          </cell>
          <cell r="U19">
            <v>0</v>
          </cell>
          <cell r="V19"/>
          <cell r="W19"/>
          <cell r="X19">
            <v>0</v>
          </cell>
          <cell r="Y19">
            <v>0</v>
          </cell>
          <cell r="Z19">
            <v>0</v>
          </cell>
          <cell r="AA19"/>
          <cell r="AB19" t="str">
            <v>Active - signed</v>
          </cell>
          <cell r="AC19" t="str">
            <v>ACTIVO</v>
          </cell>
          <cell r="AD19"/>
          <cell r="AE19"/>
          <cell r="AF19"/>
          <cell r="AG19"/>
          <cell r="AH19"/>
          <cell r="AI19" t="str">
            <v>Y4954734L</v>
          </cell>
        </row>
        <row r="20">
          <cell r="A20" t="str">
            <v>05712817P</v>
          </cell>
          <cell r="B20" t="str">
            <v>Aguayo Romero</v>
          </cell>
          <cell r="C20" t="str">
            <v>Virginia</v>
          </cell>
          <cell r="D20" t="str">
            <v>Aguayo Romero, Virginia</v>
          </cell>
          <cell r="E20" t="str">
            <v>virginia.aguayo</v>
          </cell>
          <cell r="F20" t="str">
            <v>virginia.aguayo@professional.universidadviu.com</v>
          </cell>
          <cell r="G20" t="str">
            <v>Yes</v>
          </cell>
          <cell r="H20" t="str">
            <v>Yes</v>
          </cell>
          <cell r="I20" t="str">
            <v>Psicología</v>
          </cell>
          <cell r="J20" t="str">
            <v>Máster universitario en psicologia general sanitaria</v>
          </cell>
          <cell r="K20" t="str">
            <v>Máster universitario en investigación en discapacidad</v>
          </cell>
          <cell r="L20" t="str">
            <v>Graduado en Psicología</v>
          </cell>
          <cell r="M20" t="str">
            <v>Professional</v>
          </cell>
          <cell r="N20" t="str">
            <v/>
          </cell>
          <cell r="O20" t="str">
            <v>CSS</v>
          </cell>
          <cell r="P20">
            <v>0</v>
          </cell>
          <cell r="Q20" t="str">
            <v xml:space="preserve"> </v>
          </cell>
          <cell r="R20"/>
          <cell r="S20"/>
          <cell r="T20" t="str">
            <v>Sin reducción</v>
          </cell>
          <cell r="U20">
            <v>0</v>
          </cell>
          <cell r="V20"/>
          <cell r="W20"/>
          <cell r="X20">
            <v>0</v>
          </cell>
          <cell r="Y20">
            <v>0</v>
          </cell>
          <cell r="Z20">
            <v>0</v>
          </cell>
          <cell r="AA20"/>
          <cell r="AB20" t="str">
            <v>Active - signed</v>
          </cell>
          <cell r="AC20" t="str">
            <v>ACTIVO</v>
          </cell>
          <cell r="AD20"/>
          <cell r="AE20"/>
          <cell r="AF20"/>
          <cell r="AG20"/>
          <cell r="AH20"/>
          <cell r="AI20" t="str">
            <v>05712817P</v>
          </cell>
        </row>
        <row r="21">
          <cell r="A21" t="str">
            <v>38084434E</v>
          </cell>
          <cell r="B21" t="str">
            <v>Aguilera Luque</v>
          </cell>
          <cell r="C21" t="str">
            <v>Ana María</v>
          </cell>
          <cell r="D21" t="str">
            <v>Aguilera Luque, Ana María</v>
          </cell>
          <cell r="E21" t="str">
            <v>aaguileral@professor.universidadviu.com</v>
          </cell>
          <cell r="F21" t="str">
            <v>aaguileral@professor.universidadviu.com</v>
          </cell>
          <cell r="G21" t="str">
            <v>Yes</v>
          </cell>
          <cell r="H21" t="str">
            <v>NO</v>
          </cell>
          <cell r="I21" t="str">
            <v>Doctorado en Dirección de empresas</v>
          </cell>
          <cell r="J21" t="str">
            <v>Doctorado en Dirección de empresas</v>
          </cell>
          <cell r="K21" t="str">
            <v>Ingenieria técnica industrial</v>
          </cell>
          <cell r="L21" t="str">
            <v>Master universitario en creación y gestión de empresas innovadoras y de base tecnológica</v>
          </cell>
          <cell r="M21" t="str">
            <v>Labour</v>
          </cell>
          <cell r="N21" t="str">
            <v>Consultar a Empresa</v>
          </cell>
          <cell r="O21" t="str">
            <v>CSS</v>
          </cell>
          <cell r="P21">
            <v>100</v>
          </cell>
          <cell r="Q21" t="str">
            <v>50</v>
          </cell>
          <cell r="R21"/>
          <cell r="S21"/>
          <cell r="T21" t="str">
            <v>Sin reducción</v>
          </cell>
          <cell r="U21">
            <v>3</v>
          </cell>
          <cell r="V21">
            <v>22</v>
          </cell>
          <cell r="W21" t="str">
            <v>EMPRESA</v>
          </cell>
          <cell r="X21">
            <v>22.1</v>
          </cell>
          <cell r="Y21">
            <v>0</v>
          </cell>
          <cell r="Z21">
            <v>0</v>
          </cell>
          <cell r="AA21"/>
          <cell r="AB21" t="str">
            <v>Active - signed</v>
          </cell>
          <cell r="AC21" t="str">
            <v>ACTIVO</v>
          </cell>
          <cell r="AD21"/>
          <cell r="AE21"/>
          <cell r="AF21"/>
          <cell r="AG21"/>
          <cell r="AH21"/>
          <cell r="AI21" t="str">
            <v>38084434E</v>
          </cell>
        </row>
        <row r="22">
          <cell r="A22" t="str">
            <v>78978032B</v>
          </cell>
          <cell r="B22" t="str">
            <v>Aguilera Martínez</v>
          </cell>
          <cell r="C22" t="str">
            <v>Penélope</v>
          </cell>
          <cell r="D22" t="str">
            <v>Aguilera Martínez, Penélope</v>
          </cell>
          <cell r="E22" t="str">
            <v>penelope.aguileram</v>
          </cell>
          <cell r="F22" t="str">
            <v>penelope.aguileram@professional.universidadviu.com</v>
          </cell>
          <cell r="G22" t="str">
            <v>NO</v>
          </cell>
          <cell r="H22" t="str">
            <v>NO</v>
          </cell>
          <cell r="I22" t="str">
            <v>Terapia ocupacional</v>
          </cell>
          <cell r="J22" t="str">
            <v>Máster Universitario en Dirección, Gestión e Intervención en Servicios Sociales</v>
          </cell>
          <cell r="K22" t="str">
            <v/>
          </cell>
          <cell r="L22" t="str">
            <v/>
          </cell>
          <cell r="M22" t="str">
            <v>Professional</v>
          </cell>
          <cell r="N22" t="str">
            <v/>
          </cell>
          <cell r="O22" t="str">
            <v>CSS</v>
          </cell>
          <cell r="P22">
            <v>0</v>
          </cell>
          <cell r="Q22" t="str">
            <v xml:space="preserve"> </v>
          </cell>
          <cell r="R22"/>
          <cell r="S22"/>
          <cell r="T22" t="str">
            <v>Sin reducción</v>
          </cell>
          <cell r="U22">
            <v>0</v>
          </cell>
          <cell r="V22"/>
          <cell r="W22"/>
          <cell r="X22">
            <v>0</v>
          </cell>
          <cell r="Y22">
            <v>0</v>
          </cell>
          <cell r="Z22">
            <v>0</v>
          </cell>
          <cell r="AA22"/>
          <cell r="AB22" t="str">
            <v>Active - signed</v>
          </cell>
          <cell r="AC22" t="str">
            <v>ACTIVO</v>
          </cell>
          <cell r="AD22"/>
          <cell r="AE22"/>
          <cell r="AF22"/>
          <cell r="AG22"/>
          <cell r="AH22"/>
          <cell r="AI22" t="str">
            <v>78978032B</v>
          </cell>
        </row>
        <row r="23">
          <cell r="A23" t="str">
            <v>Y2574276S</v>
          </cell>
          <cell r="B23" t="str">
            <v>Aguirre Camacho</v>
          </cell>
          <cell r="C23" t="str">
            <v>Aldo</v>
          </cell>
          <cell r="D23" t="str">
            <v>Aguirre Camacho, Aldo</v>
          </cell>
          <cell r="E23" t="str">
            <v>aaguirrec@professional.universidadviu.com</v>
          </cell>
          <cell r="F23" t="str">
            <v>aaguirrec@professional.universidadviu.com</v>
          </cell>
          <cell r="G23" t="str">
            <v>Yes</v>
          </cell>
          <cell r="H23" t="str">
            <v>Yes</v>
          </cell>
          <cell r="I23" t="str">
            <v>Doctorado en Psicología Clínica y de la Salud</v>
          </cell>
          <cell r="J23" t="str">
            <v>Máster Universitario en Psicología General Sanitaria</v>
          </cell>
          <cell r="K23" t="str">
            <v>Bachelor of Arts (Honours) in Psychology First Class</v>
          </cell>
          <cell r="L23" t="str">
            <v/>
          </cell>
          <cell r="M23" t="str">
            <v>Professional</v>
          </cell>
          <cell r="N23"/>
          <cell r="O23" t="str">
            <v>CBS/CSS</v>
          </cell>
          <cell r="P23">
            <v>0</v>
          </cell>
          <cell r="Q23" t="str">
            <v xml:space="preserve"> </v>
          </cell>
          <cell r="R23"/>
          <cell r="S23"/>
          <cell r="T23" t="str">
            <v>Sin reducción</v>
          </cell>
          <cell r="U23">
            <v>0</v>
          </cell>
          <cell r="V23"/>
          <cell r="W23"/>
          <cell r="X23">
            <v>0</v>
          </cell>
          <cell r="Y23">
            <v>0</v>
          </cell>
          <cell r="Z23">
            <v>0</v>
          </cell>
          <cell r="AA23"/>
          <cell r="AB23" t="str">
            <v>Active - signed</v>
          </cell>
          <cell r="AC23" t="str">
            <v>ACTIVO</v>
          </cell>
          <cell r="AD23"/>
          <cell r="AE23"/>
          <cell r="AF23"/>
          <cell r="AG23"/>
          <cell r="AH23"/>
          <cell r="AI23" t="str">
            <v>Y2574276S</v>
          </cell>
        </row>
        <row r="24">
          <cell r="A24" t="str">
            <v>43830975J</v>
          </cell>
          <cell r="B24" t="str">
            <v>Aguirre Delgado</v>
          </cell>
          <cell r="C24" t="str">
            <v>Triana</v>
          </cell>
          <cell r="D24" t="str">
            <v>Aguirre Delgado, Triana</v>
          </cell>
          <cell r="E24" t="str">
            <v>taguirred1@professor.universidadviu.com</v>
          </cell>
          <cell r="F24" t="str">
            <v>taguirred1@professor.universidadviu.com</v>
          </cell>
          <cell r="G24" t="str">
            <v>Yes</v>
          </cell>
          <cell r="H24" t="str">
            <v>Yes</v>
          </cell>
          <cell r="I24" t="str">
            <v>Doctorado en Psicología</v>
          </cell>
          <cell r="J24" t="str">
            <v>Máster En intervención Familiar</v>
          </cell>
          <cell r="K24" t="str">
            <v>Máster en Mediación Familiar y Socio comunitaria</v>
          </cell>
          <cell r="L24" t="str">
            <v/>
          </cell>
          <cell r="M24" t="str">
            <v>Labour</v>
          </cell>
          <cell r="N24" t="str">
            <v>Consultar a Educación</v>
          </cell>
          <cell r="O24" t="str">
            <v>CSS</v>
          </cell>
          <cell r="P24">
            <v>100</v>
          </cell>
          <cell r="Q24" t="str">
            <v>50</v>
          </cell>
          <cell r="R24"/>
          <cell r="S24"/>
          <cell r="T24" t="str">
            <v>Sin reducción</v>
          </cell>
          <cell r="U24">
            <v>0</v>
          </cell>
          <cell r="V24"/>
          <cell r="W24"/>
          <cell r="X24">
            <v>0</v>
          </cell>
          <cell r="Y24">
            <v>0</v>
          </cell>
          <cell r="Z24">
            <v>0</v>
          </cell>
          <cell r="AA24"/>
          <cell r="AB24" t="str">
            <v>Active - signed</v>
          </cell>
          <cell r="AC24" t="str">
            <v>ACTIVO</v>
          </cell>
          <cell r="AD24"/>
          <cell r="AE24"/>
          <cell r="AF24"/>
          <cell r="AG24"/>
          <cell r="AH24"/>
          <cell r="AI24" t="str">
            <v>43830975J</v>
          </cell>
        </row>
        <row r="25">
          <cell r="A25" t="str">
            <v>52145733H</v>
          </cell>
          <cell r="B25" t="str">
            <v>Aguirre Sánchez</v>
          </cell>
          <cell r="C25" t="str">
            <v>Miguel</v>
          </cell>
          <cell r="D25" t="str">
            <v>Aguirre Sánchez, Miguel</v>
          </cell>
          <cell r="E25" t="str">
            <v>maguirres@professional.universidadviu.com</v>
          </cell>
          <cell r="F25" t="str">
            <v>maguirres@professional.universidadviu.com</v>
          </cell>
          <cell r="G25" t="str">
            <v>Yes</v>
          </cell>
          <cell r="H25" t="str">
            <v>NO</v>
          </cell>
          <cell r="I25" t="str">
            <v>Master universitario en psicologia general sanitaria</v>
          </cell>
          <cell r="J25" t="str">
            <v>Grado en psicologia</v>
          </cell>
          <cell r="K25" t="str">
            <v/>
          </cell>
          <cell r="L25" t="str">
            <v/>
          </cell>
          <cell r="M25" t="str">
            <v>Professional</v>
          </cell>
          <cell r="N25" t="str">
            <v/>
          </cell>
          <cell r="O25" t="str">
            <v>CSS</v>
          </cell>
          <cell r="P25">
            <v>0</v>
          </cell>
          <cell r="Q25" t="str">
            <v xml:space="preserve"> </v>
          </cell>
          <cell r="R25"/>
          <cell r="S25"/>
          <cell r="T25" t="str">
            <v>Sin reducción</v>
          </cell>
          <cell r="U25">
            <v>0</v>
          </cell>
          <cell r="V25"/>
          <cell r="W25"/>
          <cell r="X25">
            <v>0</v>
          </cell>
          <cell r="Y25">
            <v>0</v>
          </cell>
          <cell r="Z25">
            <v>0</v>
          </cell>
          <cell r="AA25"/>
          <cell r="AB25" t="str">
            <v>Active - signed</v>
          </cell>
          <cell r="AC25" t="str">
            <v>ACTIVO</v>
          </cell>
          <cell r="AD25"/>
          <cell r="AE25"/>
          <cell r="AF25"/>
          <cell r="AG25"/>
          <cell r="AH25"/>
          <cell r="AI25" t="str">
            <v>52145733H</v>
          </cell>
        </row>
        <row r="26">
          <cell r="A26" t="str">
            <v>20457022V</v>
          </cell>
          <cell r="B26" t="str">
            <v>Agustí López</v>
          </cell>
          <cell r="C26" t="str">
            <v>Ana Isabel</v>
          </cell>
          <cell r="D26" t="str">
            <v>Agustí López, Ana Isabel</v>
          </cell>
          <cell r="E26" t="str">
            <v>anaisabel.agusti</v>
          </cell>
          <cell r="F26" t="str">
            <v>anaisabel.agusti@professor.universidadviu.com</v>
          </cell>
          <cell r="G26" t="str">
            <v>Yes</v>
          </cell>
          <cell r="H26" t="str">
            <v>Yes</v>
          </cell>
          <cell r="I26" t="str">
            <v>Psicología</v>
          </cell>
          <cell r="J26" t="str">
            <v>Licenciada en Psicología</v>
          </cell>
          <cell r="K26" t="str">
            <v/>
          </cell>
          <cell r="L26" t="str">
            <v/>
          </cell>
          <cell r="M26" t="str">
            <v>Labour</v>
          </cell>
          <cell r="N26" t="str">
            <v>Consultar a Facultad de Educación</v>
          </cell>
          <cell r="O26" t="str">
            <v>CSS</v>
          </cell>
          <cell r="P26">
            <v>100</v>
          </cell>
          <cell r="Q26" t="str">
            <v>50</v>
          </cell>
          <cell r="R26"/>
          <cell r="S26" t="str">
            <v>2018-2023</v>
          </cell>
          <cell r="T26" t="str">
            <v>Sin reducción</v>
          </cell>
          <cell r="U26">
            <v>0</v>
          </cell>
          <cell r="V26">
            <v>44</v>
          </cell>
          <cell r="W26" t="str">
            <v>EDUCACIÓN</v>
          </cell>
          <cell r="X26">
            <v>6</v>
          </cell>
          <cell r="Y26">
            <v>0</v>
          </cell>
          <cell r="Z26">
            <v>0</v>
          </cell>
          <cell r="AA26"/>
          <cell r="AB26" t="str">
            <v>Active - signed</v>
          </cell>
          <cell r="AC26" t="str">
            <v>ACTIVO</v>
          </cell>
          <cell r="AD26"/>
          <cell r="AE26"/>
          <cell r="AF26"/>
          <cell r="AG26"/>
          <cell r="AH26"/>
          <cell r="AI26" t="str">
            <v>20457022V</v>
          </cell>
        </row>
        <row r="27">
          <cell r="A27" t="str">
            <v>45911043F</v>
          </cell>
          <cell r="B27" t="str">
            <v>Alabadí Pardiñes</v>
          </cell>
          <cell r="C27" t="str">
            <v>Blanca</v>
          </cell>
          <cell r="D27" t="str">
            <v>Alabadí Pardiñes, Blanca</v>
          </cell>
          <cell r="E27" t="str">
            <v>blanca.alabadi</v>
          </cell>
          <cell r="F27" t="str">
            <v>blanca.alabadi@professional.universidadviu.com</v>
          </cell>
          <cell r="G27" t="str">
            <v>Yes</v>
          </cell>
          <cell r="H27" t="str">
            <v>NO</v>
          </cell>
          <cell r="I27" t="str">
            <v>Doctorado</v>
          </cell>
          <cell r="J27" t="str">
            <v>Máster Universitario en Investigación Biomédica</v>
          </cell>
          <cell r="K27" t="str">
            <v>Grado en Nutrición Humana y Dietética</v>
          </cell>
          <cell r="L27" t="str">
            <v/>
          </cell>
          <cell r="M27" t="str">
            <v>Professional</v>
          </cell>
          <cell r="N27" t="str">
            <v/>
          </cell>
          <cell r="O27" t="str">
            <v>CBS</v>
          </cell>
          <cell r="P27">
            <v>0</v>
          </cell>
          <cell r="Q27" t="str">
            <v xml:space="preserve"> </v>
          </cell>
          <cell r="R27"/>
          <cell r="S27"/>
          <cell r="T27" t="str">
            <v>Sin reducción</v>
          </cell>
          <cell r="U27">
            <v>0</v>
          </cell>
          <cell r="V27"/>
          <cell r="W27"/>
          <cell r="X27">
            <v>0</v>
          </cell>
          <cell r="Y27">
            <v>0</v>
          </cell>
          <cell r="Z27">
            <v>0</v>
          </cell>
          <cell r="AA27"/>
          <cell r="AB27" t="str">
            <v>Active - signed</v>
          </cell>
          <cell r="AC27" t="str">
            <v>ACTIVO</v>
          </cell>
          <cell r="AD27"/>
          <cell r="AE27"/>
          <cell r="AF27"/>
          <cell r="AG27"/>
          <cell r="AH27"/>
          <cell r="AI27" t="str">
            <v>45911043F</v>
          </cell>
        </row>
        <row r="28">
          <cell r="A28" t="str">
            <v>02896070W</v>
          </cell>
          <cell r="B28" t="str">
            <v>Alaminos Hervás</v>
          </cell>
          <cell r="C28" t="str">
            <v>María Dolores</v>
          </cell>
          <cell r="D28" t="str">
            <v>Alaminos Hervás, María Dolores</v>
          </cell>
          <cell r="E28" t="str">
            <v>lola.alaminos</v>
          </cell>
          <cell r="F28" t="str">
            <v>lola.alaminos@professor.universidadviu.com</v>
          </cell>
          <cell r="G28" t="str">
            <v>NO</v>
          </cell>
          <cell r="H28" t="str">
            <v>NO</v>
          </cell>
          <cell r="I28" t="str">
            <v>Psicología</v>
          </cell>
          <cell r="J28" t="str">
            <v>Título Especialista en Gerontología Social</v>
          </cell>
          <cell r="K28" t="str">
            <v>Máster en Dirección de Recursos Humano</v>
          </cell>
          <cell r="L28" t="str">
            <v/>
          </cell>
          <cell r="M28" t="str">
            <v>Labour</v>
          </cell>
          <cell r="N28" t="str">
            <v>Gómez Martínez, Sandra</v>
          </cell>
          <cell r="O28" t="str">
            <v>CSS</v>
          </cell>
          <cell r="P28">
            <v>100</v>
          </cell>
          <cell r="Q28" t="str">
            <v>50</v>
          </cell>
          <cell r="R28"/>
          <cell r="S28"/>
          <cell r="T28" t="str">
            <v>Subdirector/Coordinador de Máster</v>
          </cell>
          <cell r="U28">
            <v>32</v>
          </cell>
          <cell r="V28"/>
          <cell r="W28"/>
          <cell r="X28">
            <v>12.6</v>
          </cell>
          <cell r="Y28">
            <v>0</v>
          </cell>
          <cell r="Z28">
            <v>0</v>
          </cell>
          <cell r="AA28"/>
          <cell r="AB28" t="str">
            <v>Active - signed</v>
          </cell>
          <cell r="AC28" t="str">
            <v>ACTIVO</v>
          </cell>
          <cell r="AD28"/>
          <cell r="AE28"/>
          <cell r="AF28"/>
          <cell r="AG28"/>
          <cell r="AH28"/>
          <cell r="AI28" t="str">
            <v>02896070W</v>
          </cell>
        </row>
        <row r="29">
          <cell r="A29" t="str">
            <v>16071571E</v>
          </cell>
          <cell r="B29" t="str">
            <v>Alba Muñoz</v>
          </cell>
          <cell r="C29" t="str">
            <v>Julen</v>
          </cell>
          <cell r="D29" t="str">
            <v>Alba Muñoz, Julen</v>
          </cell>
          <cell r="E29" t="str">
            <v>julen.alba</v>
          </cell>
          <cell r="F29" t="str">
            <v>julen.alba@professional.universidadviu.com</v>
          </cell>
          <cell r="G29" t="str">
            <v>Yes</v>
          </cell>
          <cell r="H29" t="str">
            <v>NO</v>
          </cell>
          <cell r="I29" t="str">
            <v>Doctorado en psicologia</v>
          </cell>
          <cell r="J29" t="str">
            <v>LIcenciado en psicologia</v>
          </cell>
          <cell r="K29" t="str">
            <v>Master universitario en psicologia general sanitaria</v>
          </cell>
          <cell r="L29" t="str">
            <v>Master en Salud Mental y Terapias Psicologícas</v>
          </cell>
          <cell r="M29" t="str">
            <v>Professional</v>
          </cell>
          <cell r="N29" t="str">
            <v/>
          </cell>
          <cell r="O29" t="str">
            <v>CSS</v>
          </cell>
          <cell r="P29">
            <v>0</v>
          </cell>
          <cell r="Q29" t="str">
            <v xml:space="preserve"> </v>
          </cell>
          <cell r="R29"/>
          <cell r="S29"/>
          <cell r="T29" t="str">
            <v>Sin reducción</v>
          </cell>
          <cell r="U29">
            <v>0</v>
          </cell>
          <cell r="V29"/>
          <cell r="W29"/>
          <cell r="X29">
            <v>0</v>
          </cell>
          <cell r="Y29">
            <v>0</v>
          </cell>
          <cell r="Z29">
            <v>0</v>
          </cell>
          <cell r="AA29"/>
          <cell r="AB29" t="str">
            <v>Active - signed</v>
          </cell>
          <cell r="AC29" t="str">
            <v>ACTIVO</v>
          </cell>
          <cell r="AD29"/>
          <cell r="AE29"/>
          <cell r="AF29"/>
          <cell r="AG29"/>
          <cell r="AH29"/>
          <cell r="AI29" t="str">
            <v>16071571E</v>
          </cell>
        </row>
        <row r="30">
          <cell r="A30" t="str">
            <v>45568697Q</v>
          </cell>
          <cell r="B30" t="str">
            <v>Albaladejo Perales</v>
          </cell>
          <cell r="C30" t="str">
            <v>Rosa María</v>
          </cell>
          <cell r="D30" t="str">
            <v>Albaladejo Perales, Rosa María</v>
          </cell>
          <cell r="E30" t="str">
            <v>rosamaria.albaladejo</v>
          </cell>
          <cell r="F30" t="str">
            <v>rosamaria.albaladejo@professor.universidadviu.com</v>
          </cell>
          <cell r="G30" t="str">
            <v>Yes</v>
          </cell>
          <cell r="H30" t="str">
            <v>NO</v>
          </cell>
          <cell r="I30" t="str">
            <v>Nutrición y Dietética</v>
          </cell>
          <cell r="J30" t="str">
            <v>Programa Oficial de Doctorado en Nutrición y Metabolismo</v>
          </cell>
          <cell r="K30" t="str">
            <v/>
          </cell>
          <cell r="L30" t="str">
            <v/>
          </cell>
          <cell r="M30" t="str">
            <v>Labour</v>
          </cell>
          <cell r="N30" t="str">
            <v>Silva López, Mariana</v>
          </cell>
          <cell r="O30" t="str">
            <v>CBS</v>
          </cell>
          <cell r="P30">
            <v>100</v>
          </cell>
          <cell r="Q30" t="str">
            <v>50</v>
          </cell>
          <cell r="R30"/>
          <cell r="S30"/>
          <cell r="T30" t="str">
            <v>Sin reducción</v>
          </cell>
          <cell r="U30">
            <v>0</v>
          </cell>
          <cell r="V30"/>
          <cell r="W30"/>
          <cell r="X30">
            <v>0</v>
          </cell>
          <cell r="Y30">
            <v>40.700000000000003</v>
          </cell>
          <cell r="Z30">
            <v>0</v>
          </cell>
          <cell r="AA30"/>
          <cell r="AB30" t="str">
            <v>Active - signed</v>
          </cell>
          <cell r="AC30" t="str">
            <v>ACTIVO</v>
          </cell>
          <cell r="AD30"/>
          <cell r="AE30"/>
          <cell r="AF30"/>
          <cell r="AG30"/>
          <cell r="AH30"/>
          <cell r="AI30" t="str">
            <v>45568697Q</v>
          </cell>
        </row>
        <row r="31">
          <cell r="A31" t="str">
            <v>20035516D</v>
          </cell>
          <cell r="B31" t="str">
            <v>Alberola Enguix</v>
          </cell>
          <cell r="C31" t="str">
            <v>Salvador</v>
          </cell>
          <cell r="D31" t="str">
            <v>Alberola Enguix, Salvador</v>
          </cell>
          <cell r="E31" t="str">
            <v>salvador.alberola@professor.universidadviu.com</v>
          </cell>
          <cell r="F31" t="str">
            <v>salvador.alberola@professor.universidadviu.com</v>
          </cell>
          <cell r="G31" t="str">
            <v>Yes</v>
          </cell>
          <cell r="H31" t="str">
            <v>Yes</v>
          </cell>
          <cell r="I31" t="str">
            <v>Psicología</v>
          </cell>
          <cell r="J31" t="str">
            <v>Máster Universitario en Atención Sociosanitaria a la Dependencia</v>
          </cell>
          <cell r="K31" t="str">
            <v>Máster en Intervención en Psicología Clínica y Salud</v>
          </cell>
          <cell r="L31" t="str">
            <v>Programa Oficial de Doctorado en Atención Sociosanitaria a la Dependencia</v>
          </cell>
          <cell r="M31" t="str">
            <v>Labour</v>
          </cell>
          <cell r="N31"/>
          <cell r="O31" t="str">
            <v>CSS</v>
          </cell>
          <cell r="P31">
            <v>100</v>
          </cell>
          <cell r="Q31" t="str">
            <v>50</v>
          </cell>
          <cell r="R31"/>
          <cell r="S31"/>
          <cell r="T31" t="str">
            <v>Sin reducción</v>
          </cell>
          <cell r="U31">
            <v>0</v>
          </cell>
          <cell r="V31"/>
          <cell r="W31"/>
          <cell r="X31">
            <v>0</v>
          </cell>
          <cell r="Y31">
            <v>0</v>
          </cell>
          <cell r="Z31">
            <v>0</v>
          </cell>
          <cell r="AA31"/>
          <cell r="AB31" t="str">
            <v>Concluded</v>
          </cell>
          <cell r="AC31" t="str">
            <v>NO ACTIVO</v>
          </cell>
          <cell r="AD31"/>
          <cell r="AE31"/>
          <cell r="AF31">
            <v>45698</v>
          </cell>
          <cell r="AG31" t="str">
            <v>CESE DE CONTRATO</v>
          </cell>
          <cell r="AH31"/>
          <cell r="AI31" t="str">
            <v>20035516D</v>
          </cell>
        </row>
        <row r="32">
          <cell r="A32" t="str">
            <v>45946846E</v>
          </cell>
          <cell r="B32" t="str">
            <v>Alcaide Leyva</v>
          </cell>
          <cell r="C32" t="str">
            <v>José Manuel</v>
          </cell>
          <cell r="D32" t="str">
            <v>Alcaide Leyva, José Manuel</v>
          </cell>
          <cell r="E32" t="str">
            <v>jalcaidel@professional.universidadviu.com</v>
          </cell>
          <cell r="F32" t="str">
            <v>jalcaidel@professional.universidadviu.com</v>
          </cell>
          <cell r="G32" t="str">
            <v>NO</v>
          </cell>
          <cell r="H32" t="str">
            <v>NO</v>
          </cell>
          <cell r="I32" t="str">
            <v>Máster Universitario en Nutrición Humana</v>
          </cell>
          <cell r="J32" t="str">
            <v>Grado en Enfermería</v>
          </cell>
          <cell r="K32" t="str">
            <v/>
          </cell>
          <cell r="L32" t="str">
            <v/>
          </cell>
          <cell r="M32" t="str">
            <v>Professional</v>
          </cell>
          <cell r="N32" t="str">
            <v/>
          </cell>
          <cell r="O32" t="str">
            <v>CBS</v>
          </cell>
          <cell r="P32">
            <v>0</v>
          </cell>
          <cell r="Q32" t="str">
            <v xml:space="preserve"> </v>
          </cell>
          <cell r="R32"/>
          <cell r="S32"/>
          <cell r="T32" t="str">
            <v>Sin reducción</v>
          </cell>
          <cell r="U32">
            <v>0</v>
          </cell>
          <cell r="V32"/>
          <cell r="W32"/>
          <cell r="X32">
            <v>0</v>
          </cell>
          <cell r="Y32">
            <v>0</v>
          </cell>
          <cell r="Z32">
            <v>0</v>
          </cell>
          <cell r="AA32"/>
          <cell r="AB32" t="str">
            <v>Active - signed</v>
          </cell>
          <cell r="AC32" t="str">
            <v>ACTIVO</v>
          </cell>
          <cell r="AD32"/>
          <cell r="AE32"/>
          <cell r="AF32"/>
          <cell r="AG32"/>
          <cell r="AH32"/>
          <cell r="AI32" t="str">
            <v>45946846E</v>
          </cell>
        </row>
        <row r="33">
          <cell r="A33" t="str">
            <v>74628171W</v>
          </cell>
          <cell r="B33" t="str">
            <v>Alché Ramírez</v>
          </cell>
          <cell r="C33" t="str">
            <v>Juan de Dios</v>
          </cell>
          <cell r="D33" t="str">
            <v>Alché Ramírez, Juan de Dios</v>
          </cell>
          <cell r="E33" t="str">
            <v>jalcher@professional.universidadviu.com</v>
          </cell>
          <cell r="F33" t="str">
            <v>jalcher@professional.universidadviu.com</v>
          </cell>
          <cell r="G33" t="str">
            <v>Yes</v>
          </cell>
          <cell r="H33" t="str">
            <v>NO</v>
          </cell>
          <cell r="I33"/>
          <cell r="J33" t="str">
            <v>Licenciada en Biología</v>
          </cell>
          <cell r="K33" t="str">
            <v/>
          </cell>
          <cell r="L33" t="str">
            <v/>
          </cell>
          <cell r="M33" t="str">
            <v>Professional</v>
          </cell>
          <cell r="N33"/>
          <cell r="O33" t="str">
            <v>CBS</v>
          </cell>
          <cell r="P33">
            <v>0</v>
          </cell>
          <cell r="Q33" t="str">
            <v xml:space="preserve"> </v>
          </cell>
          <cell r="R33"/>
          <cell r="S33"/>
          <cell r="T33" t="str">
            <v>Sin reducción</v>
          </cell>
          <cell r="U33">
            <v>0</v>
          </cell>
          <cell r="V33"/>
          <cell r="W33"/>
          <cell r="X33">
            <v>0</v>
          </cell>
          <cell r="Y33">
            <v>0</v>
          </cell>
          <cell r="Z33">
            <v>0</v>
          </cell>
          <cell r="AA33"/>
          <cell r="AB33" t="str">
            <v>Active - signed</v>
          </cell>
          <cell r="AC33" t="str">
            <v>ACTIVO</v>
          </cell>
          <cell r="AD33"/>
          <cell r="AE33"/>
          <cell r="AF33"/>
          <cell r="AG33"/>
          <cell r="AH33"/>
          <cell r="AI33" t="str">
            <v>74628171W</v>
          </cell>
        </row>
        <row r="34">
          <cell r="A34" t="str">
            <v>20060747D</v>
          </cell>
          <cell r="B34" t="str">
            <v>Alconada Padilla</v>
          </cell>
          <cell r="C34" t="str">
            <v>Roberto</v>
          </cell>
          <cell r="D34" t="str">
            <v>Alconada Padilla, Roberto</v>
          </cell>
          <cell r="E34" t="str">
            <v>ralconadap@professional.universidadviu.com</v>
          </cell>
          <cell r="F34" t="str">
            <v>ralconadap@professional.universidadviu.com</v>
          </cell>
          <cell r="G34" t="str">
            <v>NO</v>
          </cell>
          <cell r="H34" t="str">
            <v>NO</v>
          </cell>
          <cell r="I34" t="str">
            <v>Máster Propio en Conducta Suicida</v>
          </cell>
          <cell r="J34" t="str">
            <v>Máster en Psicología General Sanitaria</v>
          </cell>
          <cell r="K34" t="str">
            <v/>
          </cell>
          <cell r="L34" t="str">
            <v/>
          </cell>
          <cell r="M34" t="str">
            <v>Professional</v>
          </cell>
          <cell r="N34" t="str">
            <v/>
          </cell>
          <cell r="O34" t="str">
            <v>CSS</v>
          </cell>
          <cell r="P34">
            <v>0</v>
          </cell>
          <cell r="Q34" t="str">
            <v xml:space="preserve"> </v>
          </cell>
          <cell r="R34"/>
          <cell r="S34"/>
          <cell r="T34" t="str">
            <v>Sin reducción</v>
          </cell>
          <cell r="U34">
            <v>0</v>
          </cell>
          <cell r="V34"/>
          <cell r="W34"/>
          <cell r="X34">
            <v>0</v>
          </cell>
          <cell r="Y34">
            <v>0</v>
          </cell>
          <cell r="Z34">
            <v>0</v>
          </cell>
          <cell r="AA34"/>
          <cell r="AB34" t="str">
            <v>Active - signed</v>
          </cell>
          <cell r="AC34" t="str">
            <v>ACTIVO</v>
          </cell>
          <cell r="AD34"/>
          <cell r="AE34"/>
          <cell r="AF34"/>
          <cell r="AG34"/>
          <cell r="AH34"/>
          <cell r="AI34" t="str">
            <v>20060747D</v>
          </cell>
        </row>
        <row r="35">
          <cell r="A35" t="str">
            <v>45798873P</v>
          </cell>
          <cell r="B35" t="str">
            <v>Alhambra Borrás</v>
          </cell>
          <cell r="C35" t="str">
            <v>Tamara</v>
          </cell>
          <cell r="D35" t="str">
            <v>Alhambra Borrás, Tamara</v>
          </cell>
          <cell r="E35" t="e">
            <v>#VALUE!</v>
          </cell>
          <cell r="F35" t="str">
            <v>tamara.alhambra@professor.universidadviu.com</v>
          </cell>
          <cell r="G35" t="e">
            <v>#VALUE!</v>
          </cell>
          <cell r="H35" t="e">
            <v>#VALUE!</v>
          </cell>
          <cell r="I35" t="str">
            <v>Psicología</v>
          </cell>
          <cell r="J35" t="str">
            <v>Programa de Doctorado en Investigación en Psicología</v>
          </cell>
          <cell r="K35" t="str">
            <v/>
          </cell>
          <cell r="L35" t="str">
            <v/>
          </cell>
          <cell r="M35" t="e">
            <v>#VALUE!</v>
          </cell>
          <cell r="N35" t="str">
            <v>Mateu Mollá, Joaquín</v>
          </cell>
          <cell r="O35" t="str">
            <v>CSS</v>
          </cell>
          <cell r="P35" t="str">
            <v xml:space="preserve"> </v>
          </cell>
          <cell r="Q35" t="b">
            <v>0</v>
          </cell>
          <cell r="R35"/>
          <cell r="S35"/>
          <cell r="T35" t="str">
            <v>Sin reducción</v>
          </cell>
          <cell r="U35">
            <v>0</v>
          </cell>
          <cell r="V35"/>
          <cell r="W35"/>
          <cell r="X35">
            <v>0</v>
          </cell>
          <cell r="Y35">
            <v>0</v>
          </cell>
          <cell r="Z35">
            <v>0</v>
          </cell>
          <cell r="AA35"/>
          <cell r="AB35" t="e">
            <v>#VALUE!</v>
          </cell>
          <cell r="AC35" t="str">
            <v>BAJA TEMPORAL</v>
          </cell>
          <cell r="AD35">
            <v>45931</v>
          </cell>
          <cell r="AE35">
            <v>46661</v>
          </cell>
          <cell r="AF35"/>
          <cell r="AG35" t="str">
            <v>EXCEDENCIA</v>
          </cell>
          <cell r="AH35"/>
          <cell r="AI35" t="str">
            <v>45798873P</v>
          </cell>
        </row>
        <row r="36">
          <cell r="A36" t="str">
            <v>20847305J</v>
          </cell>
          <cell r="B36" t="str">
            <v>Aliño Costa</v>
          </cell>
          <cell r="C36" t="str">
            <v>Marta</v>
          </cell>
          <cell r="D36" t="str">
            <v>Aliño Costa, Marta</v>
          </cell>
          <cell r="E36" t="str">
            <v>marta.alino</v>
          </cell>
          <cell r="F36" t="str">
            <v>marta.alino@professor.universidadviu.com</v>
          </cell>
          <cell r="G36" t="str">
            <v>Yes</v>
          </cell>
          <cell r="H36" t="str">
            <v>Yes</v>
          </cell>
          <cell r="I36" t="str">
            <v>Psicología</v>
          </cell>
          <cell r="J36" t="str">
            <v/>
          </cell>
          <cell r="K36" t="str">
            <v/>
          </cell>
          <cell r="L36" t="str">
            <v/>
          </cell>
          <cell r="M36" t="str">
            <v>Labour</v>
          </cell>
          <cell r="N36" t="str">
            <v>Duque Moreno, María Aranzazu</v>
          </cell>
          <cell r="O36" t="str">
            <v>CSS</v>
          </cell>
          <cell r="P36">
            <v>100</v>
          </cell>
          <cell r="Q36" t="str">
            <v>50</v>
          </cell>
          <cell r="R36"/>
          <cell r="S36" t="str">
            <v>2015-2021</v>
          </cell>
          <cell r="T36" t="str">
            <v>Dirección de título Máster Universitario - 2 ediciones</v>
          </cell>
          <cell r="U36">
            <v>38</v>
          </cell>
          <cell r="V36"/>
          <cell r="W36"/>
          <cell r="X36">
            <v>10.8</v>
          </cell>
          <cell r="Y36">
            <v>0</v>
          </cell>
          <cell r="Z36">
            <v>0</v>
          </cell>
          <cell r="AA36"/>
          <cell r="AB36" t="str">
            <v>Active - signed</v>
          </cell>
          <cell r="AC36" t="str">
            <v>ACTIVO</v>
          </cell>
          <cell r="AD36"/>
          <cell r="AE36"/>
          <cell r="AF36"/>
          <cell r="AG36"/>
          <cell r="AH36"/>
          <cell r="AI36" t="str">
            <v>20847305J</v>
          </cell>
        </row>
        <row r="37">
          <cell r="A37" t="str">
            <v>70902210H</v>
          </cell>
          <cell r="B37" t="str">
            <v>Almaraz Morocho</v>
          </cell>
          <cell r="C37" t="str">
            <v>David</v>
          </cell>
          <cell r="D37" t="str">
            <v>Almaraz Morocho, David</v>
          </cell>
          <cell r="E37" t="str">
            <v>dalmarazm@professional.universidadviu.com</v>
          </cell>
          <cell r="F37" t="str">
            <v>dalmarazm@professional.universidadviu.com</v>
          </cell>
          <cell r="G37" t="str">
            <v>Yes</v>
          </cell>
          <cell r="H37" t="str">
            <v>NO</v>
          </cell>
          <cell r="I37" t="str">
            <v>Máster Universitario en Investigación en Psicología</v>
          </cell>
          <cell r="J37" t="str">
            <v>Grado en Psicología</v>
          </cell>
          <cell r="K37" t="str">
            <v/>
          </cell>
          <cell r="L37" t="str">
            <v/>
          </cell>
          <cell r="M37" t="str">
            <v>Professional</v>
          </cell>
          <cell r="N37" t="str">
            <v/>
          </cell>
          <cell r="O37" t="str">
            <v>CSS</v>
          </cell>
          <cell r="P37">
            <v>0</v>
          </cell>
          <cell r="Q37" t="str">
            <v xml:space="preserve"> </v>
          </cell>
          <cell r="R37"/>
          <cell r="S37"/>
          <cell r="T37" t="str">
            <v>Sin reducción</v>
          </cell>
          <cell r="U37">
            <v>0</v>
          </cell>
          <cell r="V37"/>
          <cell r="W37"/>
          <cell r="X37">
            <v>0</v>
          </cell>
          <cell r="Y37">
            <v>0</v>
          </cell>
          <cell r="Z37">
            <v>0</v>
          </cell>
          <cell r="AA37"/>
          <cell r="AB37" t="str">
            <v>Active - signed</v>
          </cell>
          <cell r="AC37" t="str">
            <v>ACTIVO</v>
          </cell>
          <cell r="AD37"/>
          <cell r="AE37"/>
          <cell r="AF37"/>
          <cell r="AG37"/>
          <cell r="AH37"/>
          <cell r="AI37" t="str">
            <v>70902210H</v>
          </cell>
        </row>
        <row r="38">
          <cell r="A38" t="str">
            <v>53073953G</v>
          </cell>
          <cell r="B38" t="str">
            <v>Almeida Toledano</v>
          </cell>
          <cell r="C38" t="str">
            <v>Laura</v>
          </cell>
          <cell r="D38" t="str">
            <v>Almeida Toledano, Laura</v>
          </cell>
          <cell r="E38" t="str">
            <v>laura.almeida</v>
          </cell>
          <cell r="F38" t="str">
            <v>laura.almeida@professional.universidadviu.com</v>
          </cell>
          <cell r="G38" t="str">
            <v>NO</v>
          </cell>
          <cell r="H38" t="str">
            <v>NO</v>
          </cell>
          <cell r="I38" t="str">
            <v>Medicina</v>
          </cell>
          <cell r="J38" t="str">
            <v>Título oficial de Medicina Especialista en Obstetricia y Ginecología</v>
          </cell>
          <cell r="K38" t="str">
            <v>MU Investigación en Ciencias Clínicas</v>
          </cell>
          <cell r="L38" t="str">
            <v/>
          </cell>
          <cell r="M38" t="str">
            <v>Professional</v>
          </cell>
          <cell r="N38" t="str">
            <v/>
          </cell>
          <cell r="O38" t="str">
            <v>CBS</v>
          </cell>
          <cell r="P38">
            <v>0</v>
          </cell>
          <cell r="Q38" t="str">
            <v xml:space="preserve"> </v>
          </cell>
          <cell r="R38"/>
          <cell r="S38"/>
          <cell r="T38" t="str">
            <v>Sin reducción</v>
          </cell>
          <cell r="U38">
            <v>0</v>
          </cell>
          <cell r="V38"/>
          <cell r="W38"/>
          <cell r="X38">
            <v>0</v>
          </cell>
          <cell r="Y38">
            <v>0</v>
          </cell>
          <cell r="Z38">
            <v>0</v>
          </cell>
          <cell r="AA38"/>
          <cell r="AB38" t="str">
            <v>Active - signed</v>
          </cell>
          <cell r="AC38" t="str">
            <v>NO ACTIVO</v>
          </cell>
          <cell r="AD38"/>
          <cell r="AE38"/>
          <cell r="AF38">
            <v>45030</v>
          </cell>
          <cell r="AG38" t="str">
            <v>CESE DE CONTRATO</v>
          </cell>
          <cell r="AH38"/>
          <cell r="AI38" t="str">
            <v>53073953G</v>
          </cell>
        </row>
        <row r="39">
          <cell r="A39" t="str">
            <v>53353764C</v>
          </cell>
          <cell r="B39" t="str">
            <v>Alonso del Real Arias</v>
          </cell>
          <cell r="C39" t="str">
            <v>Javier</v>
          </cell>
          <cell r="D39" t="str">
            <v>Alonso del Real Arias, Javier</v>
          </cell>
          <cell r="E39" t="str">
            <v>javier.alonso.r</v>
          </cell>
          <cell r="F39" t="str">
            <v>javier.alonso.r@professional.universidadviu.com</v>
          </cell>
          <cell r="G39" t="str">
            <v>Yes</v>
          </cell>
          <cell r="H39" t="str">
            <v>NO</v>
          </cell>
          <cell r="I39" t="str">
            <v>Biotecnología</v>
          </cell>
          <cell r="J39" t="str">
            <v>Programa de Doctorado en Biomedicina y Biotecnología</v>
          </cell>
          <cell r="K39" t="str">
            <v>Máster Universitario en Biotecnología Ambiental, Industrial y Alimentaria</v>
          </cell>
          <cell r="L39" t="str">
            <v/>
          </cell>
          <cell r="M39" t="str">
            <v>Professional</v>
          </cell>
          <cell r="N39" t="str">
            <v/>
          </cell>
          <cell r="O39" t="str">
            <v>CBS</v>
          </cell>
          <cell r="P39">
            <v>0</v>
          </cell>
          <cell r="Q39" t="str">
            <v xml:space="preserve"> </v>
          </cell>
          <cell r="R39"/>
          <cell r="S39"/>
          <cell r="T39" t="str">
            <v>Sin reducción</v>
          </cell>
          <cell r="U39">
            <v>0</v>
          </cell>
          <cell r="V39"/>
          <cell r="W39"/>
          <cell r="X39">
            <v>0</v>
          </cell>
          <cell r="Y39">
            <v>0</v>
          </cell>
          <cell r="Z39">
            <v>0</v>
          </cell>
          <cell r="AA39"/>
          <cell r="AB39" t="str">
            <v>Active - signed</v>
          </cell>
          <cell r="AC39" t="str">
            <v>ACTIVO</v>
          </cell>
          <cell r="AD39"/>
          <cell r="AE39"/>
          <cell r="AF39"/>
          <cell r="AG39"/>
          <cell r="AH39"/>
          <cell r="AI39" t="str">
            <v>53353764C</v>
          </cell>
        </row>
        <row r="40">
          <cell r="A40" t="str">
            <v>22578197V</v>
          </cell>
          <cell r="B40" t="str">
            <v>Alonso Guillén</v>
          </cell>
          <cell r="C40" t="str">
            <v>María Sandra</v>
          </cell>
          <cell r="D40" t="str">
            <v>Alonso Guillén, María Sandra</v>
          </cell>
          <cell r="E40" t="str">
            <v>mariasandra.alonso</v>
          </cell>
          <cell r="F40" t="str">
            <v>mariasandra.alonso@professional.universidadviu.com</v>
          </cell>
          <cell r="G40" t="str">
            <v>Yes</v>
          </cell>
          <cell r="H40" t="str">
            <v>Yes</v>
          </cell>
          <cell r="I40" t="str">
            <v>Licenciatura en Psicología</v>
          </cell>
          <cell r="J40" t="str">
            <v>Master universitario en psicologia juridica</v>
          </cell>
          <cell r="K40" t="str">
            <v>Doctorado en Psicología y Ciencias de la Salud</v>
          </cell>
          <cell r="L40" t="str">
            <v/>
          </cell>
          <cell r="M40" t="str">
            <v>Professional</v>
          </cell>
          <cell r="N40"/>
          <cell r="O40" t="str">
            <v>CSS</v>
          </cell>
          <cell r="P40">
            <v>0</v>
          </cell>
          <cell r="Q40" t="str">
            <v xml:space="preserve"> </v>
          </cell>
          <cell r="R40"/>
          <cell r="S40"/>
          <cell r="T40" t="str">
            <v>Sin reducción</v>
          </cell>
          <cell r="U40">
            <v>0</v>
          </cell>
          <cell r="V40"/>
          <cell r="W40"/>
          <cell r="X40">
            <v>0</v>
          </cell>
          <cell r="Y40">
            <v>0</v>
          </cell>
          <cell r="Z40">
            <v>0</v>
          </cell>
          <cell r="AA40"/>
          <cell r="AB40" t="str">
            <v>Active - signed</v>
          </cell>
          <cell r="AC40" t="str">
            <v>ACTIVO</v>
          </cell>
          <cell r="AD40"/>
          <cell r="AE40"/>
          <cell r="AF40"/>
          <cell r="AG40"/>
          <cell r="AH40"/>
          <cell r="AI40" t="str">
            <v>22578197V</v>
          </cell>
        </row>
        <row r="41">
          <cell r="A41" t="str">
            <v>02094621B</v>
          </cell>
          <cell r="B41" t="str">
            <v>Alonso Riera</v>
          </cell>
          <cell r="C41" t="str">
            <v>María Ángeles</v>
          </cell>
          <cell r="D41" t="str">
            <v>Alonso Riera, María Ángeles</v>
          </cell>
          <cell r="E41" t="str">
            <v>mariaangeles.alonsor</v>
          </cell>
          <cell r="F41" t="str">
            <v>mariaangeles.alonsor@professional.universidadviu.com</v>
          </cell>
          <cell r="G41" t="str">
            <v>Yes</v>
          </cell>
          <cell r="H41" t="str">
            <v>NO</v>
          </cell>
          <cell r="I41" t="str">
            <v>Programa de Doctorado Didáctica de las Lenguas y la Literatura</v>
          </cell>
          <cell r="J41" t="str">
            <v>Diplomada en Nuevas Tecnologías y Educación: multimedia, internet, realidad virtual</v>
          </cell>
          <cell r="K41" t="str">
            <v>Licenciada en Filosofía y Ciencias de la Educación</v>
          </cell>
          <cell r="L41" t="str">
            <v>Especialista en Logopedia</v>
          </cell>
          <cell r="M41" t="str">
            <v>Professional</v>
          </cell>
          <cell r="N41" t="str">
            <v/>
          </cell>
          <cell r="O41" t="str">
            <v>CBS/CSS</v>
          </cell>
          <cell r="P41">
            <v>0</v>
          </cell>
          <cell r="Q41" t="str">
            <v xml:space="preserve"> </v>
          </cell>
          <cell r="R41"/>
          <cell r="S41"/>
          <cell r="T41" t="str">
            <v>Sin reducción</v>
          </cell>
          <cell r="U41">
            <v>0</v>
          </cell>
          <cell r="V41"/>
          <cell r="W41"/>
          <cell r="X41">
            <v>0</v>
          </cell>
          <cell r="Y41">
            <v>0</v>
          </cell>
          <cell r="Z41">
            <v>0</v>
          </cell>
          <cell r="AA41"/>
          <cell r="AB41" t="str">
            <v>Active - signed</v>
          </cell>
          <cell r="AC41" t="str">
            <v>ACTIVO</v>
          </cell>
          <cell r="AD41"/>
          <cell r="AE41"/>
          <cell r="AF41"/>
          <cell r="AG41"/>
          <cell r="AH41"/>
          <cell r="AI41" t="str">
            <v>02094621B</v>
          </cell>
        </row>
        <row r="42">
          <cell r="A42" t="str">
            <v>71943628L</v>
          </cell>
          <cell r="B42" t="str">
            <v>Alonso Sanz</v>
          </cell>
          <cell r="C42" t="str">
            <v>Ángel María</v>
          </cell>
          <cell r="D42" t="str">
            <v>Alonso Sanz, Ángel María</v>
          </cell>
          <cell r="E42" t="str">
            <v>aalonsos@professional.universidadviu.com</v>
          </cell>
          <cell r="F42" t="str">
            <v>aalonsos@professional.universidadviu.com</v>
          </cell>
          <cell r="G42" t="str">
            <v>NO</v>
          </cell>
          <cell r="H42" t="str">
            <v>NO</v>
          </cell>
          <cell r="I42" t="str">
            <v>Licenciado psicología</v>
          </cell>
          <cell r="J42" t="str">
            <v/>
          </cell>
          <cell r="K42" t="str">
            <v/>
          </cell>
          <cell r="L42" t="str">
            <v/>
          </cell>
          <cell r="M42" t="str">
            <v>Professional</v>
          </cell>
          <cell r="N42"/>
          <cell r="O42" t="str">
            <v>CSS</v>
          </cell>
          <cell r="P42"/>
          <cell r="Q42" t="str">
            <v xml:space="preserve"> </v>
          </cell>
          <cell r="R42"/>
          <cell r="S42"/>
          <cell r="T42" t="str">
            <v>Sin reducción</v>
          </cell>
          <cell r="U42">
            <v>0</v>
          </cell>
          <cell r="V42"/>
          <cell r="W42"/>
          <cell r="X42">
            <v>0</v>
          </cell>
          <cell r="Y42">
            <v>0</v>
          </cell>
          <cell r="Z42">
            <v>0</v>
          </cell>
          <cell r="AA42"/>
          <cell r="AB42" t="str">
            <v>Active - signed</v>
          </cell>
          <cell r="AC42" t="str">
            <v>ACTIVO</v>
          </cell>
          <cell r="AD42"/>
          <cell r="AE42"/>
          <cell r="AF42"/>
          <cell r="AG42"/>
          <cell r="AH42"/>
          <cell r="AI42" t="str">
            <v>71943628L</v>
          </cell>
        </row>
        <row r="43">
          <cell r="A43" t="str">
            <v>02630718R</v>
          </cell>
          <cell r="B43" t="str">
            <v>Alonso Vaquerizo</v>
          </cell>
          <cell r="C43" t="str">
            <v>Irene</v>
          </cell>
          <cell r="D43" t="str">
            <v>Alonso Vaquerizo, Irene</v>
          </cell>
          <cell r="E43" t="str">
            <v>ialonsov@professional.universidadviu.com</v>
          </cell>
          <cell r="F43" t="str">
            <v>ialonsov@professional.universidadviu.com</v>
          </cell>
          <cell r="G43" t="str">
            <v>NO</v>
          </cell>
          <cell r="H43" t="str">
            <v>NO</v>
          </cell>
          <cell r="I43" t="str">
            <v>Licenciada en Psicología</v>
          </cell>
          <cell r="J43" t="str">
            <v/>
          </cell>
          <cell r="K43" t="str">
            <v/>
          </cell>
          <cell r="L43" t="str">
            <v/>
          </cell>
          <cell r="M43" t="str">
            <v>Professional</v>
          </cell>
          <cell r="N43"/>
          <cell r="O43" t="str">
            <v>CSS</v>
          </cell>
          <cell r="P43">
            <v>0</v>
          </cell>
          <cell r="Q43" t="str">
            <v xml:space="preserve"> </v>
          </cell>
          <cell r="R43"/>
          <cell r="S43"/>
          <cell r="T43" t="str">
            <v>Sin reducción</v>
          </cell>
          <cell r="U43">
            <v>0</v>
          </cell>
          <cell r="V43"/>
          <cell r="W43"/>
          <cell r="X43">
            <v>0</v>
          </cell>
          <cell r="Y43">
            <v>0</v>
          </cell>
          <cell r="Z43">
            <v>0</v>
          </cell>
          <cell r="AA43"/>
          <cell r="AB43" t="str">
            <v>Active - signed</v>
          </cell>
          <cell r="AC43" t="str">
            <v>ACTIVO</v>
          </cell>
          <cell r="AD43"/>
          <cell r="AE43"/>
          <cell r="AF43"/>
          <cell r="AG43"/>
          <cell r="AH43"/>
          <cell r="AI43" t="str">
            <v>02630718R</v>
          </cell>
        </row>
        <row r="44">
          <cell r="A44" t="str">
            <v>74368051N</v>
          </cell>
          <cell r="B44" t="str">
            <v>Alvarado Muñoz-Quiros</v>
          </cell>
          <cell r="C44" t="str">
            <v>Ayla María</v>
          </cell>
          <cell r="D44" t="str">
            <v>Alvarado Muñoz-Quiros, Ayla María</v>
          </cell>
          <cell r="E44" t="str">
            <v>aylamaria.alvarado</v>
          </cell>
          <cell r="F44" t="str">
            <v>aylamaria.alvarado@professional.universidadviu.com</v>
          </cell>
          <cell r="G44" t="str">
            <v>NO</v>
          </cell>
          <cell r="H44" t="str">
            <v>NO</v>
          </cell>
          <cell r="I44" t="str">
            <v>Enfermería</v>
          </cell>
          <cell r="J44" t="str">
            <v>Master Universitario en Direccion y Gestion de Enfermeria</v>
          </cell>
          <cell r="K44" t="str">
            <v/>
          </cell>
          <cell r="L44" t="str">
            <v/>
          </cell>
          <cell r="M44" t="str">
            <v>Professional</v>
          </cell>
          <cell r="N44" t="str">
            <v/>
          </cell>
          <cell r="O44" t="str">
            <v>CBS</v>
          </cell>
          <cell r="P44">
            <v>0</v>
          </cell>
          <cell r="Q44" t="str">
            <v xml:space="preserve"> </v>
          </cell>
          <cell r="R44"/>
          <cell r="S44"/>
          <cell r="T44" t="str">
            <v>Sin reducción</v>
          </cell>
          <cell r="U44">
            <v>0</v>
          </cell>
          <cell r="V44"/>
          <cell r="W44"/>
          <cell r="X44">
            <v>0</v>
          </cell>
          <cell r="Y44">
            <v>0</v>
          </cell>
          <cell r="Z44">
            <v>0</v>
          </cell>
          <cell r="AA44"/>
          <cell r="AB44" t="str">
            <v>Active - signed</v>
          </cell>
          <cell r="AC44" t="str">
            <v>ACTIVO</v>
          </cell>
          <cell r="AD44"/>
          <cell r="AE44"/>
          <cell r="AF44"/>
          <cell r="AG44"/>
          <cell r="AH44"/>
          <cell r="AI44" t="str">
            <v>74368051N</v>
          </cell>
        </row>
        <row r="45">
          <cell r="A45" t="str">
            <v>47279592X</v>
          </cell>
          <cell r="B45" t="str">
            <v>Alvarenga Capurró</v>
          </cell>
          <cell r="C45" t="str">
            <v>Claudia Beatriz</v>
          </cell>
          <cell r="D45" t="str">
            <v>Alvarenga Capurró, Claudia Beatriz</v>
          </cell>
          <cell r="E45" t="str">
            <v>claudiabeatriz.alvarenga</v>
          </cell>
          <cell r="F45" t="str">
            <v>claudiabeatriz.alvarenga@professional.universidadviu.com</v>
          </cell>
          <cell r="G45" t="str">
            <v>Yes</v>
          </cell>
          <cell r="H45" t="str">
            <v>NO</v>
          </cell>
          <cell r="I45" t="str">
            <v>Psicología</v>
          </cell>
          <cell r="J45" t="str">
            <v>Máster en Iniciación a la Investigación en Percepción, Comunicación y Tiempo</v>
          </cell>
          <cell r="K45" t="str">
            <v>Diploma de Estudios Avanzados en Psicología Básica</v>
          </cell>
          <cell r="L45" t="str">
            <v>Licenciada en Periodismo</v>
          </cell>
          <cell r="M45" t="str">
            <v>Professional</v>
          </cell>
          <cell r="N45" t="str">
            <v/>
          </cell>
          <cell r="O45" t="str">
            <v>CSS</v>
          </cell>
          <cell r="P45">
            <v>0</v>
          </cell>
          <cell r="Q45" t="str">
            <v xml:space="preserve"> </v>
          </cell>
          <cell r="R45"/>
          <cell r="S45"/>
          <cell r="T45" t="str">
            <v>Sin reducción</v>
          </cell>
          <cell r="U45">
            <v>0</v>
          </cell>
          <cell r="V45"/>
          <cell r="W45"/>
          <cell r="X45">
            <v>0</v>
          </cell>
          <cell r="Y45">
            <v>0</v>
          </cell>
          <cell r="Z45">
            <v>0</v>
          </cell>
          <cell r="AA45"/>
          <cell r="AB45" t="str">
            <v>Active - signed</v>
          </cell>
          <cell r="AC45" t="str">
            <v>ACTIVO</v>
          </cell>
          <cell r="AD45"/>
          <cell r="AE45"/>
          <cell r="AF45"/>
          <cell r="AG45"/>
          <cell r="AH45"/>
          <cell r="AI45" t="str">
            <v>47279592X</v>
          </cell>
        </row>
        <row r="46">
          <cell r="A46" t="str">
            <v>77800448G</v>
          </cell>
          <cell r="B46" t="str">
            <v>Álvarez de Toledo Blandon</v>
          </cell>
          <cell r="C46" t="str">
            <v>María de la Paloma</v>
          </cell>
          <cell r="D46" t="str">
            <v>Álvarez de Toledo Blandon, María de la Paloma</v>
          </cell>
          <cell r="E46" t="str">
            <v>paloma.alvareztoledo</v>
          </cell>
          <cell r="F46" t="str">
            <v>paloma.alvareztoledo@professional.universidadviu.com</v>
          </cell>
          <cell r="G46" t="str">
            <v>Yes</v>
          </cell>
          <cell r="H46" t="str">
            <v>NO</v>
          </cell>
          <cell r="I46" t="str">
            <v>Psicología</v>
          </cell>
          <cell r="J46" t="str">
            <v>Máster Universitario en Estudios Avanzados en Cerebro y Conducta</v>
          </cell>
          <cell r="K46" t="str">
            <v>Doctorado Medicina (Línea de Biomedicina)</v>
          </cell>
          <cell r="L46" t="str">
            <v/>
          </cell>
          <cell r="M46" t="str">
            <v>Professional</v>
          </cell>
          <cell r="N46" t="str">
            <v/>
          </cell>
          <cell r="O46" t="str">
            <v>CSS</v>
          </cell>
          <cell r="P46">
            <v>0</v>
          </cell>
          <cell r="Q46" t="str">
            <v xml:space="preserve"> </v>
          </cell>
          <cell r="R46"/>
          <cell r="S46"/>
          <cell r="T46" t="str">
            <v>Sin reducción</v>
          </cell>
          <cell r="U46">
            <v>0</v>
          </cell>
          <cell r="V46"/>
          <cell r="W46"/>
          <cell r="X46">
            <v>0</v>
          </cell>
          <cell r="Y46">
            <v>0</v>
          </cell>
          <cell r="Z46">
            <v>0</v>
          </cell>
          <cell r="AA46"/>
          <cell r="AB46" t="str">
            <v>Active - signed</v>
          </cell>
          <cell r="AC46" t="str">
            <v>ACTIVO</v>
          </cell>
          <cell r="AD46"/>
          <cell r="AE46"/>
          <cell r="AF46"/>
          <cell r="AG46"/>
          <cell r="AH46"/>
          <cell r="AI46" t="str">
            <v>77800448G</v>
          </cell>
        </row>
        <row r="47">
          <cell r="A47" t="str">
            <v>72074957H</v>
          </cell>
          <cell r="B47" t="str">
            <v>Álvarez Ferradas</v>
          </cell>
          <cell r="C47" t="str">
            <v>Carla</v>
          </cell>
          <cell r="D47" t="str">
            <v>Álvarez Ferradas, Carla</v>
          </cell>
          <cell r="E47" t="str">
            <v>calvarezf@professional.universidadviu.com</v>
          </cell>
          <cell r="F47" t="str">
            <v>calvarezf@professional.universidadviu.com</v>
          </cell>
          <cell r="G47" t="str">
            <v>Yes</v>
          </cell>
          <cell r="H47" t="str">
            <v>Yes</v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>Professional</v>
          </cell>
          <cell r="N47"/>
          <cell r="O47" t="str">
            <v>CSS</v>
          </cell>
          <cell r="P47">
            <v>0</v>
          </cell>
          <cell r="Q47" t="str">
            <v xml:space="preserve"> </v>
          </cell>
          <cell r="R47"/>
          <cell r="S47"/>
          <cell r="T47" t="str">
            <v>Sin reducción</v>
          </cell>
          <cell r="U47">
            <v>0</v>
          </cell>
          <cell r="V47"/>
          <cell r="W47"/>
          <cell r="X47">
            <v>0</v>
          </cell>
          <cell r="Y47">
            <v>0</v>
          </cell>
          <cell r="Z47">
            <v>0</v>
          </cell>
          <cell r="AA47"/>
          <cell r="AB47" t="str">
            <v>Active - signed</v>
          </cell>
          <cell r="AC47" t="str">
            <v>ACTIVO</v>
          </cell>
          <cell r="AD47"/>
          <cell r="AE47"/>
          <cell r="AF47"/>
          <cell r="AG47"/>
          <cell r="AH47"/>
          <cell r="AI47" t="str">
            <v>72074957H</v>
          </cell>
        </row>
        <row r="48">
          <cell r="A48">
            <v>63476582</v>
          </cell>
          <cell r="B48" t="str">
            <v>Álvarez Monsalve</v>
          </cell>
          <cell r="C48" t="str">
            <v>Elisa</v>
          </cell>
          <cell r="D48" t="str">
            <v>Álvarez Monsalve, Elisa</v>
          </cell>
          <cell r="E48" t="str">
            <v>elisa.alvarez.m</v>
          </cell>
          <cell r="F48" t="str">
            <v>elisa.alvarez.m@professional.universidadviu.com</v>
          </cell>
          <cell r="G48" t="str">
            <v>NO</v>
          </cell>
          <cell r="H48" t="str">
            <v>NO</v>
          </cell>
          <cell r="I48" t="str">
            <v>Humanidades. Humanismo y persona</v>
          </cell>
          <cell r="J48" t="str">
            <v>Maestría en educación en tecnología</v>
          </cell>
          <cell r="K48" t="str">
            <v>Especialización en gerencia de proyectos educativos institucionales</v>
          </cell>
          <cell r="L48" t="str">
            <v/>
          </cell>
          <cell r="M48" t="str">
            <v>Professional</v>
          </cell>
          <cell r="N48" t="str">
            <v/>
          </cell>
          <cell r="O48" t="str">
            <v>CSS</v>
          </cell>
          <cell r="P48">
            <v>0</v>
          </cell>
          <cell r="Q48" t="str">
            <v xml:space="preserve"> </v>
          </cell>
          <cell r="R48"/>
          <cell r="S48"/>
          <cell r="T48" t="str">
            <v>Sin reducción</v>
          </cell>
          <cell r="U48">
            <v>0</v>
          </cell>
          <cell r="V48"/>
          <cell r="W48"/>
          <cell r="X48">
            <v>0</v>
          </cell>
          <cell r="Y48">
            <v>0</v>
          </cell>
          <cell r="Z48">
            <v>0</v>
          </cell>
          <cell r="AA48"/>
          <cell r="AB48" t="str">
            <v>Active - signed</v>
          </cell>
          <cell r="AC48" t="str">
            <v>ACTIVO</v>
          </cell>
          <cell r="AD48"/>
          <cell r="AE48"/>
          <cell r="AF48"/>
          <cell r="AG48"/>
          <cell r="AH48"/>
          <cell r="AI48">
            <v>63476582</v>
          </cell>
        </row>
        <row r="49">
          <cell r="A49" t="str">
            <v>74743371H</v>
          </cell>
          <cell r="B49" t="str">
            <v>Álvarez Muelas</v>
          </cell>
          <cell r="C49" t="str">
            <v>Ana</v>
          </cell>
          <cell r="D49" t="str">
            <v>Álvarez Muelas, Ana</v>
          </cell>
          <cell r="E49" t="str">
            <v>aalvarezm@professional.universidadviu.com</v>
          </cell>
          <cell r="F49" t="str">
            <v>aalvarezm@professional.universidadviu.com</v>
          </cell>
          <cell r="G49" t="str">
            <v>Yes</v>
          </cell>
          <cell r="H49" t="str">
            <v>Yes</v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>Professional</v>
          </cell>
          <cell r="N49"/>
          <cell r="O49" t="str">
            <v>CSS</v>
          </cell>
          <cell r="P49">
            <v>0</v>
          </cell>
          <cell r="Q49" t="str">
            <v xml:space="preserve"> </v>
          </cell>
          <cell r="R49"/>
          <cell r="S49"/>
          <cell r="T49" t="str">
            <v>Sin reducción</v>
          </cell>
          <cell r="U49">
            <v>0</v>
          </cell>
          <cell r="V49"/>
          <cell r="W49"/>
          <cell r="X49">
            <v>0</v>
          </cell>
          <cell r="Y49">
            <v>0</v>
          </cell>
          <cell r="Z49">
            <v>0</v>
          </cell>
          <cell r="AA49"/>
          <cell r="AB49" t="str">
            <v>Active - signed</v>
          </cell>
          <cell r="AC49" t="str">
            <v>ACTIVO</v>
          </cell>
          <cell r="AD49"/>
          <cell r="AE49"/>
          <cell r="AF49"/>
          <cell r="AG49"/>
          <cell r="AH49"/>
          <cell r="AI49" t="str">
            <v>74743371H</v>
          </cell>
        </row>
        <row r="50">
          <cell r="A50" t="str">
            <v>48596780B</v>
          </cell>
          <cell r="B50" t="str">
            <v>Álvarez-Sala Martín</v>
          </cell>
          <cell r="C50" t="str">
            <v>Andrea</v>
          </cell>
          <cell r="D50" t="str">
            <v>Álvarez-Sala Martín, Andrea</v>
          </cell>
          <cell r="E50" t="str">
            <v>aalvarezsalam@professional.universidadviu.com</v>
          </cell>
          <cell r="F50" t="str">
            <v>aalvarezsalam@professional.universidadviu.com</v>
          </cell>
          <cell r="G50" t="str">
            <v>Yes</v>
          </cell>
          <cell r="H50" t="str">
            <v>Yes</v>
          </cell>
          <cell r="I50" t="str">
            <v>Grado en Ciencia y Tecnología de los Alimentos</v>
          </cell>
          <cell r="J50" t="str">
            <v>Máster Universitario en Calidad  y Seguridad Alimentaria</v>
          </cell>
          <cell r="K50" t="str">
            <v>Doctorado en Ciencias de la Alimentación</v>
          </cell>
          <cell r="L50" t="str">
            <v/>
          </cell>
          <cell r="M50" t="str">
            <v>Professional</v>
          </cell>
          <cell r="N50" t="str">
            <v/>
          </cell>
          <cell r="O50" t="str">
            <v>CBS</v>
          </cell>
          <cell r="P50">
            <v>0</v>
          </cell>
          <cell r="Q50" t="str">
            <v xml:space="preserve"> </v>
          </cell>
          <cell r="R50"/>
          <cell r="S50"/>
          <cell r="T50" t="str">
            <v>Sin reducción</v>
          </cell>
          <cell r="U50">
            <v>0</v>
          </cell>
          <cell r="V50"/>
          <cell r="W50"/>
          <cell r="X50">
            <v>0</v>
          </cell>
          <cell r="Y50">
            <v>0</v>
          </cell>
          <cell r="Z50">
            <v>0</v>
          </cell>
          <cell r="AA50"/>
          <cell r="AB50" t="str">
            <v>Concluded</v>
          </cell>
          <cell r="AC50" t="str">
            <v>NO ACTIVO</v>
          </cell>
          <cell r="AD50"/>
          <cell r="AE50"/>
          <cell r="AF50">
            <v>45804</v>
          </cell>
          <cell r="AG50" t="str">
            <v>CESE DE CONTRATO</v>
          </cell>
          <cell r="AH50"/>
          <cell r="AI50" t="str">
            <v>48596780B</v>
          </cell>
        </row>
        <row r="51">
          <cell r="A51" t="str">
            <v>Y2589177N</v>
          </cell>
          <cell r="B51" t="str">
            <v>Amaoui</v>
          </cell>
          <cell r="C51" t="str">
            <v>Sofia</v>
          </cell>
          <cell r="D51" t="str">
            <v>Amaoui, Sofia</v>
          </cell>
          <cell r="E51" t="str">
            <v>sofia.amaoui</v>
          </cell>
          <cell r="F51" t="str">
            <v>sofia.amaoui@professional.universidadviu.com</v>
          </cell>
          <cell r="G51" t="str">
            <v>Yes</v>
          </cell>
          <cell r="H51" t="str">
            <v>NO</v>
          </cell>
          <cell r="I51" t="str">
            <v>Psicología</v>
          </cell>
          <cell r="J51" t="str">
            <v>Máster Universitario en Psicología General Sanitaria</v>
          </cell>
          <cell r="K51" t="str">
            <v/>
          </cell>
          <cell r="L51" t="str">
            <v/>
          </cell>
          <cell r="M51" t="str">
            <v>Professional</v>
          </cell>
          <cell r="N51" t="str">
            <v/>
          </cell>
          <cell r="O51" t="str">
            <v>CSS</v>
          </cell>
          <cell r="P51">
            <v>0</v>
          </cell>
          <cell r="Q51" t="str">
            <v xml:space="preserve"> </v>
          </cell>
          <cell r="R51"/>
          <cell r="S51"/>
          <cell r="T51" t="str">
            <v>Sin reducción</v>
          </cell>
          <cell r="U51">
            <v>0</v>
          </cell>
          <cell r="V51"/>
          <cell r="W51"/>
          <cell r="X51">
            <v>0</v>
          </cell>
          <cell r="Y51">
            <v>0</v>
          </cell>
          <cell r="Z51">
            <v>0</v>
          </cell>
          <cell r="AA51"/>
          <cell r="AB51" t="str">
            <v>Active - signed</v>
          </cell>
          <cell r="AC51" t="str">
            <v>ACTIVO</v>
          </cell>
          <cell r="AD51"/>
          <cell r="AE51"/>
          <cell r="AF51"/>
          <cell r="AG51"/>
          <cell r="AH51"/>
          <cell r="AI51" t="str">
            <v>Y2589177N</v>
          </cell>
        </row>
        <row r="52">
          <cell r="A52" t="str">
            <v>72742464L</v>
          </cell>
          <cell r="B52" t="str">
            <v>Amezcua Valmala</v>
          </cell>
          <cell r="C52" t="str">
            <v>Nerea</v>
          </cell>
          <cell r="D52" t="str">
            <v>Amezcua Valmala, Nerea</v>
          </cell>
          <cell r="E52" t="str">
            <v>namezcuav@professional.universidadviu.com</v>
          </cell>
          <cell r="F52" t="str">
            <v>namezcuav@professional.universidadviu.com</v>
          </cell>
          <cell r="G52" t="str">
            <v>NO</v>
          </cell>
          <cell r="H52" t="str">
            <v>NO</v>
          </cell>
          <cell r="I52" t="str">
            <v>Doctorado en Psicología</v>
          </cell>
          <cell r="J52" t="str">
            <v>Licenciatura en psicología</v>
          </cell>
          <cell r="K52" t="str">
            <v/>
          </cell>
          <cell r="L52" t="str">
            <v/>
          </cell>
          <cell r="M52" t="str">
            <v>Professional</v>
          </cell>
          <cell r="N52" t="str">
            <v/>
          </cell>
          <cell r="O52" t="str">
            <v>CSS</v>
          </cell>
          <cell r="P52">
            <v>0</v>
          </cell>
          <cell r="Q52" t="str">
            <v xml:space="preserve"> </v>
          </cell>
          <cell r="R52"/>
          <cell r="S52"/>
          <cell r="T52" t="str">
            <v>Sin reducción</v>
          </cell>
          <cell r="U52">
            <v>0</v>
          </cell>
          <cell r="V52"/>
          <cell r="W52"/>
          <cell r="X52">
            <v>0</v>
          </cell>
          <cell r="Y52">
            <v>0</v>
          </cell>
          <cell r="Z52">
            <v>0</v>
          </cell>
          <cell r="AA52"/>
          <cell r="AB52" t="str">
            <v>Active - signed</v>
          </cell>
          <cell r="AC52" t="str">
            <v>ACTIVO</v>
          </cell>
          <cell r="AD52"/>
          <cell r="AE52"/>
          <cell r="AF52"/>
          <cell r="AG52"/>
          <cell r="AH52"/>
          <cell r="AI52" t="str">
            <v>72742464L</v>
          </cell>
        </row>
        <row r="53">
          <cell r="A53" t="str">
            <v>53579329R</v>
          </cell>
          <cell r="B53" t="str">
            <v>Amor González</v>
          </cell>
          <cell r="C53" t="str">
            <v>Antonio Manuel</v>
          </cell>
          <cell r="D53" t="str">
            <v>Amor González, Antonio Manuel</v>
          </cell>
          <cell r="E53" t="str">
            <v>antoniomanuel.amor</v>
          </cell>
          <cell r="F53" t="str">
            <v>antoniomanuel.amor@professional.universidadviu.com</v>
          </cell>
          <cell r="G53" t="str">
            <v>Yes</v>
          </cell>
          <cell r="H53" t="str">
            <v>Yes</v>
          </cell>
          <cell r="I53" t="str">
            <v>Psicología</v>
          </cell>
          <cell r="J53" t="str">
            <v>Máster universitario en Formación del Profesorado de Educación Secundaria Obligatoria, Bachillerato, FP y Enseñanzas de idiomas</v>
          </cell>
          <cell r="K53" t="str">
            <v>Máster universitario en Formación del Profesorado de Educación Secundaria Obligatoria, Bachillerato, FP y Enseñanzas de idiomas</v>
          </cell>
          <cell r="L53" t="str">
            <v/>
          </cell>
          <cell r="M53" t="str">
            <v>Professional</v>
          </cell>
          <cell r="N53" t="str">
            <v/>
          </cell>
          <cell r="O53" t="str">
            <v>CSS</v>
          </cell>
          <cell r="P53">
            <v>0</v>
          </cell>
          <cell r="Q53" t="str">
            <v xml:space="preserve"> </v>
          </cell>
          <cell r="R53"/>
          <cell r="S53"/>
          <cell r="T53" t="str">
            <v>Sin reducción</v>
          </cell>
          <cell r="U53">
            <v>0</v>
          </cell>
          <cell r="V53"/>
          <cell r="W53"/>
          <cell r="X53">
            <v>0</v>
          </cell>
          <cell r="Y53">
            <v>0</v>
          </cell>
          <cell r="Z53">
            <v>0</v>
          </cell>
          <cell r="AA53"/>
          <cell r="AB53" t="str">
            <v>Active - signed</v>
          </cell>
          <cell r="AC53" t="str">
            <v>ACTIVO</v>
          </cell>
          <cell r="AD53"/>
          <cell r="AE53"/>
          <cell r="AF53"/>
          <cell r="AG53"/>
          <cell r="AH53"/>
          <cell r="AI53" t="str">
            <v>53579329R</v>
          </cell>
        </row>
        <row r="54">
          <cell r="A54" t="str">
            <v>Y9117024E</v>
          </cell>
          <cell r="B54" t="str">
            <v>Amores Marreiros</v>
          </cell>
          <cell r="C54" t="str">
            <v>Rubén</v>
          </cell>
          <cell r="D54" t="str">
            <v>Amores Marreiros, Rubén</v>
          </cell>
          <cell r="E54" t="str">
            <v>ramoresm@professional.universidadviu.com</v>
          </cell>
          <cell r="F54" t="str">
            <v>ramoresm@professional.universidadviu.com</v>
          </cell>
          <cell r="G54" t="str">
            <v>NO</v>
          </cell>
          <cell r="H54" t="str">
            <v>NO</v>
          </cell>
          <cell r="I54" t="str">
            <v>Mestrado em Ciências da Educação - Educação e Formação de Adultos</v>
          </cell>
          <cell r="J54" t="str">
            <v>Graducación en Ciencias de la Educación</v>
          </cell>
          <cell r="K54" t="str">
            <v/>
          </cell>
          <cell r="L54" t="str">
            <v/>
          </cell>
          <cell r="M54" t="str">
            <v>Professional</v>
          </cell>
          <cell r="N54"/>
          <cell r="O54" t="str">
            <v>CSS</v>
          </cell>
          <cell r="P54">
            <v>0</v>
          </cell>
          <cell r="Q54" t="str">
            <v xml:space="preserve"> </v>
          </cell>
          <cell r="R54"/>
          <cell r="S54"/>
          <cell r="T54" t="str">
            <v>Sin reducción</v>
          </cell>
          <cell r="U54">
            <v>0</v>
          </cell>
          <cell r="V54"/>
          <cell r="W54"/>
          <cell r="X54">
            <v>0</v>
          </cell>
          <cell r="Y54">
            <v>0</v>
          </cell>
          <cell r="Z54">
            <v>0</v>
          </cell>
          <cell r="AA54"/>
          <cell r="AB54" t="str">
            <v>Active - signed</v>
          </cell>
          <cell r="AC54" t="str">
            <v>ACTIVO</v>
          </cell>
          <cell r="AD54"/>
          <cell r="AE54"/>
          <cell r="AF54"/>
          <cell r="AG54"/>
          <cell r="AH54"/>
          <cell r="AI54" t="str">
            <v>Y9117024E</v>
          </cell>
        </row>
        <row r="55">
          <cell r="A55" t="str">
            <v>18448878A</v>
          </cell>
          <cell r="B55" t="str">
            <v>Andrés Blasco</v>
          </cell>
          <cell r="C55" t="str">
            <v>Irene</v>
          </cell>
          <cell r="D55" t="str">
            <v>Andrés Blasco, Irene</v>
          </cell>
          <cell r="E55" t="str">
            <v>irene.andres0</v>
          </cell>
          <cell r="F55" t="str">
            <v>irene.andres0@professional.universidadviu.com</v>
          </cell>
          <cell r="G55" t="str">
            <v>Yes</v>
          </cell>
          <cell r="H55" t="str">
            <v>NO</v>
          </cell>
          <cell r="I55" t="str">
            <v>Biología y Genética</v>
          </cell>
          <cell r="J55" t="str">
            <v>Doctorado en Biomedicina y Biotecnologia</v>
          </cell>
          <cell r="K55" t="str">
            <v>Master universitario en Biotecnologia biomédica</v>
          </cell>
          <cell r="L55" t="str">
            <v/>
          </cell>
          <cell r="M55" t="str">
            <v>Professional</v>
          </cell>
          <cell r="N55" t="str">
            <v/>
          </cell>
          <cell r="O55" t="str">
            <v>CBS</v>
          </cell>
          <cell r="P55">
            <v>0</v>
          </cell>
          <cell r="Q55" t="str">
            <v xml:space="preserve"> </v>
          </cell>
          <cell r="R55"/>
          <cell r="S55"/>
          <cell r="T55" t="str">
            <v>Sin reducción</v>
          </cell>
          <cell r="U55">
            <v>0</v>
          </cell>
          <cell r="V55"/>
          <cell r="W55"/>
          <cell r="X55">
            <v>0</v>
          </cell>
          <cell r="Y55">
            <v>0</v>
          </cell>
          <cell r="Z55">
            <v>0</v>
          </cell>
          <cell r="AA55"/>
          <cell r="AB55" t="str">
            <v>Active - signed</v>
          </cell>
          <cell r="AC55" t="str">
            <v>ACTIVO</v>
          </cell>
          <cell r="AD55"/>
          <cell r="AE55"/>
          <cell r="AF55"/>
          <cell r="AG55"/>
          <cell r="AH55"/>
          <cell r="AI55" t="str">
            <v>18448878A</v>
          </cell>
        </row>
        <row r="56">
          <cell r="A56" t="str">
            <v>48503496S</v>
          </cell>
          <cell r="B56" t="str">
            <v>Andreu Fernández</v>
          </cell>
          <cell r="C56" t="str">
            <v>Vicente</v>
          </cell>
          <cell r="D56" t="str">
            <v>Andreu Fernández, Vicente</v>
          </cell>
          <cell r="E56" t="str">
            <v>vicente.andreu</v>
          </cell>
          <cell r="F56" t="str">
            <v>vicente.andreu@professor.universidadviu.com</v>
          </cell>
          <cell r="G56" t="str">
            <v>Yes</v>
          </cell>
          <cell r="H56" t="str">
            <v>Yes</v>
          </cell>
          <cell r="I56" t="str">
            <v>Máster Universitario en Investigación en Biología Molecular, Celular y Genética</v>
          </cell>
          <cell r="J56" t="str">
            <v>Programa de doctorado en  Biotecnología</v>
          </cell>
          <cell r="K56" t="str">
            <v>Licenciado en Biología</v>
          </cell>
          <cell r="L56" t="str">
            <v>Licenciado en Bioquímica</v>
          </cell>
          <cell r="M56" t="str">
            <v>Labour</v>
          </cell>
          <cell r="N56" t="str">
            <v>Consultar Vicerrectorado de Investigación</v>
          </cell>
          <cell r="O56" t="str">
            <v>CBS</v>
          </cell>
          <cell r="P56">
            <v>100</v>
          </cell>
          <cell r="Q56" t="str">
            <v>50</v>
          </cell>
          <cell r="R56"/>
          <cell r="S56" t="str">
            <v>2011-2016  2º 2017-2022</v>
          </cell>
          <cell r="T56" t="str">
            <v>Director/a VIU</v>
          </cell>
          <cell r="U56">
            <v>44</v>
          </cell>
          <cell r="V56"/>
          <cell r="W56"/>
          <cell r="X56">
            <v>0</v>
          </cell>
          <cell r="Y56">
            <v>11</v>
          </cell>
          <cell r="Z56">
            <v>0</v>
          </cell>
          <cell r="AA56"/>
          <cell r="AB56" t="str">
            <v>Active - signed</v>
          </cell>
          <cell r="AC56" t="str">
            <v>ACTIVO</v>
          </cell>
          <cell r="AD56"/>
          <cell r="AE56"/>
          <cell r="AF56"/>
          <cell r="AG56"/>
          <cell r="AH56"/>
          <cell r="AI56" t="str">
            <v>48503496S</v>
          </cell>
        </row>
        <row r="57">
          <cell r="A57" t="str">
            <v>48624008F</v>
          </cell>
          <cell r="B57" t="str">
            <v>Antón Blasco</v>
          </cell>
          <cell r="C57" t="str">
            <v>José Antonio</v>
          </cell>
          <cell r="D57" t="str">
            <v>Antón Blasco, José Antonio</v>
          </cell>
          <cell r="E57" t="str">
            <v>jantonb@professional.universidadviu.com</v>
          </cell>
          <cell r="F57" t="str">
            <v>jantonb@professional.universidadviu.com</v>
          </cell>
          <cell r="G57" t="str">
            <v>Yes</v>
          </cell>
          <cell r="H57" t="str">
            <v>NO</v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>Professional</v>
          </cell>
          <cell r="N57"/>
          <cell r="O57" t="str">
            <v>CBS</v>
          </cell>
          <cell r="P57">
            <v>0</v>
          </cell>
          <cell r="Q57" t="str">
            <v xml:space="preserve"> </v>
          </cell>
          <cell r="R57"/>
          <cell r="S57"/>
          <cell r="T57" t="str">
            <v>Sin reducción</v>
          </cell>
          <cell r="U57">
            <v>0</v>
          </cell>
          <cell r="V57"/>
          <cell r="W57"/>
          <cell r="X57">
            <v>0</v>
          </cell>
          <cell r="Y57">
            <v>0</v>
          </cell>
          <cell r="Z57">
            <v>0</v>
          </cell>
          <cell r="AA57"/>
          <cell r="AB57" t="str">
            <v>Active - signed</v>
          </cell>
          <cell r="AC57" t="str">
            <v>ACTIVO</v>
          </cell>
          <cell r="AD57"/>
          <cell r="AE57"/>
          <cell r="AF57"/>
          <cell r="AG57"/>
          <cell r="AH57"/>
          <cell r="AI57" t="str">
            <v>48624008F</v>
          </cell>
        </row>
        <row r="58">
          <cell r="A58" t="str">
            <v>48642579V</v>
          </cell>
          <cell r="B58" t="str">
            <v>Antón Riquelme</v>
          </cell>
          <cell r="C58" t="str">
            <v>Ana Asunción</v>
          </cell>
          <cell r="D58" t="str">
            <v>Antón Riquelme, Ana Asunción</v>
          </cell>
          <cell r="E58" t="str">
            <v>aantonr@professional.universidadviu.com</v>
          </cell>
          <cell r="F58" t="str">
            <v>aantonr@professional.universidadviu.com</v>
          </cell>
          <cell r="G58" t="str">
            <v>NO</v>
          </cell>
          <cell r="H58" t="str">
            <v>NO</v>
          </cell>
          <cell r="I58" t="str">
            <v>Máster en psicología general sanitaria</v>
          </cell>
          <cell r="J58" t="str">
            <v>Licenciatura en psicología</v>
          </cell>
          <cell r="K58" t="str">
            <v/>
          </cell>
          <cell r="L58" t="str">
            <v/>
          </cell>
          <cell r="M58" t="str">
            <v>Professional</v>
          </cell>
          <cell r="N58" t="str">
            <v/>
          </cell>
          <cell r="O58" t="str">
            <v>CSS</v>
          </cell>
          <cell r="P58">
            <v>0</v>
          </cell>
          <cell r="Q58" t="str">
            <v xml:space="preserve"> </v>
          </cell>
          <cell r="R58"/>
          <cell r="S58"/>
          <cell r="T58" t="str">
            <v>Sin reducción</v>
          </cell>
          <cell r="U58">
            <v>0</v>
          </cell>
          <cell r="V58"/>
          <cell r="W58"/>
          <cell r="X58">
            <v>0</v>
          </cell>
          <cell r="Y58">
            <v>0</v>
          </cell>
          <cell r="Z58">
            <v>0</v>
          </cell>
          <cell r="AA58"/>
          <cell r="AB58" t="str">
            <v>Active - signed</v>
          </cell>
          <cell r="AC58" t="str">
            <v>ACTIVO</v>
          </cell>
          <cell r="AD58"/>
          <cell r="AE58"/>
          <cell r="AF58"/>
          <cell r="AG58"/>
          <cell r="AH58"/>
          <cell r="AI58" t="str">
            <v>48642579V</v>
          </cell>
        </row>
        <row r="59">
          <cell r="A59" t="str">
            <v>52498719T</v>
          </cell>
          <cell r="B59" t="str">
            <v>Antón Santiago</v>
          </cell>
          <cell r="C59" t="str">
            <v>Roberto</v>
          </cell>
          <cell r="D59" t="str">
            <v>Antón Santiago, Roberto</v>
          </cell>
          <cell r="E59" t="str">
            <v>roberto.anton</v>
          </cell>
          <cell r="F59" t="str">
            <v>roberto.anton@professor.universidadviu.com</v>
          </cell>
          <cell r="G59" t="str">
            <v>NO</v>
          </cell>
          <cell r="H59" t="str">
            <v>NO</v>
          </cell>
          <cell r="I59" t="str">
            <v>Psicología</v>
          </cell>
          <cell r="J59" t="str">
            <v/>
          </cell>
          <cell r="K59" t="str">
            <v/>
          </cell>
          <cell r="L59" t="str">
            <v/>
          </cell>
          <cell r="M59" t="str">
            <v>Labour</v>
          </cell>
          <cell r="N59" t="str">
            <v>Gómez Martínez, Sandra</v>
          </cell>
          <cell r="O59" t="str">
            <v>CSS</v>
          </cell>
          <cell r="P59">
            <v>50</v>
          </cell>
          <cell r="Q59" t="str">
            <v>38</v>
          </cell>
          <cell r="R59"/>
          <cell r="S59"/>
          <cell r="T59" t="str">
            <v>Sin reducción</v>
          </cell>
          <cell r="U59">
            <v>0</v>
          </cell>
          <cell r="V59"/>
          <cell r="W59"/>
          <cell r="X59">
            <v>38.4</v>
          </cell>
          <cell r="Y59">
            <v>0</v>
          </cell>
          <cell r="Z59">
            <v>0</v>
          </cell>
          <cell r="AA59"/>
          <cell r="AB59" t="str">
            <v>Active - signed</v>
          </cell>
          <cell r="AC59" t="str">
            <v>ACTIVO</v>
          </cell>
          <cell r="AD59"/>
          <cell r="AE59"/>
          <cell r="AF59"/>
          <cell r="AG59"/>
          <cell r="AH59"/>
          <cell r="AI59" t="str">
            <v>52498719T</v>
          </cell>
        </row>
        <row r="60">
          <cell r="A60" t="str">
            <v>71671816K</v>
          </cell>
          <cell r="B60" t="str">
            <v>Aracil Bolaños</v>
          </cell>
          <cell r="C60" t="str">
            <v>Ignacio</v>
          </cell>
          <cell r="D60" t="str">
            <v>Aracil Bolaños, Ignacio</v>
          </cell>
          <cell r="E60" t="str">
            <v>iaracilb@professional.universidadviu.com</v>
          </cell>
          <cell r="F60" t="str">
            <v>iaracilb@professional.universidadviu.com</v>
          </cell>
          <cell r="G60" t="str">
            <v>Yes</v>
          </cell>
          <cell r="H60" t="str">
            <v>NO</v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>Professional</v>
          </cell>
          <cell r="N60"/>
          <cell r="O60" t="str">
            <v>CSS</v>
          </cell>
          <cell r="P60">
            <v>0</v>
          </cell>
          <cell r="Q60" t="str">
            <v xml:space="preserve"> </v>
          </cell>
          <cell r="R60"/>
          <cell r="S60"/>
          <cell r="T60" t="str">
            <v>Sin reducción</v>
          </cell>
          <cell r="U60">
            <v>0</v>
          </cell>
          <cell r="V60"/>
          <cell r="W60"/>
          <cell r="X60">
            <v>0</v>
          </cell>
          <cell r="Y60">
            <v>0</v>
          </cell>
          <cell r="Z60">
            <v>0</v>
          </cell>
          <cell r="AA60"/>
          <cell r="AB60" t="str">
            <v>Active - signed</v>
          </cell>
          <cell r="AC60" t="str">
            <v>ACTIVO</v>
          </cell>
          <cell r="AD60"/>
          <cell r="AE60"/>
          <cell r="AF60"/>
          <cell r="AG60"/>
          <cell r="AH60"/>
          <cell r="AI60" t="str">
            <v>71671816K</v>
          </cell>
        </row>
        <row r="61">
          <cell r="A61" t="str">
            <v>54373245A</v>
          </cell>
          <cell r="B61" t="str">
            <v>Araos Gómez</v>
          </cell>
          <cell r="C61" t="str">
            <v>Pedro Fernando</v>
          </cell>
          <cell r="D61" t="str">
            <v>Araos Gómez, Pedro Fernando</v>
          </cell>
          <cell r="E61" t="str">
            <v>paraosg@professor.universidadviu.com</v>
          </cell>
          <cell r="F61" t="str">
            <v>paraosg@professor.universidadviu.com</v>
          </cell>
          <cell r="G61" t="str">
            <v>Yes</v>
          </cell>
          <cell r="H61" t="str">
            <v>Yes</v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>Labour</v>
          </cell>
          <cell r="N61"/>
          <cell r="O61" t="str">
            <v>CSS</v>
          </cell>
          <cell r="P61">
            <v>100</v>
          </cell>
          <cell r="Q61" t="str">
            <v>50</v>
          </cell>
          <cell r="R61"/>
          <cell r="S61"/>
          <cell r="T61" t="str">
            <v>Sin reducción</v>
          </cell>
          <cell r="U61">
            <v>0</v>
          </cell>
          <cell r="V61"/>
          <cell r="W61"/>
          <cell r="X61">
            <v>0</v>
          </cell>
          <cell r="Y61">
            <v>0</v>
          </cell>
          <cell r="Z61">
            <v>6</v>
          </cell>
          <cell r="AA61"/>
          <cell r="AB61" t="str">
            <v>Active - signed</v>
          </cell>
          <cell r="AC61" t="str">
            <v>ACTIVO</v>
          </cell>
          <cell r="AD61"/>
          <cell r="AE61"/>
          <cell r="AF61">
            <v>46086</v>
          </cell>
          <cell r="AG61" t="str">
            <v>CESE DE CONTRATO</v>
          </cell>
          <cell r="AH61"/>
          <cell r="AI61" t="str">
            <v>54373245A</v>
          </cell>
        </row>
        <row r="62">
          <cell r="A62" t="str">
            <v>01934823V</v>
          </cell>
          <cell r="B62" t="str">
            <v>Aras López</v>
          </cell>
          <cell r="C62" t="str">
            <v>Rosa María</v>
          </cell>
          <cell r="D62" t="str">
            <v>Aras López, Rosa María</v>
          </cell>
          <cell r="E62" t="str">
            <v>rosamaria.aras</v>
          </cell>
          <cell r="F62" t="str">
            <v>rosamaria.aras@professional.universidadviu.com</v>
          </cell>
          <cell r="G62" t="str">
            <v>Yes</v>
          </cell>
          <cell r="H62" t="str">
            <v>NO</v>
          </cell>
          <cell r="I62" t="str">
            <v>Biología y Genética</v>
          </cell>
          <cell r="J62" t="str">
            <v>Fisiología</v>
          </cell>
          <cell r="K62" t="str">
            <v/>
          </cell>
          <cell r="L62" t="str">
            <v/>
          </cell>
          <cell r="M62" t="str">
            <v>Professional</v>
          </cell>
          <cell r="N62" t="str">
            <v/>
          </cell>
          <cell r="O62" t="str">
            <v>CBS</v>
          </cell>
          <cell r="P62">
            <v>0</v>
          </cell>
          <cell r="Q62" t="str">
            <v xml:space="preserve"> </v>
          </cell>
          <cell r="R62"/>
          <cell r="S62"/>
          <cell r="T62" t="str">
            <v>Sin reducción</v>
          </cell>
          <cell r="U62">
            <v>0</v>
          </cell>
          <cell r="V62"/>
          <cell r="W62"/>
          <cell r="X62">
            <v>0</v>
          </cell>
          <cell r="Y62">
            <v>0</v>
          </cell>
          <cell r="Z62">
            <v>0</v>
          </cell>
          <cell r="AA62"/>
          <cell r="AB62" t="str">
            <v>Active - signed</v>
          </cell>
          <cell r="AC62" t="str">
            <v>ACTIVO</v>
          </cell>
          <cell r="AD62"/>
          <cell r="AE62"/>
          <cell r="AF62"/>
          <cell r="AG62"/>
          <cell r="AH62"/>
          <cell r="AI62" t="str">
            <v>01934823V</v>
          </cell>
        </row>
        <row r="63">
          <cell r="A63" t="str">
            <v>29208833Y</v>
          </cell>
          <cell r="B63" t="str">
            <v>Arce Recatalá</v>
          </cell>
          <cell r="C63" t="str">
            <v>Cristina</v>
          </cell>
          <cell r="D63" t="str">
            <v>Arce Recatalá, Cristina</v>
          </cell>
          <cell r="E63" t="str">
            <v>cristina.arce</v>
          </cell>
          <cell r="F63" t="str">
            <v>cristina.arce@professor.universidadviu.com</v>
          </cell>
          <cell r="G63" t="str">
            <v>Yes</v>
          </cell>
          <cell r="H63" t="str">
            <v>Yes</v>
          </cell>
          <cell r="I63" t="str">
            <v>Farmacia</v>
          </cell>
          <cell r="J63" t="str">
            <v>Programa Oficial de Doctorado en Biomedicina y Farmacia</v>
          </cell>
          <cell r="K63" t="str">
            <v/>
          </cell>
          <cell r="L63" t="str">
            <v/>
          </cell>
          <cell r="M63" t="str">
            <v>Labour</v>
          </cell>
          <cell r="N63" t="str">
            <v>Vila Candel, Rafael</v>
          </cell>
          <cell r="O63" t="str">
            <v>CBS</v>
          </cell>
          <cell r="P63">
            <v>100</v>
          </cell>
          <cell r="Q63" t="str">
            <v>50</v>
          </cell>
          <cell r="R63"/>
          <cell r="S63"/>
          <cell r="T63" t="str">
            <v>Sin reducción</v>
          </cell>
          <cell r="U63">
            <v>0</v>
          </cell>
          <cell r="V63">
            <v>1</v>
          </cell>
          <cell r="W63" t="str">
            <v>ESCUELA</v>
          </cell>
          <cell r="X63">
            <v>0</v>
          </cell>
          <cell r="Y63">
            <v>3.7</v>
          </cell>
          <cell r="Z63">
            <v>0</v>
          </cell>
          <cell r="AA63"/>
          <cell r="AB63" t="str">
            <v>Active - signed</v>
          </cell>
          <cell r="AC63" t="str">
            <v>NO ACTIVO</v>
          </cell>
          <cell r="AD63"/>
          <cell r="AE63"/>
          <cell r="AF63">
            <v>45701</v>
          </cell>
          <cell r="AG63" t="str">
            <v>CESE DE CONTRATO</v>
          </cell>
          <cell r="AH63"/>
          <cell r="AI63" t="str">
            <v>29208833Y</v>
          </cell>
        </row>
        <row r="64">
          <cell r="A64" t="str">
            <v>39384262M</v>
          </cell>
          <cell r="B64" t="str">
            <v>Argudo Palacios</v>
          </cell>
          <cell r="C64" t="str">
            <v>Aarón</v>
          </cell>
          <cell r="D64" t="str">
            <v>Argudo Palacios, Aarón</v>
          </cell>
          <cell r="E64" t="str">
            <v>aaron.argudo@professional.universidadviu.com</v>
          </cell>
          <cell r="F64" t="str">
            <v>aaron.argudo@professional.universidadviu.com</v>
          </cell>
          <cell r="G64" t="str">
            <v>Yes</v>
          </cell>
          <cell r="H64" t="str">
            <v>NO</v>
          </cell>
          <cell r="I64" t="str">
            <v>MÁSTER UNIVERSITARIO EN FORMACIÓN DEL PROFESORADO DE EDUCACIÓN SECUNDARIA OBLIGATORIA, BACHILLERATO, FORMACIÓN PROFESIONAL Y ENSEÑANZA DE IDIOMAS</v>
          </cell>
          <cell r="J64" t="str">
            <v>Máster de Psicología General Sanitaria</v>
          </cell>
          <cell r="K64" t="str">
            <v/>
          </cell>
          <cell r="L64" t="str">
            <v/>
          </cell>
          <cell r="M64" t="str">
            <v>Professional</v>
          </cell>
          <cell r="N64" t="str">
            <v/>
          </cell>
          <cell r="O64" t="str">
            <v>CSS</v>
          </cell>
          <cell r="P64">
            <v>0</v>
          </cell>
          <cell r="Q64" t="str">
            <v xml:space="preserve"> </v>
          </cell>
          <cell r="R64"/>
          <cell r="S64"/>
          <cell r="T64" t="str">
            <v>Sin reducción</v>
          </cell>
          <cell r="U64">
            <v>0</v>
          </cell>
          <cell r="V64"/>
          <cell r="W64"/>
          <cell r="X64">
            <v>0</v>
          </cell>
          <cell r="Y64">
            <v>0</v>
          </cell>
          <cell r="Z64">
            <v>0</v>
          </cell>
          <cell r="AA64"/>
          <cell r="AB64" t="str">
            <v>Active - signed</v>
          </cell>
          <cell r="AC64" t="str">
            <v>ACTIVO</v>
          </cell>
          <cell r="AD64"/>
          <cell r="AE64"/>
          <cell r="AF64"/>
          <cell r="AG64"/>
          <cell r="AH64"/>
          <cell r="AI64" t="str">
            <v>39384262M</v>
          </cell>
        </row>
        <row r="65">
          <cell r="A65" t="str">
            <v>Y5811436V</v>
          </cell>
          <cell r="B65" t="str">
            <v>Argyropulou</v>
          </cell>
          <cell r="C65" t="str">
            <v>Vasiliki</v>
          </cell>
          <cell r="D65" t="str">
            <v>Argyropulou, Vasiliki</v>
          </cell>
          <cell r="E65" t="str">
            <v>vargyropulou@professor.universidadviu.com</v>
          </cell>
          <cell r="F65" t="str">
            <v>vargyropulou@professor.universidadviu.com</v>
          </cell>
          <cell r="G65" t="str">
            <v>Yes</v>
          </cell>
          <cell r="H65" t="str">
            <v>NO</v>
          </cell>
          <cell r="I65" t="str">
            <v>Doctorado en Psicología</v>
          </cell>
          <cell r="J65" t="str">
            <v>Máster en Psicogerontología</v>
          </cell>
          <cell r="K65" t="str">
            <v/>
          </cell>
          <cell r="L65" t="str">
            <v/>
          </cell>
          <cell r="M65" t="str">
            <v>Labour</v>
          </cell>
          <cell r="N65" t="str">
            <v>Mateu Mollá, Joaquín</v>
          </cell>
          <cell r="O65" t="str">
            <v>CSS</v>
          </cell>
          <cell r="P65">
            <v>100</v>
          </cell>
          <cell r="Q65" t="str">
            <v>50</v>
          </cell>
          <cell r="R65"/>
          <cell r="S65"/>
          <cell r="T65" t="str">
            <v>Sin reducción</v>
          </cell>
          <cell r="U65">
            <v>0</v>
          </cell>
          <cell r="V65"/>
          <cell r="W65"/>
          <cell r="X65">
            <v>0</v>
          </cell>
          <cell r="Y65">
            <v>0</v>
          </cell>
          <cell r="Z65">
            <v>0</v>
          </cell>
          <cell r="AA65"/>
          <cell r="AB65" t="str">
            <v>Concluded</v>
          </cell>
          <cell r="AC65" t="str">
            <v>NO ACTIVO</v>
          </cell>
          <cell r="AD65"/>
          <cell r="AE65"/>
          <cell r="AF65">
            <v>45909</v>
          </cell>
          <cell r="AG65" t="str">
            <v>CESE DE CONTRATO</v>
          </cell>
          <cell r="AH65"/>
          <cell r="AI65" t="str">
            <v>Y5811436V</v>
          </cell>
        </row>
        <row r="66">
          <cell r="A66" t="str">
            <v>49018430W</v>
          </cell>
          <cell r="B66" t="str">
            <v>Arias de la Cruz</v>
          </cell>
          <cell r="C66" t="str">
            <v>Sonia</v>
          </cell>
          <cell r="D66" t="str">
            <v>Arias de la Cruz, Sonia</v>
          </cell>
          <cell r="E66" t="str">
            <v>sonia.arias</v>
          </cell>
          <cell r="F66" t="str">
            <v>sonia.arias@professional.universidadviu.com</v>
          </cell>
          <cell r="G66" t="str">
            <v>NO</v>
          </cell>
          <cell r="H66" t="str">
            <v>NO</v>
          </cell>
          <cell r="I66" t="str">
            <v>Licenciatura en Derecho</v>
          </cell>
          <cell r="J66" t="str">
            <v>Máster Universitario en Derechos Fundamentales y Libertades Públicas</v>
          </cell>
          <cell r="K66" t="str">
            <v/>
          </cell>
          <cell r="L66" t="str">
            <v/>
          </cell>
          <cell r="M66" t="str">
            <v>Professional</v>
          </cell>
          <cell r="N66" t="str">
            <v/>
          </cell>
          <cell r="O66" t="str">
            <v>CSS</v>
          </cell>
          <cell r="P66">
            <v>0</v>
          </cell>
          <cell r="Q66" t="str">
            <v xml:space="preserve"> </v>
          </cell>
          <cell r="R66"/>
          <cell r="S66"/>
          <cell r="T66" t="str">
            <v>Sin reducción</v>
          </cell>
          <cell r="U66">
            <v>0</v>
          </cell>
          <cell r="V66"/>
          <cell r="W66"/>
          <cell r="X66">
            <v>0</v>
          </cell>
          <cell r="Y66">
            <v>0</v>
          </cell>
          <cell r="Z66">
            <v>0</v>
          </cell>
          <cell r="AA66"/>
          <cell r="AB66" t="str">
            <v>Active - signed</v>
          </cell>
          <cell r="AC66" t="str">
            <v>ACTIVO</v>
          </cell>
          <cell r="AD66"/>
          <cell r="AE66"/>
          <cell r="AF66"/>
          <cell r="AG66"/>
          <cell r="AH66"/>
          <cell r="AI66" t="str">
            <v>49018430W</v>
          </cell>
        </row>
        <row r="67">
          <cell r="A67" t="str">
            <v>76944585V</v>
          </cell>
          <cell r="B67" t="str">
            <v>Arias Martínez</v>
          </cell>
          <cell r="C67" t="str">
            <v>Esther</v>
          </cell>
          <cell r="D67" t="str">
            <v>Arias Martínez, Esther</v>
          </cell>
          <cell r="E67" t="str">
            <v>esther.arias</v>
          </cell>
          <cell r="F67"/>
          <cell r="G67" t="str">
            <v>Yes</v>
          </cell>
          <cell r="H67" t="str">
            <v>NO</v>
          </cell>
          <cell r="I67" t="str">
            <v>Programa de Doctorado en Psicología del Trabajo y las Organizaciones, Jurídica-Forense y del Consumidor y Usuario</v>
          </cell>
          <cell r="J67" t="str">
            <v>Programa de Doctorado en Psicología del Trabajo y las Organizaciones, Jurídica-Forense y del Consumidor y Usuario</v>
          </cell>
          <cell r="K67" t="str">
            <v>Licenciada en Psicología</v>
          </cell>
          <cell r="L67" t="str">
            <v xml:space="preserve">Máster Universitario en Psicología del Trabajo y de las Organizaciones, Psicología Jurídica-Forense e Intervención Social </v>
          </cell>
          <cell r="M67" t="str">
            <v>Labour</v>
          </cell>
          <cell r="N67"/>
          <cell r="O67" t="str">
            <v>CSS</v>
          </cell>
          <cell r="P67" t="str">
            <v>24,00</v>
          </cell>
          <cell r="Q67" t="b">
            <v>0</v>
          </cell>
          <cell r="R67"/>
          <cell r="S67"/>
          <cell r="T67" t="str">
            <v>Sin reducción</v>
          </cell>
          <cell r="U67">
            <v>0</v>
          </cell>
          <cell r="V67"/>
          <cell r="W67"/>
          <cell r="X67">
            <v>0</v>
          </cell>
          <cell r="Y67">
            <v>0</v>
          </cell>
          <cell r="Z67">
            <v>0</v>
          </cell>
          <cell r="AA67"/>
          <cell r="AB67" t="str">
            <v>Concluded</v>
          </cell>
          <cell r="AC67" t="str">
            <v>NO ACTIVO</v>
          </cell>
          <cell r="AD67"/>
          <cell r="AE67"/>
          <cell r="AF67">
            <v>45096</v>
          </cell>
          <cell r="AG67" t="str">
            <v>CESE DE CONTRATO</v>
          </cell>
          <cell r="AH67"/>
          <cell r="AI67" t="str">
            <v>76944585V</v>
          </cell>
        </row>
        <row r="68">
          <cell r="A68" t="str">
            <v>18979252C</v>
          </cell>
          <cell r="B68" t="str">
            <v>Arnau Paltor</v>
          </cell>
          <cell r="C68" t="str">
            <v>Pablo</v>
          </cell>
          <cell r="D68" t="str">
            <v>Arnau Paltor, Pablo</v>
          </cell>
          <cell r="E68" t="e">
            <v>#VALUE!</v>
          </cell>
          <cell r="F68" t="str">
            <v>pablo.arnau@professor.universidadviu.com</v>
          </cell>
          <cell r="G68" t="e">
            <v>#VALUE!</v>
          </cell>
          <cell r="H68" t="e">
            <v>#VALUE!</v>
          </cell>
          <cell r="I68" t="str">
            <v>Licenciado en Filosofía y Ciencias de la Educación</v>
          </cell>
          <cell r="J68" t="str">
            <v>Programa de doctorado Ontología y conocimiento</v>
          </cell>
          <cell r="K68" t="str">
            <v/>
          </cell>
          <cell r="L68" t="str">
            <v/>
          </cell>
          <cell r="M68" t="e">
            <v>#VALUE!</v>
          </cell>
          <cell r="N68" t="str">
            <v>Consultar a Facultad de Educación</v>
          </cell>
          <cell r="O68" t="str">
            <v>CBS</v>
          </cell>
          <cell r="P68" t="str">
            <v xml:space="preserve"> </v>
          </cell>
          <cell r="Q68" t="b">
            <v>0</v>
          </cell>
          <cell r="R68"/>
          <cell r="S68"/>
          <cell r="T68" t="str">
            <v>Sin reducción</v>
          </cell>
          <cell r="U68">
            <v>0</v>
          </cell>
          <cell r="V68">
            <v>22</v>
          </cell>
          <cell r="W68" t="str">
            <v>EDUCACIÓN</v>
          </cell>
          <cell r="X68">
            <v>0</v>
          </cell>
          <cell r="Y68">
            <v>4.1999999999999993</v>
          </cell>
          <cell r="Z68">
            <v>0</v>
          </cell>
          <cell r="AA68"/>
          <cell r="AB68" t="e">
            <v>#VALUE!</v>
          </cell>
          <cell r="AC68" t="str">
            <v>NO ACTIVO</v>
          </cell>
          <cell r="AD68"/>
          <cell r="AE68"/>
          <cell r="AF68">
            <v>46024</v>
          </cell>
          <cell r="AG68" t="str">
            <v>CESE DE CONTRATO</v>
          </cell>
          <cell r="AH68" t="str">
            <v>no sabemos fecha fin</v>
          </cell>
          <cell r="AI68" t="str">
            <v>18979252C</v>
          </cell>
        </row>
        <row r="69">
          <cell r="A69" t="str">
            <v>Y3840265S</v>
          </cell>
          <cell r="B69" t="str">
            <v>Arredondo Koriat</v>
          </cell>
          <cell r="C69" t="str">
            <v>Arantxa Yagoda</v>
          </cell>
          <cell r="D69" t="str">
            <v>Arredondo Koriat, Arantxa Yagoda</v>
          </cell>
          <cell r="E69" t="str">
            <v>aarredondok@professional.universidadviu.com</v>
          </cell>
          <cell r="F69" t="str">
            <v>aarredondok@professional.universidadviu.com</v>
          </cell>
          <cell r="G69" t="str">
            <v>Yes</v>
          </cell>
          <cell r="H69" t="str">
            <v>NO</v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>Professional</v>
          </cell>
          <cell r="N69"/>
          <cell r="O69" t="str">
            <v>CSS</v>
          </cell>
          <cell r="P69">
            <v>0</v>
          </cell>
          <cell r="Q69" t="str">
            <v xml:space="preserve"> </v>
          </cell>
          <cell r="R69"/>
          <cell r="S69"/>
          <cell r="T69" t="str">
            <v>Sin reducción</v>
          </cell>
          <cell r="U69">
            <v>0</v>
          </cell>
          <cell r="V69"/>
          <cell r="W69"/>
          <cell r="X69">
            <v>0</v>
          </cell>
          <cell r="Y69">
            <v>0</v>
          </cell>
          <cell r="Z69">
            <v>0</v>
          </cell>
          <cell r="AA69"/>
          <cell r="AB69" t="str">
            <v>Active - signed</v>
          </cell>
          <cell r="AC69" t="str">
            <v>ACTIVO</v>
          </cell>
          <cell r="AD69"/>
          <cell r="AE69"/>
          <cell r="AF69"/>
          <cell r="AG69"/>
          <cell r="AH69"/>
          <cell r="AI69" t="str">
            <v>Y3840265S</v>
          </cell>
        </row>
        <row r="70">
          <cell r="A70" t="str">
            <v>53565371G</v>
          </cell>
          <cell r="B70" t="str">
            <v>Arribas Guerrero</v>
          </cell>
          <cell r="C70" t="str">
            <v>Juan</v>
          </cell>
          <cell r="D70" t="str">
            <v>Arribas Guerrero, Juan</v>
          </cell>
          <cell r="E70" t="str">
            <v>jarribasg@professional.universidadviu.com</v>
          </cell>
          <cell r="F70" t="str">
            <v>jarribasg@professional.universidadviu.com</v>
          </cell>
          <cell r="G70" t="str">
            <v>NO</v>
          </cell>
          <cell r="H70" t="str">
            <v>NO</v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>Professional</v>
          </cell>
          <cell r="N70"/>
          <cell r="O70" t="str">
            <v>CBS</v>
          </cell>
          <cell r="P70">
            <v>0</v>
          </cell>
          <cell r="Q70" t="str">
            <v xml:space="preserve"> </v>
          </cell>
          <cell r="R70"/>
          <cell r="S70"/>
          <cell r="T70" t="str">
            <v>Sin reducción</v>
          </cell>
          <cell r="U70">
            <v>0</v>
          </cell>
          <cell r="V70"/>
          <cell r="W70"/>
          <cell r="X70">
            <v>0</v>
          </cell>
          <cell r="Y70">
            <v>0</v>
          </cell>
          <cell r="Z70">
            <v>0</v>
          </cell>
          <cell r="AA70"/>
          <cell r="AB70" t="str">
            <v>Active - signed</v>
          </cell>
          <cell r="AC70" t="str">
            <v>ACTIVO</v>
          </cell>
          <cell r="AD70"/>
          <cell r="AE70"/>
          <cell r="AF70"/>
          <cell r="AG70"/>
          <cell r="AH70"/>
          <cell r="AI70" t="str">
            <v>53565371G</v>
          </cell>
        </row>
        <row r="71">
          <cell r="A71" t="str">
            <v>Y1563513X</v>
          </cell>
          <cell r="B71" t="str">
            <v>Arrigoni</v>
          </cell>
          <cell r="C71" t="str">
            <v>Flavia Susana</v>
          </cell>
          <cell r="D71" t="str">
            <v>Arrigoni, Flavia Susana</v>
          </cell>
          <cell r="E71" t="str">
            <v>flaviasusana.arrigoni</v>
          </cell>
          <cell r="F71" t="str">
            <v>flaviasusana.arrigoni@professional.universidadviu.com</v>
          </cell>
          <cell r="G71" t="str">
            <v>Yes</v>
          </cell>
          <cell r="H71" t="str">
            <v>NO</v>
          </cell>
          <cell r="I71" t="str">
            <v>Doctorado Ciencias de la Salud</v>
          </cell>
          <cell r="J71" t="str">
            <v>Master Universitario en Intervención Psicológica en Contextos de Riesgo</v>
          </cell>
          <cell r="K71" t="str">
            <v>Licenciada en Psicología</v>
          </cell>
          <cell r="L71" t="str">
            <v/>
          </cell>
          <cell r="M71" t="str">
            <v>Professional</v>
          </cell>
          <cell r="N71" t="str">
            <v/>
          </cell>
          <cell r="O71" t="str">
            <v>CSS</v>
          </cell>
          <cell r="P71">
            <v>0</v>
          </cell>
          <cell r="Q71" t="str">
            <v xml:space="preserve"> </v>
          </cell>
          <cell r="R71"/>
          <cell r="S71"/>
          <cell r="T71" t="str">
            <v>Sin reducción</v>
          </cell>
          <cell r="U71">
            <v>0</v>
          </cell>
          <cell r="V71"/>
          <cell r="W71"/>
          <cell r="X71">
            <v>0</v>
          </cell>
          <cell r="Y71">
            <v>0</v>
          </cell>
          <cell r="Z71">
            <v>0</v>
          </cell>
          <cell r="AA71"/>
          <cell r="AB71" t="str">
            <v>Concluded</v>
          </cell>
          <cell r="AC71" t="str">
            <v>ACTIVO</v>
          </cell>
          <cell r="AD71"/>
          <cell r="AE71"/>
          <cell r="AF71"/>
          <cell r="AG71"/>
          <cell r="AH71"/>
          <cell r="AI71" t="str">
            <v>Y1563513X</v>
          </cell>
        </row>
        <row r="72">
          <cell r="A72" t="str">
            <v>EC1757151954001</v>
          </cell>
          <cell r="B72" t="str">
            <v>Arrivillaga Henríquez</v>
          </cell>
          <cell r="C72" t="str">
            <v>Jazzmin Celeste</v>
          </cell>
          <cell r="D72" t="str">
            <v>Arrivillaga Henríquez, Jazzmin Celeste</v>
          </cell>
          <cell r="E72" t="str">
            <v>jarrivillagah@professional.universidadviu.com</v>
          </cell>
          <cell r="F72" t="str">
            <v>jarrivillagah@professional.universidadviu.com</v>
          </cell>
          <cell r="G72" t="str">
            <v>NO</v>
          </cell>
          <cell r="H72" t="str">
            <v>NO</v>
          </cell>
          <cell r="I72" t="str">
            <v>Magister en Entomología en Salud Pública</v>
          </cell>
          <cell r="J72" t="str">
            <v>Doctor en Ciencias, Mención Entomología</v>
          </cell>
          <cell r="K72" t="str">
            <v/>
          </cell>
          <cell r="L72" t="str">
            <v/>
          </cell>
          <cell r="M72" t="str">
            <v>Professional</v>
          </cell>
          <cell r="N72" t="str">
            <v/>
          </cell>
          <cell r="O72" t="str">
            <v>CBS</v>
          </cell>
          <cell r="P72">
            <v>0</v>
          </cell>
          <cell r="Q72" t="str">
            <v xml:space="preserve"> </v>
          </cell>
          <cell r="R72"/>
          <cell r="S72"/>
          <cell r="T72" t="str">
            <v>Sin reducción</v>
          </cell>
          <cell r="U72">
            <v>0</v>
          </cell>
          <cell r="V72"/>
          <cell r="W72"/>
          <cell r="X72">
            <v>0</v>
          </cell>
          <cell r="Y72">
            <v>0</v>
          </cell>
          <cell r="Z72">
            <v>0</v>
          </cell>
          <cell r="AA72"/>
          <cell r="AB72" t="str">
            <v>Active - signed</v>
          </cell>
          <cell r="AC72" t="str">
            <v>ACTIVO</v>
          </cell>
          <cell r="AD72"/>
          <cell r="AE72"/>
          <cell r="AF72"/>
          <cell r="AG72"/>
          <cell r="AH72"/>
          <cell r="AI72" t="str">
            <v>EC1757151954001</v>
          </cell>
        </row>
        <row r="73">
          <cell r="A73" t="str">
            <v>AOAA800119F93</v>
          </cell>
          <cell r="B73" t="str">
            <v>Arrona Altamirano</v>
          </cell>
          <cell r="C73" t="str">
            <v>Alhelí de la Aurora</v>
          </cell>
          <cell r="D73" t="str">
            <v>Arrona Altamirano, Alhelí de la Aurora</v>
          </cell>
          <cell r="E73" t="str">
            <v>alhelidelaaurora.arrona</v>
          </cell>
          <cell r="F73" t="str">
            <v>alhelidelaaurora.arrona@professional.universidadviu.com</v>
          </cell>
          <cell r="G73" t="str">
            <v>Yes</v>
          </cell>
          <cell r="H73" t="str">
            <v>NO</v>
          </cell>
          <cell r="I73" t="str">
            <v>Doctorado interuniversitario en psicología de la educación</v>
          </cell>
          <cell r="J73" t="str">
            <v>Licenciada</v>
          </cell>
          <cell r="K73" t="str">
            <v/>
          </cell>
          <cell r="L73" t="str">
            <v/>
          </cell>
          <cell r="M73" t="str">
            <v>Professional</v>
          </cell>
          <cell r="N73"/>
          <cell r="O73" t="str">
            <v>CSS</v>
          </cell>
          <cell r="P73">
            <v>0</v>
          </cell>
          <cell r="Q73" t="str">
            <v xml:space="preserve"> </v>
          </cell>
          <cell r="R73"/>
          <cell r="S73"/>
          <cell r="T73" t="str">
            <v>Sin reducción</v>
          </cell>
          <cell r="U73">
            <v>0</v>
          </cell>
          <cell r="V73"/>
          <cell r="W73"/>
          <cell r="X73">
            <v>0</v>
          </cell>
          <cell r="Y73">
            <v>0</v>
          </cell>
          <cell r="Z73">
            <v>0</v>
          </cell>
          <cell r="AA73"/>
          <cell r="AB73" t="str">
            <v>Active - signed</v>
          </cell>
          <cell r="AC73" t="str">
            <v>ACTIVO</v>
          </cell>
          <cell r="AD73"/>
          <cell r="AE73"/>
          <cell r="AF73"/>
          <cell r="AG73"/>
          <cell r="AH73"/>
          <cell r="AI73" t="str">
            <v>AOAA800119F93</v>
          </cell>
        </row>
        <row r="74">
          <cell r="A74" t="str">
            <v>16601703G</v>
          </cell>
          <cell r="B74" t="str">
            <v>Arroyo San Millán</v>
          </cell>
          <cell r="C74" t="str">
            <v>Marta</v>
          </cell>
          <cell r="D74" t="str">
            <v>Arroyo San Millán, Marta</v>
          </cell>
          <cell r="E74" t="str">
            <v>marroyos@professional.universidadviu.com</v>
          </cell>
          <cell r="F74" t="str">
            <v>marroyos@professional.universidadviu.com</v>
          </cell>
          <cell r="G74" t="str">
            <v>NO</v>
          </cell>
          <cell r="H74" t="str">
            <v>NO</v>
          </cell>
          <cell r="I74" t="str">
            <v>Master Universitario General Sanitario</v>
          </cell>
          <cell r="J74" t="str">
            <v>Licencia en Psicología</v>
          </cell>
          <cell r="K74" t="str">
            <v/>
          </cell>
          <cell r="L74" t="str">
            <v/>
          </cell>
          <cell r="M74" t="str">
            <v>Professional</v>
          </cell>
          <cell r="N74" t="str">
            <v/>
          </cell>
          <cell r="O74" t="str">
            <v>CSS</v>
          </cell>
          <cell r="P74">
            <v>0</v>
          </cell>
          <cell r="Q74" t="str">
            <v xml:space="preserve"> </v>
          </cell>
          <cell r="R74"/>
          <cell r="S74"/>
          <cell r="T74" t="str">
            <v>Sin reducción</v>
          </cell>
          <cell r="U74">
            <v>0</v>
          </cell>
          <cell r="V74"/>
          <cell r="W74"/>
          <cell r="X74">
            <v>0</v>
          </cell>
          <cell r="Y74">
            <v>0</v>
          </cell>
          <cell r="Z74">
            <v>0</v>
          </cell>
          <cell r="AA74"/>
          <cell r="AB74" t="str">
            <v>Active - signed</v>
          </cell>
          <cell r="AC74" t="str">
            <v>ACTIVO</v>
          </cell>
          <cell r="AD74"/>
          <cell r="AE74"/>
          <cell r="AF74"/>
          <cell r="AG74"/>
          <cell r="AH74"/>
          <cell r="AI74" t="str">
            <v>16601703G</v>
          </cell>
        </row>
        <row r="75">
          <cell r="A75" t="str">
            <v>47901853Y</v>
          </cell>
          <cell r="B75" t="str">
            <v>Arumí Trujillo</v>
          </cell>
          <cell r="C75" t="str">
            <v>Clàudia</v>
          </cell>
          <cell r="D75" t="str">
            <v>Arumí Trujillo, Clàudia</v>
          </cell>
          <cell r="E75" t="str">
            <v>carumit@professional.universidadviu.com</v>
          </cell>
          <cell r="F75" t="str">
            <v>carumit@professional.universidadviu.com</v>
          </cell>
          <cell r="G75" t="str">
            <v>NO</v>
          </cell>
          <cell r="H75" t="str">
            <v>NO</v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>Professional</v>
          </cell>
          <cell r="N75" t="str">
            <v/>
          </cell>
          <cell r="O75" t="str">
            <v>CBS</v>
          </cell>
          <cell r="P75">
            <v>0</v>
          </cell>
          <cell r="Q75" t="str">
            <v xml:space="preserve"> </v>
          </cell>
          <cell r="R75"/>
          <cell r="S75"/>
          <cell r="T75" t="str">
            <v>Sin reducción</v>
          </cell>
          <cell r="U75">
            <v>0</v>
          </cell>
          <cell r="V75"/>
          <cell r="W75"/>
          <cell r="X75">
            <v>0</v>
          </cell>
          <cell r="Y75">
            <v>0</v>
          </cell>
          <cell r="Z75">
            <v>0</v>
          </cell>
          <cell r="AA75"/>
          <cell r="AB75" t="str">
            <v>Active - signed</v>
          </cell>
          <cell r="AC75" t="str">
            <v>ACTIVO</v>
          </cell>
          <cell r="AD75"/>
          <cell r="AE75"/>
          <cell r="AF75"/>
          <cell r="AG75"/>
          <cell r="AH75"/>
          <cell r="AI75" t="str">
            <v>47901853Y</v>
          </cell>
        </row>
        <row r="76">
          <cell r="A76" t="str">
            <v>Y6595634F</v>
          </cell>
          <cell r="B76" t="str">
            <v>Aste Leiva</v>
          </cell>
          <cell r="C76" t="str">
            <v>Bruno Fernando</v>
          </cell>
          <cell r="D76" t="str">
            <v>Aste Leiva, Bruno Fernando</v>
          </cell>
          <cell r="E76" t="str">
            <v>bruno.aste</v>
          </cell>
          <cell r="F76" t="str">
            <v>bruno.aste@professional.universidadviu.com</v>
          </cell>
          <cell r="G76" t="str">
            <v>Yes</v>
          </cell>
          <cell r="H76" t="str">
            <v>NO</v>
          </cell>
          <cell r="I76" t="str">
            <v>Licenciado en ciencias jurídicas</v>
          </cell>
          <cell r="J76" t="str">
            <v>Título de abogado</v>
          </cell>
          <cell r="K76" t="str">
            <v>Grado de Magíster en derecho</v>
          </cell>
          <cell r="L76" t="str">
            <v>Doctorado</v>
          </cell>
          <cell r="M76" t="str">
            <v>Professional</v>
          </cell>
          <cell r="N76" t="str">
            <v/>
          </cell>
          <cell r="O76" t="str">
            <v>CSS</v>
          </cell>
          <cell r="P76">
            <v>0</v>
          </cell>
          <cell r="Q76" t="str">
            <v xml:space="preserve"> </v>
          </cell>
          <cell r="R76"/>
          <cell r="S76"/>
          <cell r="T76" t="str">
            <v>Sin reducción</v>
          </cell>
          <cell r="U76">
            <v>0</v>
          </cell>
          <cell r="V76"/>
          <cell r="W76"/>
          <cell r="X76">
            <v>0</v>
          </cell>
          <cell r="Y76">
            <v>0</v>
          </cell>
          <cell r="Z76">
            <v>0</v>
          </cell>
          <cell r="AA76"/>
          <cell r="AB76" t="str">
            <v>Active - signed</v>
          </cell>
          <cell r="AC76" t="str">
            <v>ACTIVO</v>
          </cell>
          <cell r="AD76"/>
          <cell r="AE76"/>
          <cell r="AF76"/>
          <cell r="AG76"/>
          <cell r="AH76"/>
          <cell r="AI76" t="str">
            <v>Y6595634F</v>
          </cell>
        </row>
        <row r="77">
          <cell r="A77" t="str">
            <v>44658192N</v>
          </cell>
          <cell r="B77" t="str">
            <v>Atanes Gómez</v>
          </cell>
          <cell r="C77" t="str">
            <v>Alexandra</v>
          </cell>
          <cell r="D77" t="str">
            <v>Atanes Gómez, Alexandra</v>
          </cell>
          <cell r="E77" t="str">
            <v>alexandra.atanes</v>
          </cell>
          <cell r="F77" t="str">
            <v>alexandra.atanes@professional.universidadviu.com</v>
          </cell>
          <cell r="G77" t="str">
            <v>NO</v>
          </cell>
          <cell r="H77" t="str">
            <v>NO</v>
          </cell>
          <cell r="I77" t="str">
            <v>Experto en conflictos familiares y de pareja</v>
          </cell>
          <cell r="J77" t="str">
            <v>Experto en Trastornos de la Personalidad</v>
          </cell>
          <cell r="K77" t="str">
            <v>Experto en la intervención con Terapia Cognitivo Conductual</v>
          </cell>
          <cell r="L77" t="str">
            <v>Curso Avanzado de intervención en ansiedad</v>
          </cell>
          <cell r="M77" t="str">
            <v>Professional</v>
          </cell>
          <cell r="N77" t="str">
            <v/>
          </cell>
          <cell r="O77" t="str">
            <v>CSS</v>
          </cell>
          <cell r="P77">
            <v>0</v>
          </cell>
          <cell r="Q77" t="str">
            <v xml:space="preserve"> </v>
          </cell>
          <cell r="R77"/>
          <cell r="S77"/>
          <cell r="T77" t="str">
            <v>Sin reducción</v>
          </cell>
          <cell r="U77">
            <v>0</v>
          </cell>
          <cell r="V77"/>
          <cell r="W77"/>
          <cell r="X77">
            <v>0</v>
          </cell>
          <cell r="Y77">
            <v>0</v>
          </cell>
          <cell r="Z77">
            <v>0</v>
          </cell>
          <cell r="AA77"/>
          <cell r="AB77" t="str">
            <v>Active - signed</v>
          </cell>
          <cell r="AC77" t="str">
            <v>ACTIVO</v>
          </cell>
          <cell r="AD77"/>
          <cell r="AE77"/>
          <cell r="AF77"/>
          <cell r="AG77"/>
          <cell r="AH77"/>
          <cell r="AI77" t="str">
            <v>44658192N</v>
          </cell>
        </row>
        <row r="78">
          <cell r="A78" t="str">
            <v>33570654S</v>
          </cell>
          <cell r="B78" t="str">
            <v>Atienza Carbonell</v>
          </cell>
          <cell r="C78" t="str">
            <v>Beatriz</v>
          </cell>
          <cell r="D78" t="str">
            <v>Atienza Carbonell, Beatriz</v>
          </cell>
          <cell r="E78" t="str">
            <v>beatriz.atienza.calidad</v>
          </cell>
          <cell r="F78" t="str">
            <v>beatriz.atienza@professor.universidadviu.com</v>
          </cell>
          <cell r="G78" t="str">
            <v>Yes</v>
          </cell>
          <cell r="H78" t="str">
            <v>Yes</v>
          </cell>
          <cell r="I78" t="str">
            <v>Medicina</v>
          </cell>
          <cell r="J78" t="str">
            <v/>
          </cell>
          <cell r="K78" t="str">
            <v/>
          </cell>
          <cell r="L78" t="str">
            <v/>
          </cell>
          <cell r="M78" t="str">
            <v>Labour</v>
          </cell>
          <cell r="N78" t="str">
            <v>Vila Candel, Rafael</v>
          </cell>
          <cell r="O78" t="str">
            <v>CBS</v>
          </cell>
          <cell r="P78">
            <v>30</v>
          </cell>
          <cell r="Q78" t="str">
            <v>24</v>
          </cell>
          <cell r="R78"/>
          <cell r="S78"/>
          <cell r="T78" t="str">
            <v>Sin reducción</v>
          </cell>
          <cell r="U78">
            <v>0</v>
          </cell>
          <cell r="V78"/>
          <cell r="W78"/>
          <cell r="X78">
            <v>0</v>
          </cell>
          <cell r="Y78">
            <v>6</v>
          </cell>
          <cell r="Z78">
            <v>0</v>
          </cell>
          <cell r="AA78"/>
          <cell r="AB78" t="str">
            <v>Active - signed</v>
          </cell>
          <cell r="AC78" t="str">
            <v>BAJA TEMPORAL</v>
          </cell>
          <cell r="AD78">
            <v>45987</v>
          </cell>
          <cell r="AE78">
            <v>46310</v>
          </cell>
          <cell r="AF78"/>
          <cell r="AG78" t="str">
            <v>MATERNIDAD</v>
          </cell>
          <cell r="AH78" t="str">
            <v>fecha probable parto marzo. No sabemos fecha fin</v>
          </cell>
          <cell r="AI78" t="str">
            <v>33570654S</v>
          </cell>
        </row>
        <row r="79">
          <cell r="A79" t="str">
            <v>28679658S</v>
          </cell>
          <cell r="B79" t="str">
            <v>Ayerbe Puebla</v>
          </cell>
          <cell r="C79" t="str">
            <v>Ignacio</v>
          </cell>
          <cell r="D79" t="str">
            <v>Ayerbe Puebla, Ignacio</v>
          </cell>
          <cell r="E79" t="str">
            <v>iayerbep@professional.universidadviu.com</v>
          </cell>
          <cell r="F79" t="str">
            <v>iayerbep@professional.universidadviu.com</v>
          </cell>
          <cell r="G79" t="str">
            <v>Yes</v>
          </cell>
          <cell r="H79" t="str">
            <v>NO</v>
          </cell>
          <cell r="I79" t="str">
            <v>Licenciado en Filosofía y Ciencias de la Educacíón</v>
          </cell>
          <cell r="J79" t="str">
            <v>Doctorado en Aprendizaje y cognición</v>
          </cell>
          <cell r="K79" t="str">
            <v/>
          </cell>
          <cell r="L79" t="str">
            <v/>
          </cell>
          <cell r="M79" t="str">
            <v>Professional</v>
          </cell>
          <cell r="N79" t="str">
            <v/>
          </cell>
          <cell r="O79" t="str">
            <v>CSS</v>
          </cell>
          <cell r="P79">
            <v>0</v>
          </cell>
          <cell r="Q79" t="str">
            <v xml:space="preserve"> </v>
          </cell>
          <cell r="R79"/>
          <cell r="S79"/>
          <cell r="T79" t="str">
            <v>Sin reducción</v>
          </cell>
          <cell r="U79">
            <v>0</v>
          </cell>
          <cell r="V79"/>
          <cell r="W79"/>
          <cell r="X79">
            <v>0</v>
          </cell>
          <cell r="Y79">
            <v>0</v>
          </cell>
          <cell r="Z79">
            <v>0</v>
          </cell>
          <cell r="AA79"/>
          <cell r="AB79" t="str">
            <v>Active - signed</v>
          </cell>
          <cell r="AC79" t="str">
            <v>ACTIVO</v>
          </cell>
          <cell r="AD79"/>
          <cell r="AE79"/>
          <cell r="AF79"/>
          <cell r="AG79"/>
          <cell r="AH79"/>
          <cell r="AI79" t="str">
            <v>28679658S</v>
          </cell>
        </row>
        <row r="80">
          <cell r="A80" t="str">
            <v>33419032D</v>
          </cell>
          <cell r="B80" t="str">
            <v>Azcárate Seminario</v>
          </cell>
          <cell r="C80" t="str">
            <v>Juana María</v>
          </cell>
          <cell r="D80" t="str">
            <v>Azcárate Seminario, Juana María</v>
          </cell>
          <cell r="E80" t="str">
            <v>juana.azcarate</v>
          </cell>
          <cell r="F80"/>
          <cell r="G80" t="str">
            <v>NO</v>
          </cell>
          <cell r="H80" t="str">
            <v>NO</v>
          </cell>
          <cell r="I80" t="str">
            <v>Licenciado en Filosofía y Letras</v>
          </cell>
          <cell r="J80" t="str">
            <v/>
          </cell>
          <cell r="K80" t="str">
            <v/>
          </cell>
          <cell r="L80" t="str">
            <v/>
          </cell>
          <cell r="M80" t="str">
            <v>Labour</v>
          </cell>
          <cell r="N80"/>
          <cell r="O80"/>
          <cell r="P80" t="str">
            <v>12,00</v>
          </cell>
          <cell r="Q80" t="b">
            <v>0</v>
          </cell>
          <cell r="R80"/>
          <cell r="S80"/>
          <cell r="T80" t="str">
            <v>Sin reducción</v>
          </cell>
          <cell r="U80">
            <v>0</v>
          </cell>
          <cell r="V80"/>
          <cell r="W80"/>
          <cell r="X80">
            <v>0</v>
          </cell>
          <cell r="Y80">
            <v>0</v>
          </cell>
          <cell r="Z80">
            <v>0</v>
          </cell>
          <cell r="AA80"/>
          <cell r="AB80" t="str">
            <v>Concluded</v>
          </cell>
          <cell r="AC80" t="str">
            <v>NO ACTIVO</v>
          </cell>
          <cell r="AD80"/>
          <cell r="AE80"/>
          <cell r="AF80">
            <v>45112</v>
          </cell>
          <cell r="AG80" t="str">
            <v>CESE DE CONTRATO</v>
          </cell>
          <cell r="AH80" t="str">
            <v>fecha fin aprox.</v>
          </cell>
          <cell r="AI80" t="str">
            <v>33419032D</v>
          </cell>
        </row>
        <row r="81">
          <cell r="A81" t="str">
            <v>53729696V</v>
          </cell>
          <cell r="B81" t="str">
            <v>Badenes Sastre</v>
          </cell>
          <cell r="C81" t="str">
            <v>Marta</v>
          </cell>
          <cell r="D81" t="str">
            <v>Badenes Sastre, Marta</v>
          </cell>
          <cell r="E81" t="str">
            <v>mbadeness@professional.universidadviu.com</v>
          </cell>
          <cell r="F81" t="str">
            <v>mbadeness@professional.universidadviu.com</v>
          </cell>
          <cell r="G81" t="str">
            <v>Yes</v>
          </cell>
          <cell r="H81" t="str">
            <v>NO</v>
          </cell>
          <cell r="I81" t="str">
            <v>Doctorado en Psicología</v>
          </cell>
          <cell r="J81" t="str">
            <v>Máster Oficial Universitario en Psicología General Sanitaria</v>
          </cell>
          <cell r="K81" t="str">
            <v>Máster en Profesorado de Enseñanza Secundaria Obligatoria y Bachillerato, Formación Profesional y Enseñanza de Idiomas</v>
          </cell>
          <cell r="L81" t="str">
            <v/>
          </cell>
          <cell r="M81" t="str">
            <v>Professional</v>
          </cell>
          <cell r="N81" t="str">
            <v/>
          </cell>
          <cell r="O81" t="str">
            <v>CSS</v>
          </cell>
          <cell r="P81">
            <v>0</v>
          </cell>
          <cell r="Q81" t="str">
            <v xml:space="preserve"> </v>
          </cell>
          <cell r="R81"/>
          <cell r="S81"/>
          <cell r="T81" t="str">
            <v>Sin reducción</v>
          </cell>
          <cell r="U81">
            <v>0</v>
          </cell>
          <cell r="V81"/>
          <cell r="W81"/>
          <cell r="X81">
            <v>0</v>
          </cell>
          <cell r="Y81">
            <v>0</v>
          </cell>
          <cell r="Z81">
            <v>0</v>
          </cell>
          <cell r="AA81"/>
          <cell r="AB81" t="str">
            <v>Concluded</v>
          </cell>
          <cell r="AC81" t="str">
            <v>NO ACTIVO</v>
          </cell>
          <cell r="AD81"/>
          <cell r="AE81"/>
          <cell r="AF81"/>
          <cell r="AG81" t="str">
            <v>CESE DE CONTRATO</v>
          </cell>
          <cell r="AH81"/>
          <cell r="AI81" t="str">
            <v>53729696V</v>
          </cell>
        </row>
        <row r="82">
          <cell r="A82" t="str">
            <v>CO363102971</v>
          </cell>
          <cell r="B82" t="str">
            <v>Bahamon Muñeton</v>
          </cell>
          <cell r="C82" t="str">
            <v>Marly Johana</v>
          </cell>
          <cell r="D82" t="str">
            <v>Bahamon Muñeton, Marly Johana</v>
          </cell>
          <cell r="E82" t="str">
            <v>mbahamonm@professional.universidadviu.com</v>
          </cell>
          <cell r="F82" t="str">
            <v>mbahamonm@professional.universidadviu.com</v>
          </cell>
          <cell r="G82" t="str">
            <v>Yes</v>
          </cell>
          <cell r="H82" t="str">
            <v>NO</v>
          </cell>
          <cell r="I82" t="str">
            <v>Educación y desarrollo humano</v>
          </cell>
          <cell r="J82" t="str">
            <v>Psicología</v>
          </cell>
          <cell r="K82" t="str">
            <v>Doctorado en Psicología con mención en cognitiva, neurociencias y sistémica</v>
          </cell>
          <cell r="L82" t="str">
            <v/>
          </cell>
          <cell r="M82" t="str">
            <v>Professional</v>
          </cell>
          <cell r="N82" t="str">
            <v/>
          </cell>
          <cell r="O82" t="str">
            <v>CSS</v>
          </cell>
          <cell r="P82">
            <v>0</v>
          </cell>
          <cell r="Q82" t="str">
            <v xml:space="preserve"> </v>
          </cell>
          <cell r="R82"/>
          <cell r="S82"/>
          <cell r="T82" t="str">
            <v>Sin reducción</v>
          </cell>
          <cell r="U82">
            <v>0</v>
          </cell>
          <cell r="V82"/>
          <cell r="W82"/>
          <cell r="X82">
            <v>0</v>
          </cell>
          <cell r="Y82">
            <v>0</v>
          </cell>
          <cell r="Z82">
            <v>0</v>
          </cell>
          <cell r="AA82"/>
          <cell r="AB82" t="str">
            <v>Concluded</v>
          </cell>
          <cell r="AC82" t="str">
            <v>NO ACTIVO</v>
          </cell>
          <cell r="AD82"/>
          <cell r="AE82"/>
          <cell r="AF82"/>
          <cell r="AG82" t="str">
            <v>CESE DE CONTRATO</v>
          </cell>
          <cell r="AH82"/>
          <cell r="AI82" t="str">
            <v>CO363102971</v>
          </cell>
        </row>
        <row r="83">
          <cell r="A83" t="str">
            <v>24363682N</v>
          </cell>
          <cell r="B83" t="str">
            <v>Baixauli Muñoz</v>
          </cell>
          <cell r="C83" t="str">
            <v>Raquel</v>
          </cell>
          <cell r="D83" t="str">
            <v>Baixauli Muñoz, Raquel</v>
          </cell>
          <cell r="E83" t="str">
            <v>rbaixaulim@professional.universidadviu.com</v>
          </cell>
          <cell r="F83" t="str">
            <v>rbaixaulim@professional.universidadviu.com</v>
          </cell>
          <cell r="G83" t="str">
            <v>Yes</v>
          </cell>
          <cell r="H83" t="str">
            <v>Yes</v>
          </cell>
          <cell r="I83" t="str">
            <v>Doctor Ingeniero Agrónomo</v>
          </cell>
          <cell r="J83" t="str">
            <v>Ingeniero Agrónomo</v>
          </cell>
          <cell r="K83" t="str">
            <v/>
          </cell>
          <cell r="L83" t="str">
            <v/>
          </cell>
          <cell r="M83" t="str">
            <v>Professional</v>
          </cell>
          <cell r="N83" t="str">
            <v/>
          </cell>
          <cell r="O83" t="str">
            <v>CBS</v>
          </cell>
          <cell r="P83">
            <v>0</v>
          </cell>
          <cell r="Q83" t="str">
            <v xml:space="preserve"> </v>
          </cell>
          <cell r="R83"/>
          <cell r="S83"/>
          <cell r="T83" t="str">
            <v>Sin reducción</v>
          </cell>
          <cell r="U83">
            <v>0</v>
          </cell>
          <cell r="V83"/>
          <cell r="W83"/>
          <cell r="X83">
            <v>0</v>
          </cell>
          <cell r="Y83">
            <v>0</v>
          </cell>
          <cell r="Z83">
            <v>0</v>
          </cell>
          <cell r="AA83"/>
          <cell r="AB83" t="str">
            <v>Active - signed</v>
          </cell>
          <cell r="AC83" t="str">
            <v>ACTIVO</v>
          </cell>
          <cell r="AD83"/>
          <cell r="AE83"/>
          <cell r="AF83"/>
          <cell r="AG83"/>
          <cell r="AH83"/>
          <cell r="AI83" t="str">
            <v>24363682N</v>
          </cell>
        </row>
        <row r="84">
          <cell r="A84" t="str">
            <v>05279699A</v>
          </cell>
          <cell r="B84" t="str">
            <v>Bajo Bretón</v>
          </cell>
          <cell r="C84" t="str">
            <v>Ricardo</v>
          </cell>
          <cell r="D84" t="str">
            <v>Bajo Bretón, Ricardo</v>
          </cell>
          <cell r="E84" t="str">
            <v>rbajob@professor.universidadviu.com</v>
          </cell>
          <cell r="F84" t="str">
            <v>rbajob@professor.universidadviu.com</v>
          </cell>
          <cell r="G84" t="str">
            <v>Yes</v>
          </cell>
          <cell r="H84" t="str">
            <v>Yes</v>
          </cell>
          <cell r="I84" t="str">
            <v>Programa de Doctorado en Neurociencia</v>
          </cell>
          <cell r="J84" t="str">
            <v/>
          </cell>
          <cell r="K84" t="str">
            <v/>
          </cell>
          <cell r="L84" t="str">
            <v/>
          </cell>
          <cell r="M84" t="str">
            <v>Labour</v>
          </cell>
          <cell r="N84" t="str">
            <v>Consultar a VR Investigación</v>
          </cell>
          <cell r="O84" t="str">
            <v>CSS</v>
          </cell>
          <cell r="P84">
            <v>100</v>
          </cell>
          <cell r="Q84" t="str">
            <v>50</v>
          </cell>
          <cell r="R84"/>
          <cell r="S84"/>
          <cell r="T84" t="str">
            <v>Investigador/a Senior</v>
          </cell>
          <cell r="U84" t="str">
            <v>38</v>
          </cell>
          <cell r="V84"/>
          <cell r="W84"/>
          <cell r="X84">
            <v>3.6</v>
          </cell>
          <cell r="Y84">
            <v>0</v>
          </cell>
          <cell r="Z84">
            <v>0</v>
          </cell>
          <cell r="AA84"/>
          <cell r="AB84" t="str">
            <v>Active - signed</v>
          </cell>
          <cell r="AC84" t="str">
            <v>ACTIVO</v>
          </cell>
          <cell r="AD84"/>
          <cell r="AE84"/>
          <cell r="AF84"/>
          <cell r="AG84"/>
          <cell r="AH84"/>
          <cell r="AI84" t="str">
            <v>05279699A</v>
          </cell>
        </row>
        <row r="85">
          <cell r="A85" t="str">
            <v>53042637z</v>
          </cell>
          <cell r="B85" t="str">
            <v>Ballesteros Pérez</v>
          </cell>
          <cell r="C85" t="str">
            <v>Francisco</v>
          </cell>
          <cell r="D85" t="str">
            <v>Ballesteros Pérez, Francisco</v>
          </cell>
          <cell r="E85" t="str">
            <v>fballesterosp@professional.universidadviu.com</v>
          </cell>
          <cell r="F85" t="str">
            <v>fballesterosp@professional.universidadviu.com</v>
          </cell>
          <cell r="G85" t="str">
            <v>Yes</v>
          </cell>
          <cell r="H85" t="str">
            <v>NO</v>
          </cell>
          <cell r="I85" t="str">
            <v>Doctor en Psicología Clínica</v>
          </cell>
          <cell r="J85" t="str">
            <v>Master en Metodología de las Ciencias del Comportamiento y de la Salud</v>
          </cell>
          <cell r="K85" t="str">
            <v>Licenciado en Psicología</v>
          </cell>
          <cell r="L85" t="str">
            <v/>
          </cell>
          <cell r="M85" t="str">
            <v>Professional</v>
          </cell>
          <cell r="N85" t="str">
            <v/>
          </cell>
          <cell r="O85" t="str">
            <v>CSS</v>
          </cell>
          <cell r="P85">
            <v>0</v>
          </cell>
          <cell r="Q85" t="str">
            <v xml:space="preserve"> </v>
          </cell>
          <cell r="R85"/>
          <cell r="S85"/>
          <cell r="T85" t="str">
            <v>Sin reducción</v>
          </cell>
          <cell r="U85">
            <v>0</v>
          </cell>
          <cell r="V85"/>
          <cell r="W85"/>
          <cell r="X85">
            <v>0</v>
          </cell>
          <cell r="Y85">
            <v>0</v>
          </cell>
          <cell r="Z85">
            <v>0</v>
          </cell>
          <cell r="AA85"/>
          <cell r="AB85" t="str">
            <v>Active - signed</v>
          </cell>
          <cell r="AC85" t="str">
            <v>ACTIVO</v>
          </cell>
          <cell r="AD85"/>
          <cell r="AE85"/>
          <cell r="AF85"/>
          <cell r="AG85"/>
          <cell r="AH85"/>
          <cell r="AI85" t="str">
            <v>53042637z</v>
          </cell>
        </row>
        <row r="86">
          <cell r="A86" t="str">
            <v>72840763Q</v>
          </cell>
          <cell r="B86" t="str">
            <v>Balmaseda Rubina</v>
          </cell>
          <cell r="C86" t="str">
            <v>Aitor</v>
          </cell>
          <cell r="D86" t="str">
            <v>Balmaseda Rubina, Aitor</v>
          </cell>
          <cell r="E86" t="str">
            <v>aitor.balmaseda</v>
          </cell>
          <cell r="F86" t="str">
            <v>aitor.balmaseda@professional.universidadviu.com</v>
          </cell>
          <cell r="G86" t="str">
            <v>Yes</v>
          </cell>
          <cell r="H86" t="str">
            <v>Yes</v>
          </cell>
          <cell r="I86" t="str">
            <v>Biotecnología</v>
          </cell>
          <cell r="J86" t="str">
            <v>Master universitario en bebidas fermentadas en la especialidad en avances de la investigacion enologica</v>
          </cell>
          <cell r="K86" t="str">
            <v>Doctorado en enologia y biotecnologia</v>
          </cell>
          <cell r="L86" t="str">
            <v/>
          </cell>
          <cell r="M86" t="str">
            <v>Professional</v>
          </cell>
          <cell r="N86" t="str">
            <v/>
          </cell>
          <cell r="O86" t="str">
            <v>CBS</v>
          </cell>
          <cell r="P86">
            <v>0</v>
          </cell>
          <cell r="Q86" t="str">
            <v xml:space="preserve"> </v>
          </cell>
          <cell r="R86"/>
          <cell r="S86"/>
          <cell r="T86" t="str">
            <v>Sin reducción</v>
          </cell>
          <cell r="U86">
            <v>0</v>
          </cell>
          <cell r="V86"/>
          <cell r="W86"/>
          <cell r="X86">
            <v>0</v>
          </cell>
          <cell r="Y86">
            <v>0</v>
          </cell>
          <cell r="Z86">
            <v>0</v>
          </cell>
          <cell r="AA86"/>
          <cell r="AB86" t="str">
            <v>Active - signed</v>
          </cell>
          <cell r="AC86" t="str">
            <v>ACTIVO</v>
          </cell>
          <cell r="AD86"/>
          <cell r="AE86"/>
          <cell r="AF86"/>
          <cell r="AG86"/>
          <cell r="AH86"/>
          <cell r="AI86" t="str">
            <v>72840763Q</v>
          </cell>
        </row>
        <row r="87">
          <cell r="A87" t="str">
            <v>76815538T</v>
          </cell>
          <cell r="B87" t="str">
            <v>Balo García</v>
          </cell>
          <cell r="C87" t="str">
            <v>Aránzazu</v>
          </cell>
          <cell r="D87" t="str">
            <v>Balo García, Aránzazu</v>
          </cell>
          <cell r="E87" t="str">
            <v>abalog@professional.universidadviu.com</v>
          </cell>
          <cell r="F87" t="str">
            <v>abalog@professional.universidadviu.com</v>
          </cell>
          <cell r="G87" t="str">
            <v>Yes</v>
          </cell>
          <cell r="H87" t="str">
            <v>NO</v>
          </cell>
          <cell r="I87" t="str">
            <v>Doctora en el departamento de medicina en el programa: Envejecimiento y Avances en Investigación</v>
          </cell>
          <cell r="J87" t="str">
            <v>Master en Gerontología Clínica</v>
          </cell>
          <cell r="K87" t="str">
            <v>Licenciada en Psicología</v>
          </cell>
          <cell r="L87" t="str">
            <v/>
          </cell>
          <cell r="M87" t="str">
            <v>Professional</v>
          </cell>
          <cell r="N87" t="str">
            <v/>
          </cell>
          <cell r="O87" t="str">
            <v>CSS</v>
          </cell>
          <cell r="P87">
            <v>0</v>
          </cell>
          <cell r="Q87" t="str">
            <v xml:space="preserve"> </v>
          </cell>
          <cell r="R87"/>
          <cell r="S87"/>
          <cell r="T87" t="str">
            <v>Sin reducción</v>
          </cell>
          <cell r="U87">
            <v>0</v>
          </cell>
          <cell r="V87"/>
          <cell r="W87"/>
          <cell r="X87">
            <v>0</v>
          </cell>
          <cell r="Y87">
            <v>0</v>
          </cell>
          <cell r="Z87">
            <v>0</v>
          </cell>
          <cell r="AA87"/>
          <cell r="AB87" t="str">
            <v>Active - signed</v>
          </cell>
          <cell r="AC87" t="str">
            <v>ACTIVO</v>
          </cell>
          <cell r="AD87"/>
          <cell r="AE87"/>
          <cell r="AF87"/>
          <cell r="AG87"/>
          <cell r="AH87"/>
          <cell r="AI87" t="str">
            <v>76815538T</v>
          </cell>
        </row>
        <row r="88">
          <cell r="A88" t="str">
            <v>21511897C</v>
          </cell>
          <cell r="B88" t="str">
            <v>Barba Colmenero</v>
          </cell>
          <cell r="C88" t="str">
            <v>Francisca</v>
          </cell>
          <cell r="D88" t="str">
            <v>Barba Colmenero, Francisca</v>
          </cell>
          <cell r="E88" t="str">
            <v>fbarbac@professional.universidadviu.com</v>
          </cell>
          <cell r="F88" t="str">
            <v>fbarbac@professional.universidadviu.com</v>
          </cell>
          <cell r="G88" t="str">
            <v>Yes</v>
          </cell>
          <cell r="H88" t="str">
            <v>NO</v>
          </cell>
          <cell r="I88" t="str">
            <v>Doctorado en Psicología</v>
          </cell>
          <cell r="J88" t="str">
            <v>MASTER UNIVERSITARIO EN ACTUACIONES PSICOLOGICAS EN PREVENCION DE LA ENFERMEDADY PROMOCIÓN DE LA SALUD</v>
          </cell>
          <cell r="K88" t="str">
            <v>LICENCIATURA EN PSICOLOGÍA</v>
          </cell>
          <cell r="L88" t="str">
            <v/>
          </cell>
          <cell r="M88" t="str">
            <v>Professional</v>
          </cell>
          <cell r="N88"/>
          <cell r="O88" t="str">
            <v>CSS</v>
          </cell>
          <cell r="P88">
            <v>0</v>
          </cell>
          <cell r="Q88" t="str">
            <v xml:space="preserve"> </v>
          </cell>
          <cell r="R88"/>
          <cell r="S88"/>
          <cell r="T88" t="str">
            <v>Sin reducción</v>
          </cell>
          <cell r="U88">
            <v>0</v>
          </cell>
          <cell r="V88"/>
          <cell r="W88"/>
          <cell r="X88">
            <v>0</v>
          </cell>
          <cell r="Y88">
            <v>0</v>
          </cell>
          <cell r="Z88">
            <v>0</v>
          </cell>
          <cell r="AA88"/>
          <cell r="AB88" t="str">
            <v>Active - signed</v>
          </cell>
          <cell r="AC88" t="str">
            <v>ACTIVO</v>
          </cell>
          <cell r="AD88"/>
          <cell r="AE88"/>
          <cell r="AF88"/>
          <cell r="AG88"/>
          <cell r="AH88"/>
          <cell r="AI88" t="str">
            <v>21511897C</v>
          </cell>
        </row>
        <row r="89">
          <cell r="A89" t="str">
            <v>53606669V</v>
          </cell>
          <cell r="B89" t="str">
            <v>Barragán Arnal</v>
          </cell>
          <cell r="C89" t="str">
            <v>Rocío</v>
          </cell>
          <cell r="D89" t="str">
            <v>Barragán Arnal, Rocío</v>
          </cell>
          <cell r="E89" t="str">
            <v>rocio.barragan</v>
          </cell>
          <cell r="F89" t="str">
            <v>rocio.barragan@professional.universidadviu.com</v>
          </cell>
          <cell r="G89" t="str">
            <v>Yes</v>
          </cell>
          <cell r="H89" t="str">
            <v>Yes</v>
          </cell>
          <cell r="I89" t="str">
            <v>Ciencia y tecnología de los alimentos</v>
          </cell>
          <cell r="J89" t="str">
            <v>Programa Oficial de Doctorado en Ciencias de la alimentación</v>
          </cell>
          <cell r="K89" t="str">
            <v>Máster en Calidad y Seguridad Alimentaria</v>
          </cell>
          <cell r="L89" t="str">
            <v/>
          </cell>
          <cell r="M89" t="str">
            <v>Professional</v>
          </cell>
          <cell r="N89" t="str">
            <v/>
          </cell>
          <cell r="O89" t="str">
            <v>CBS</v>
          </cell>
          <cell r="P89">
            <v>0</v>
          </cell>
          <cell r="Q89" t="str">
            <v xml:space="preserve"> </v>
          </cell>
          <cell r="R89"/>
          <cell r="S89"/>
          <cell r="T89" t="str">
            <v>Sin reducción</v>
          </cell>
          <cell r="U89">
            <v>0</v>
          </cell>
          <cell r="V89"/>
          <cell r="W89"/>
          <cell r="X89">
            <v>0</v>
          </cell>
          <cell r="Y89">
            <v>0</v>
          </cell>
          <cell r="Z89">
            <v>0</v>
          </cell>
          <cell r="AA89"/>
          <cell r="AB89" t="str">
            <v>Active - signed</v>
          </cell>
          <cell r="AC89" t="str">
            <v>ACTIVO</v>
          </cell>
          <cell r="AD89"/>
          <cell r="AE89"/>
          <cell r="AF89"/>
          <cell r="AG89"/>
          <cell r="AH89"/>
          <cell r="AI89" t="str">
            <v>53606669V</v>
          </cell>
        </row>
        <row r="90">
          <cell r="A90" t="str">
            <v>45878398E</v>
          </cell>
          <cell r="B90" t="str">
            <v>Barranco Riaza</v>
          </cell>
          <cell r="C90" t="str">
            <v>Almudena</v>
          </cell>
          <cell r="D90" t="str">
            <v>Barranco Riaza, Almudena</v>
          </cell>
          <cell r="E90" t="str">
            <v>abarrancor@professor.universidadviu.com</v>
          </cell>
          <cell r="F90" t="str">
            <v>abarrancor@professor.universidadviu.com</v>
          </cell>
          <cell r="G90" t="str">
            <v>NO</v>
          </cell>
          <cell r="H90" t="str">
            <v>NO</v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>Labour</v>
          </cell>
          <cell r="N90" t="str">
            <v>Morell Esteve, Pere</v>
          </cell>
          <cell r="O90" t="str">
            <v>CBS</v>
          </cell>
          <cell r="P90">
            <v>12</v>
          </cell>
          <cell r="Q90" t="str">
            <v>12</v>
          </cell>
          <cell r="R90"/>
          <cell r="S90"/>
          <cell r="T90" t="str">
            <v>Sin reducción</v>
          </cell>
          <cell r="U90">
            <v>0</v>
          </cell>
          <cell r="V90"/>
          <cell r="W90"/>
          <cell r="X90">
            <v>0</v>
          </cell>
          <cell r="Y90">
            <v>12</v>
          </cell>
          <cell r="Z90">
            <v>0</v>
          </cell>
          <cell r="AA90"/>
          <cell r="AB90" t="str">
            <v>Active - signed</v>
          </cell>
          <cell r="AC90" t="str">
            <v>ACTIVO</v>
          </cell>
          <cell r="AD90"/>
          <cell r="AE90"/>
          <cell r="AF90"/>
          <cell r="AG90"/>
          <cell r="AH90"/>
          <cell r="AI90" t="str">
            <v>45878398E</v>
          </cell>
        </row>
        <row r="91">
          <cell r="A91" t="str">
            <v>03118695X</v>
          </cell>
          <cell r="B91" t="str">
            <v>Barrasa Notario</v>
          </cell>
          <cell r="C91" t="str">
            <v>Ángel</v>
          </cell>
          <cell r="D91" t="str">
            <v>Barrasa Notario, Ángel</v>
          </cell>
          <cell r="E91" t="str">
            <v>angel.barrasa</v>
          </cell>
          <cell r="F91" t="str">
            <v>angel.barrasa@professional.universidadviu.com</v>
          </cell>
          <cell r="G91" t="str">
            <v>Yes</v>
          </cell>
          <cell r="H91" t="str">
            <v>NO</v>
          </cell>
          <cell r="I91" t="str">
            <v>Doctorado en Psicología</v>
          </cell>
          <cell r="J91" t="str">
            <v>Master Praxis de la Sociología del Consumo: Teoría y Práctica de la Investigación de Mercados</v>
          </cell>
          <cell r="K91" t="str">
            <v>Licenciado en Psicología</v>
          </cell>
          <cell r="L91" t="str">
            <v/>
          </cell>
          <cell r="M91" t="str">
            <v>Professional</v>
          </cell>
          <cell r="N91"/>
          <cell r="O91" t="str">
            <v>CSS</v>
          </cell>
          <cell r="P91">
            <v>0</v>
          </cell>
          <cell r="Q91" t="str">
            <v xml:space="preserve"> </v>
          </cell>
          <cell r="R91"/>
          <cell r="S91"/>
          <cell r="T91" t="str">
            <v>Sin reducción</v>
          </cell>
          <cell r="U91">
            <v>0</v>
          </cell>
          <cell r="V91"/>
          <cell r="W91"/>
          <cell r="X91">
            <v>0</v>
          </cell>
          <cell r="Y91">
            <v>0</v>
          </cell>
          <cell r="Z91">
            <v>0</v>
          </cell>
          <cell r="AA91"/>
          <cell r="AB91" t="str">
            <v>Active - signed</v>
          </cell>
          <cell r="AC91" t="str">
            <v>ACTIVO</v>
          </cell>
          <cell r="AD91"/>
          <cell r="AE91"/>
          <cell r="AF91"/>
          <cell r="AG91"/>
          <cell r="AH91"/>
          <cell r="AI91" t="str">
            <v>03118695X</v>
          </cell>
        </row>
        <row r="92">
          <cell r="A92" t="str">
            <v>72497551X</v>
          </cell>
          <cell r="B92" t="str">
            <v>Barrenechea Garro</v>
          </cell>
          <cell r="C92" t="str">
            <v>Arrate</v>
          </cell>
          <cell r="D92" t="str">
            <v>Barrenechea Garro, Arrate</v>
          </cell>
          <cell r="E92" t="str">
            <v>abarrenecheag@professor.universidadviu.com</v>
          </cell>
          <cell r="F92" t="str">
            <v>abarrenecheag@professor.universidadviu.com</v>
          </cell>
          <cell r="G92" t="str">
            <v>NO</v>
          </cell>
          <cell r="H92" t="str">
            <v>NO</v>
          </cell>
          <cell r="I92" t="str">
            <v>Máster en Neuropsicología infantil y de Adultos</v>
          </cell>
          <cell r="J92" t="str">
            <v>Licenciatura en Psicología</v>
          </cell>
          <cell r="K92" t="str">
            <v/>
          </cell>
          <cell r="L92" t="str">
            <v/>
          </cell>
          <cell r="M92" t="str">
            <v>Labour</v>
          </cell>
          <cell r="N92" t="str">
            <v>Aliño Costa, Marta</v>
          </cell>
          <cell r="O92" t="str">
            <v>CSS</v>
          </cell>
          <cell r="P92">
            <v>100</v>
          </cell>
          <cell r="Q92" t="str">
            <v>50</v>
          </cell>
          <cell r="R92"/>
          <cell r="S92"/>
          <cell r="T92" t="str">
            <v>Sin reducción</v>
          </cell>
          <cell r="U92">
            <v>0</v>
          </cell>
          <cell r="V92"/>
          <cell r="W92"/>
          <cell r="X92">
            <v>41.3</v>
          </cell>
          <cell r="Y92">
            <v>0</v>
          </cell>
          <cell r="Z92">
            <v>0</v>
          </cell>
          <cell r="AA92"/>
          <cell r="AB92" t="str">
            <v>Active - signed</v>
          </cell>
          <cell r="AC92" t="str">
            <v>ACTIVO</v>
          </cell>
          <cell r="AD92"/>
          <cell r="AE92"/>
          <cell r="AF92"/>
          <cell r="AG92"/>
          <cell r="AH92"/>
          <cell r="AI92" t="str">
            <v>72497551X</v>
          </cell>
        </row>
        <row r="93">
          <cell r="A93" t="str">
            <v>20850674R</v>
          </cell>
          <cell r="B93" t="str">
            <v>Barrera Belloch</v>
          </cell>
          <cell r="C93" t="str">
            <v>Jaume</v>
          </cell>
          <cell r="D93" t="str">
            <v>Barrera Belloch, Jaume</v>
          </cell>
          <cell r="E93" t="str">
            <v>jaume.barrera</v>
          </cell>
          <cell r="F93" t="str">
            <v>jaume.barrera@professor.universidadviu.com</v>
          </cell>
          <cell r="G93" t="str">
            <v>NO</v>
          </cell>
          <cell r="H93" t="str">
            <v>NO</v>
          </cell>
          <cell r="I93" t="str">
            <v>Psicología</v>
          </cell>
          <cell r="J93" t="str">
            <v>Máster Universitario en Neuropsicología Clínica</v>
          </cell>
          <cell r="K93" t="str">
            <v/>
          </cell>
          <cell r="L93" t="str">
            <v/>
          </cell>
          <cell r="M93" t="str">
            <v>Labour</v>
          </cell>
          <cell r="N93" t="str">
            <v>Aliño Costa, Marta</v>
          </cell>
          <cell r="O93" t="str">
            <v>CSS</v>
          </cell>
          <cell r="P93">
            <v>100</v>
          </cell>
          <cell r="Q93" t="str">
            <v>50</v>
          </cell>
          <cell r="R93"/>
          <cell r="S93"/>
          <cell r="T93" t="str">
            <v>Sin reducción</v>
          </cell>
          <cell r="U93">
            <v>0</v>
          </cell>
          <cell r="V93">
            <v>12</v>
          </cell>
          <cell r="W93" t="str">
            <v>JURÍDICO</v>
          </cell>
          <cell r="X93">
            <v>37.799999999999997</v>
          </cell>
          <cell r="Y93">
            <v>0</v>
          </cell>
          <cell r="Z93">
            <v>0</v>
          </cell>
          <cell r="AA93"/>
          <cell r="AB93" t="str">
            <v>Active - IT leave</v>
          </cell>
          <cell r="AC93" t="str">
            <v>ACTIVO</v>
          </cell>
          <cell r="AD93">
            <v>45847</v>
          </cell>
          <cell r="AE93">
            <v>46013</v>
          </cell>
          <cell r="AF93"/>
          <cell r="AG93" t="str">
            <v>MATERNIDAD</v>
          </cell>
          <cell r="AH93"/>
          <cell r="AI93" t="str">
            <v>20850674R</v>
          </cell>
        </row>
        <row r="94">
          <cell r="A94" t="str">
            <v>30223087Y</v>
          </cell>
          <cell r="B94" t="str">
            <v>Barrientos Trigo</v>
          </cell>
          <cell r="C94" t="str">
            <v>Sergio</v>
          </cell>
          <cell r="D94" t="str">
            <v>Barrientos Trigo, Sergio</v>
          </cell>
          <cell r="E94" t="str">
            <v>sbarrientost@professional.universidadviu.com</v>
          </cell>
          <cell r="F94" t="str">
            <v>sbarrientost@professional.universidadviu.com</v>
          </cell>
          <cell r="G94" t="str">
            <v>Yes</v>
          </cell>
          <cell r="H94" t="str">
            <v>Yes</v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>Professional</v>
          </cell>
          <cell r="N94"/>
          <cell r="O94" t="str">
            <v>CBS</v>
          </cell>
          <cell r="P94">
            <v>0</v>
          </cell>
          <cell r="Q94" t="str">
            <v xml:space="preserve"> </v>
          </cell>
          <cell r="R94"/>
          <cell r="S94"/>
          <cell r="T94" t="str">
            <v>Sin reducción</v>
          </cell>
          <cell r="U94">
            <v>0</v>
          </cell>
          <cell r="V94"/>
          <cell r="W94"/>
          <cell r="X94">
            <v>0</v>
          </cell>
          <cell r="Y94">
            <v>0</v>
          </cell>
          <cell r="Z94">
            <v>0</v>
          </cell>
          <cell r="AA94"/>
          <cell r="AB94" t="str">
            <v>Active - signed</v>
          </cell>
          <cell r="AC94" t="str">
            <v>ACTIVO</v>
          </cell>
          <cell r="AD94"/>
          <cell r="AE94"/>
          <cell r="AF94"/>
          <cell r="AG94"/>
          <cell r="AH94"/>
          <cell r="AI94" t="str">
            <v>30223087Y</v>
          </cell>
        </row>
        <row r="95">
          <cell r="A95" t="str">
            <v>72187168N</v>
          </cell>
          <cell r="B95" t="str">
            <v>Barrio Martínez</v>
          </cell>
          <cell r="C95" t="str">
            <v>Sara</v>
          </cell>
          <cell r="D95" t="str">
            <v>Barrio Martínez, Sara</v>
          </cell>
          <cell r="E95" t="str">
            <v>sbarriom@professional.universidadviu.com</v>
          </cell>
          <cell r="F95" t="str">
            <v>sbarriom@professional.universidadviu.com</v>
          </cell>
          <cell r="G95" t="str">
            <v>NO</v>
          </cell>
          <cell r="H95" t="str">
            <v>NO</v>
          </cell>
          <cell r="I95" t="str">
            <v>Máster  Universitario en Formación de Profesorado de educación secundaria</v>
          </cell>
          <cell r="J95" t="str">
            <v>Máster Psicología General Sanitaria</v>
          </cell>
          <cell r="K95" t="str">
            <v/>
          </cell>
          <cell r="L95" t="str">
            <v/>
          </cell>
          <cell r="M95" t="str">
            <v>Professional</v>
          </cell>
          <cell r="N95" t="str">
            <v/>
          </cell>
          <cell r="O95" t="str">
            <v>CSS</v>
          </cell>
          <cell r="P95">
            <v>0</v>
          </cell>
          <cell r="Q95" t="str">
            <v xml:space="preserve"> </v>
          </cell>
          <cell r="R95"/>
          <cell r="S95"/>
          <cell r="T95" t="str">
            <v>Sin reducción</v>
          </cell>
          <cell r="U95">
            <v>0</v>
          </cell>
          <cell r="V95"/>
          <cell r="W95"/>
          <cell r="X95">
            <v>0</v>
          </cell>
          <cell r="Y95">
            <v>0</v>
          </cell>
          <cell r="Z95">
            <v>0</v>
          </cell>
          <cell r="AA95"/>
          <cell r="AB95" t="str">
            <v>Active - signed</v>
          </cell>
          <cell r="AC95" t="str">
            <v>ACTIVO</v>
          </cell>
          <cell r="AD95"/>
          <cell r="AE95"/>
          <cell r="AF95"/>
          <cell r="AG95"/>
          <cell r="AH95"/>
          <cell r="AI95" t="str">
            <v>72187168N</v>
          </cell>
        </row>
        <row r="96">
          <cell r="A96" t="str">
            <v>46939778K</v>
          </cell>
          <cell r="B96" t="str">
            <v>Bartolomé del Pino</v>
          </cell>
          <cell r="C96" t="str">
            <v>Leticia Elisa</v>
          </cell>
          <cell r="D96" t="str">
            <v>Bartolomé del Pino, Leticia Elisa</v>
          </cell>
          <cell r="E96" t="str">
            <v>leticiaelisa.bartolome</v>
          </cell>
          <cell r="F96" t="str">
            <v>leticiaelisa.bartolome@professor.universidadviu.com</v>
          </cell>
          <cell r="G96" t="str">
            <v>Yes</v>
          </cell>
          <cell r="H96" t="str">
            <v>Yes</v>
          </cell>
          <cell r="I96" t="str">
            <v>Biotecnología</v>
          </cell>
          <cell r="J96" t="str">
            <v>Máster en Epidemiología y Salud Pública</v>
          </cell>
          <cell r="K96" t="str">
            <v>Programa Oficial de Doctorado en Veterinaria</v>
          </cell>
          <cell r="L96" t="str">
            <v xml:space="preserve">Licenciada en Veterinaria </v>
          </cell>
          <cell r="M96" t="str">
            <v>Labour</v>
          </cell>
          <cell r="N96" t="str">
            <v>Mut Ronda, Salvador</v>
          </cell>
          <cell r="O96" t="str">
            <v>CBS</v>
          </cell>
          <cell r="P96">
            <v>100</v>
          </cell>
          <cell r="Q96" t="str">
            <v>50</v>
          </cell>
          <cell r="R96"/>
          <cell r="S96"/>
          <cell r="T96" t="str">
            <v>Reducción investigación</v>
          </cell>
          <cell r="U96"/>
          <cell r="V96"/>
          <cell r="W96"/>
          <cell r="X96">
            <v>0</v>
          </cell>
          <cell r="Y96">
            <v>37</v>
          </cell>
          <cell r="Z96">
            <v>13</v>
          </cell>
          <cell r="AA96"/>
          <cell r="AB96" t="str">
            <v>Active - signed</v>
          </cell>
          <cell r="AC96" t="str">
            <v>ACTIVO</v>
          </cell>
          <cell r="AD96"/>
          <cell r="AE96"/>
          <cell r="AF96"/>
          <cell r="AG96"/>
          <cell r="AH96"/>
          <cell r="AI96" t="str">
            <v>46939778K</v>
          </cell>
        </row>
        <row r="97">
          <cell r="A97" t="str">
            <v>05724246Y</v>
          </cell>
          <cell r="B97" t="str">
            <v>Bautista Aranda</v>
          </cell>
          <cell r="C97" t="str">
            <v>Nazaret</v>
          </cell>
          <cell r="D97" t="str">
            <v>Bautista Aranda, Nazaret</v>
          </cell>
          <cell r="E97" t="str">
            <v>nbautistaa@professional.universidadviu.com</v>
          </cell>
          <cell r="F97" t="str">
            <v>nbautistaa@professional.universidadviu.com</v>
          </cell>
          <cell r="G97" t="str">
            <v>Yes</v>
          </cell>
          <cell r="H97" t="str">
            <v>NO</v>
          </cell>
          <cell r="I97" t="str">
            <v>Máster Universitario en Justicia Penal y Sistema Penitenciario</v>
          </cell>
          <cell r="J97" t="str">
            <v>Grado en Psicología</v>
          </cell>
          <cell r="K97" t="str">
            <v/>
          </cell>
          <cell r="L97" t="str">
            <v/>
          </cell>
          <cell r="M97" t="str">
            <v>Professional</v>
          </cell>
          <cell r="N97" t="str">
            <v/>
          </cell>
          <cell r="O97" t="str">
            <v>CSS</v>
          </cell>
          <cell r="P97">
            <v>0</v>
          </cell>
          <cell r="Q97" t="str">
            <v xml:space="preserve"> </v>
          </cell>
          <cell r="R97"/>
          <cell r="S97"/>
          <cell r="T97" t="str">
            <v>Sin reducción</v>
          </cell>
          <cell r="U97">
            <v>0</v>
          </cell>
          <cell r="V97"/>
          <cell r="W97"/>
          <cell r="X97">
            <v>0</v>
          </cell>
          <cell r="Y97">
            <v>0</v>
          </cell>
          <cell r="Z97">
            <v>0</v>
          </cell>
          <cell r="AA97"/>
          <cell r="AB97" t="str">
            <v>Active - signed</v>
          </cell>
          <cell r="AC97" t="str">
            <v>ACTIVO</v>
          </cell>
          <cell r="AD97"/>
          <cell r="AE97"/>
          <cell r="AF97"/>
          <cell r="AG97"/>
          <cell r="AH97"/>
          <cell r="AI97" t="str">
            <v>05724246Y</v>
          </cell>
        </row>
        <row r="98">
          <cell r="A98" t="str">
            <v>44204856Y</v>
          </cell>
          <cell r="B98" t="str">
            <v>Baz Montero</v>
          </cell>
          <cell r="C98" t="str">
            <v>Servando</v>
          </cell>
          <cell r="D98" t="str">
            <v>Baz Montero, Servando</v>
          </cell>
          <cell r="E98" t="str">
            <v>servando.baz</v>
          </cell>
          <cell r="F98" t="str">
            <v>servando.baz@professional.universidadviu.com</v>
          </cell>
          <cell r="G98" t="str">
            <v>NO</v>
          </cell>
          <cell r="H98" t="str">
            <v>NO</v>
          </cell>
          <cell r="I98" t="str">
            <v>Medicina</v>
          </cell>
          <cell r="J98" t="str">
            <v>Especialista en Medicina Familiar y Comunitaria</v>
          </cell>
          <cell r="K98" t="str">
            <v/>
          </cell>
          <cell r="L98" t="str">
            <v/>
          </cell>
          <cell r="M98" t="str">
            <v>Professional</v>
          </cell>
          <cell r="N98" t="str">
            <v/>
          </cell>
          <cell r="O98" t="str">
            <v>CBS</v>
          </cell>
          <cell r="P98">
            <v>0</v>
          </cell>
          <cell r="Q98" t="str">
            <v xml:space="preserve"> </v>
          </cell>
          <cell r="R98"/>
          <cell r="S98"/>
          <cell r="T98" t="str">
            <v>Sin reducción</v>
          </cell>
          <cell r="U98">
            <v>0</v>
          </cell>
          <cell r="V98"/>
          <cell r="W98"/>
          <cell r="X98">
            <v>0</v>
          </cell>
          <cell r="Y98">
            <v>0</v>
          </cell>
          <cell r="Z98">
            <v>0</v>
          </cell>
          <cell r="AA98"/>
          <cell r="AB98" t="str">
            <v>Active - signed</v>
          </cell>
          <cell r="AC98" t="str">
            <v>ACTIVO</v>
          </cell>
          <cell r="AD98"/>
          <cell r="AE98"/>
          <cell r="AF98"/>
          <cell r="AG98"/>
          <cell r="AH98"/>
          <cell r="AI98" t="str">
            <v>44204856Y</v>
          </cell>
        </row>
        <row r="99">
          <cell r="A99" t="str">
            <v>Y8121704G</v>
          </cell>
          <cell r="B99" t="str">
            <v>Behrens Cervoni</v>
          </cell>
          <cell r="C99" t="str">
            <v>Denise</v>
          </cell>
          <cell r="D99" t="str">
            <v>Behrens Cervoni, Denise</v>
          </cell>
          <cell r="E99" t="str">
            <v>denise.behrens</v>
          </cell>
          <cell r="F99" t="str">
            <v>denise.behrens@professor.universidadviu.com</v>
          </cell>
          <cell r="G99" t="str">
            <v>NO</v>
          </cell>
          <cell r="H99" t="str">
            <v>NO</v>
          </cell>
          <cell r="I99" t="str">
            <v>Logopedia</v>
          </cell>
          <cell r="J99" t="str">
            <v/>
          </cell>
          <cell r="K99" t="str">
            <v/>
          </cell>
          <cell r="L99" t="str">
            <v/>
          </cell>
          <cell r="M99" t="str">
            <v>Labour</v>
          </cell>
          <cell r="N99"/>
          <cell r="O99" t="str">
            <v>CBS</v>
          </cell>
          <cell r="P99" t="str">
            <v>12,00</v>
          </cell>
          <cell r="Q99" t="b">
            <v>0</v>
          </cell>
          <cell r="R99"/>
          <cell r="S99"/>
          <cell r="T99" t="str">
            <v>Sin reducción</v>
          </cell>
          <cell r="U99">
            <v>0</v>
          </cell>
          <cell r="V99"/>
          <cell r="W99"/>
          <cell r="X99">
            <v>0</v>
          </cell>
          <cell r="Y99">
            <v>0</v>
          </cell>
          <cell r="Z99">
            <v>0</v>
          </cell>
          <cell r="AA99"/>
          <cell r="AB99" t="str">
            <v>Concluded</v>
          </cell>
          <cell r="AC99" t="str">
            <v>NO ACTIVO</v>
          </cell>
          <cell r="AD99"/>
          <cell r="AE99"/>
          <cell r="AF99">
            <v>45533</v>
          </cell>
          <cell r="AG99" t="str">
            <v>CESE DE CONTRATO</v>
          </cell>
          <cell r="AH99"/>
          <cell r="AI99" t="str">
            <v>Y8121704G</v>
          </cell>
        </row>
        <row r="100">
          <cell r="A100" t="str">
            <v>48469134S</v>
          </cell>
          <cell r="B100" t="str">
            <v>Belda Ferri</v>
          </cell>
          <cell r="C100" t="str">
            <v>Lorena</v>
          </cell>
          <cell r="D100" t="str">
            <v>Belda Ferri, Lorena</v>
          </cell>
          <cell r="E100" t="str">
            <v>lorena.belda</v>
          </cell>
          <cell r="F100" t="str">
            <v>lorena.belda@professor.universidadviu.com</v>
          </cell>
          <cell r="G100" t="str">
            <v>Yes</v>
          </cell>
          <cell r="H100" t="str">
            <v>NO</v>
          </cell>
          <cell r="I100" t="str">
            <v>Psicología</v>
          </cell>
          <cell r="J100" t="str">
            <v>Programa Actividad Humana y Procesos Psicológicos II</v>
          </cell>
          <cell r="K100" t="str">
            <v/>
          </cell>
          <cell r="L100" t="str">
            <v/>
          </cell>
          <cell r="M100" t="str">
            <v>Labour</v>
          </cell>
          <cell r="N100" t="str">
            <v>Villanueva Blasco, Víctor José</v>
          </cell>
          <cell r="O100" t="str">
            <v>CSS</v>
          </cell>
          <cell r="P100">
            <v>100</v>
          </cell>
          <cell r="Q100" t="str">
            <v>50</v>
          </cell>
          <cell r="R100"/>
          <cell r="S100"/>
          <cell r="T100" t="str">
            <v>Sin reducción</v>
          </cell>
          <cell r="U100">
            <v>0</v>
          </cell>
          <cell r="V100">
            <v>24</v>
          </cell>
          <cell r="W100" t="str">
            <v>EDUCACIÓN</v>
          </cell>
          <cell r="X100">
            <v>10.8</v>
          </cell>
          <cell r="Y100">
            <v>0</v>
          </cell>
          <cell r="Z100">
            <v>15.2</v>
          </cell>
          <cell r="AA100"/>
          <cell r="AB100" t="str">
            <v>Active - signed</v>
          </cell>
          <cell r="AC100" t="str">
            <v>ACTIVO</v>
          </cell>
          <cell r="AD100"/>
          <cell r="AE100"/>
          <cell r="AF100"/>
          <cell r="AG100"/>
          <cell r="AH100"/>
          <cell r="AI100" t="str">
            <v>48469134S</v>
          </cell>
        </row>
        <row r="101">
          <cell r="A101" t="str">
            <v>71308226S</v>
          </cell>
          <cell r="B101" t="str">
            <v>Bellanco Sevilla</v>
          </cell>
          <cell r="C101" t="str">
            <v>Alicia</v>
          </cell>
          <cell r="D101" t="str">
            <v>Bellanco Sevilla, Alicia</v>
          </cell>
          <cell r="E101" t="str">
            <v>abellancos@professor.universidadviu.com</v>
          </cell>
          <cell r="F101" t="str">
            <v>abellancos@professor.universidadviu.com</v>
          </cell>
          <cell r="G101" t="str">
            <v>Yes</v>
          </cell>
          <cell r="H101" t="str">
            <v>NO</v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>Labour</v>
          </cell>
          <cell r="N101"/>
          <cell r="O101" t="str">
            <v>CBS</v>
          </cell>
          <cell r="P101">
            <v>12</v>
          </cell>
          <cell r="Q101" t="str">
            <v>12</v>
          </cell>
          <cell r="R101" t="str">
            <v>Laboralización marzo</v>
          </cell>
          <cell r="S101"/>
          <cell r="T101" t="str">
            <v>Sin reducción</v>
          </cell>
          <cell r="U101">
            <v>0</v>
          </cell>
          <cell r="V101"/>
          <cell r="W101"/>
          <cell r="X101">
            <v>0</v>
          </cell>
          <cell r="Y101">
            <v>9</v>
          </cell>
          <cell r="Z101">
            <v>0</v>
          </cell>
          <cell r="AA101"/>
          <cell r="AB101" t="str">
            <v>Pending Sign</v>
          </cell>
          <cell r="AC101" t="str">
            <v>ACTIVO</v>
          </cell>
          <cell r="AD101"/>
          <cell r="AE101"/>
          <cell r="AF101"/>
          <cell r="AG101"/>
          <cell r="AH101" t="str">
            <v>PTE. LABORALIZACIÓN/ PROPUESTA LABORAL</v>
          </cell>
          <cell r="AI101" t="str">
            <v>71308226S</v>
          </cell>
        </row>
        <row r="102">
          <cell r="A102" t="str">
            <v>51502808N</v>
          </cell>
          <cell r="B102" t="str">
            <v>Belloch Gómez</v>
          </cell>
          <cell r="C102" t="str">
            <v>Raquel</v>
          </cell>
          <cell r="D102" t="str">
            <v>Belloch Gómez, Raquel</v>
          </cell>
          <cell r="E102" t="e">
            <v>#VALUE!</v>
          </cell>
          <cell r="F102"/>
          <cell r="G102" t="e">
            <v>#VALUE!</v>
          </cell>
          <cell r="H102" t="e">
            <v>#VALUE!</v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>Labour</v>
          </cell>
          <cell r="N102"/>
          <cell r="O102" t="str">
            <v>CSS</v>
          </cell>
          <cell r="P102">
            <v>50</v>
          </cell>
          <cell r="Q102" t="str">
            <v>38</v>
          </cell>
          <cell r="R102" t="str">
            <v>Laboralización abril?</v>
          </cell>
          <cell r="S102"/>
          <cell r="T102" t="str">
            <v>Sin reducción</v>
          </cell>
          <cell r="U102">
            <v>0</v>
          </cell>
          <cell r="V102"/>
          <cell r="W102"/>
          <cell r="X102">
            <v>13</v>
          </cell>
          <cell r="Y102">
            <v>0</v>
          </cell>
          <cell r="Z102">
            <v>0</v>
          </cell>
          <cell r="AA102"/>
          <cell r="AB102" t="e">
            <v>#VALUE!</v>
          </cell>
          <cell r="AC102" t="str">
            <v>ACTIVO</v>
          </cell>
          <cell r="AD102"/>
          <cell r="AE102"/>
          <cell r="AF102"/>
          <cell r="AG102"/>
          <cell r="AH102" t="str">
            <v>PTE. LABORALIZACIÓN/ PROPUESTA LABORAL</v>
          </cell>
          <cell r="AI102" t="str">
            <v>51502808N</v>
          </cell>
        </row>
        <row r="103">
          <cell r="A103" t="str">
            <v>52641331N</v>
          </cell>
          <cell r="B103" t="str">
            <v>Belloch Mont</v>
          </cell>
          <cell r="C103" t="str">
            <v>Nuria</v>
          </cell>
          <cell r="D103" t="str">
            <v>Belloch Mont, Nuria</v>
          </cell>
          <cell r="E103" t="str">
            <v>nuria.belloch</v>
          </cell>
          <cell r="F103" t="str">
            <v>nuria.belloch@professor.universidadviu.com</v>
          </cell>
          <cell r="G103" t="str">
            <v>NO</v>
          </cell>
          <cell r="H103" t="str">
            <v>NO</v>
          </cell>
          <cell r="I103" t="str">
            <v>Psicología</v>
          </cell>
          <cell r="J103" t="str">
            <v>Máster en Psicología Jurídica y peritación psicológica forense</v>
          </cell>
          <cell r="K103" t="str">
            <v/>
          </cell>
          <cell r="L103" t="str">
            <v/>
          </cell>
          <cell r="M103" t="str">
            <v>Labour</v>
          </cell>
          <cell r="N103" t="str">
            <v>Hernández Saguar, Aida Esther</v>
          </cell>
          <cell r="O103" t="str">
            <v>CSS</v>
          </cell>
          <cell r="P103">
            <v>30</v>
          </cell>
          <cell r="Q103" t="str">
            <v>24</v>
          </cell>
          <cell r="R103"/>
          <cell r="S103"/>
          <cell r="T103" t="str">
            <v>Sin reducción</v>
          </cell>
          <cell r="U103">
            <v>0</v>
          </cell>
          <cell r="V103"/>
          <cell r="W103"/>
          <cell r="X103">
            <v>21</v>
          </cell>
          <cell r="Y103">
            <v>3</v>
          </cell>
          <cell r="Z103">
            <v>0</v>
          </cell>
          <cell r="AA103"/>
          <cell r="AB103" t="str">
            <v>Active - signed</v>
          </cell>
          <cell r="AC103" t="str">
            <v>ACTIVO</v>
          </cell>
          <cell r="AD103"/>
          <cell r="AE103"/>
          <cell r="AF103"/>
          <cell r="AG103"/>
          <cell r="AH103"/>
          <cell r="AI103" t="str">
            <v>52641331N</v>
          </cell>
        </row>
        <row r="104">
          <cell r="A104" t="str">
            <v>19460773J</v>
          </cell>
          <cell r="B104" t="str">
            <v>Benavent Cervera</v>
          </cell>
          <cell r="C104" t="str">
            <v>José Vicente</v>
          </cell>
          <cell r="D104" t="str">
            <v>Benavent Cervera, José Vicente</v>
          </cell>
          <cell r="E104" t="str">
            <v>josevicente.benavent</v>
          </cell>
          <cell r="F104" t="str">
            <v>josevicente.benavent@professional.universidadviu.com</v>
          </cell>
          <cell r="G104" t="str">
            <v>Yes</v>
          </cell>
          <cell r="H104" t="str">
            <v>NO</v>
          </cell>
          <cell r="I104" t="str">
            <v>Licenciado</v>
          </cell>
          <cell r="J104" t="str">
            <v>Procesos de envejecimiento: estrategias sociosanitarias</v>
          </cell>
          <cell r="K104" t="str">
            <v/>
          </cell>
          <cell r="L104" t="str">
            <v/>
          </cell>
          <cell r="M104" t="str">
            <v>Professional</v>
          </cell>
          <cell r="N104" t="str">
            <v/>
          </cell>
          <cell r="O104" t="str">
            <v>CBS</v>
          </cell>
          <cell r="P104">
            <v>0</v>
          </cell>
          <cell r="Q104" t="str">
            <v xml:space="preserve"> </v>
          </cell>
          <cell r="R104"/>
          <cell r="S104"/>
          <cell r="T104" t="str">
            <v>Sin reducción</v>
          </cell>
          <cell r="U104">
            <v>0</v>
          </cell>
          <cell r="V104"/>
          <cell r="W104"/>
          <cell r="X104">
            <v>0</v>
          </cell>
          <cell r="Y104">
            <v>0</v>
          </cell>
          <cell r="Z104">
            <v>0</v>
          </cell>
          <cell r="AA104"/>
          <cell r="AB104" t="str">
            <v>Active - signed</v>
          </cell>
          <cell r="AC104" t="str">
            <v>ACTIVO</v>
          </cell>
          <cell r="AD104"/>
          <cell r="AE104"/>
          <cell r="AF104"/>
          <cell r="AG104"/>
          <cell r="AH104"/>
          <cell r="AI104" t="str">
            <v>19460773J</v>
          </cell>
        </row>
        <row r="105">
          <cell r="A105" t="str">
            <v>20458746Q</v>
          </cell>
          <cell r="B105" t="str">
            <v>Benetó Gandía</v>
          </cell>
          <cell r="C105" t="str">
            <v>Noelia</v>
          </cell>
          <cell r="D105" t="str">
            <v>Benetó Gandía, Noelia</v>
          </cell>
          <cell r="E105" t="str">
            <v>noelia.beneto</v>
          </cell>
          <cell r="F105" t="str">
            <v>noelia.beneto@professional.universidadviu.com</v>
          </cell>
          <cell r="G105" t="str">
            <v>Yes</v>
          </cell>
          <cell r="H105" t="str">
            <v>NO</v>
          </cell>
          <cell r="I105" t="str">
            <v>Bioquímica</v>
          </cell>
          <cell r="J105" t="str">
            <v>Máster en Genética y Genómica</v>
          </cell>
          <cell r="K105" t="str">
            <v>Grado en Bioquímica y Ciencias Biomédicas</v>
          </cell>
          <cell r="L105" t="str">
            <v/>
          </cell>
          <cell r="M105" t="str">
            <v>Professional</v>
          </cell>
          <cell r="N105" t="str">
            <v/>
          </cell>
          <cell r="O105" t="str">
            <v>CBS</v>
          </cell>
          <cell r="P105">
            <v>0</v>
          </cell>
          <cell r="Q105" t="str">
            <v xml:space="preserve"> </v>
          </cell>
          <cell r="R105"/>
          <cell r="S105"/>
          <cell r="T105" t="str">
            <v>Sin reducción</v>
          </cell>
          <cell r="U105">
            <v>0</v>
          </cell>
          <cell r="V105"/>
          <cell r="W105"/>
          <cell r="X105">
            <v>0</v>
          </cell>
          <cell r="Y105">
            <v>0</v>
          </cell>
          <cell r="Z105">
            <v>0</v>
          </cell>
          <cell r="AA105"/>
          <cell r="AB105" t="str">
            <v>Concluded</v>
          </cell>
          <cell r="AC105" t="str">
            <v>NO ACTIVO</v>
          </cell>
          <cell r="AD105"/>
          <cell r="AE105"/>
          <cell r="AF105"/>
          <cell r="AG105" t="str">
            <v>CESE DE CONTRATO</v>
          </cell>
          <cell r="AH105"/>
          <cell r="AI105" t="str">
            <v>20458746Q</v>
          </cell>
        </row>
        <row r="106">
          <cell r="A106" t="str">
            <v>11897103P</v>
          </cell>
          <cell r="B106" t="str">
            <v>Benito Ballesteros</v>
          </cell>
          <cell r="C106" t="str">
            <v>Álvaro</v>
          </cell>
          <cell r="D106" t="str">
            <v>Benito Ballesteros, Álvaro</v>
          </cell>
          <cell r="E106" t="str">
            <v>abenitob@professor.universidadviu.com</v>
          </cell>
          <cell r="F106" t="str">
            <v>abenitob@professor.universidadviu.com</v>
          </cell>
          <cell r="G106" t="str">
            <v>NO</v>
          </cell>
          <cell r="H106" t="str">
            <v>NO</v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>Labour</v>
          </cell>
          <cell r="N106"/>
          <cell r="O106" t="str">
            <v>CSS</v>
          </cell>
          <cell r="P106">
            <v>100</v>
          </cell>
          <cell r="Q106" t="str">
            <v>50</v>
          </cell>
          <cell r="R106"/>
          <cell r="S106"/>
          <cell r="T106" t="str">
            <v>Sin reducción</v>
          </cell>
          <cell r="U106">
            <v>0</v>
          </cell>
          <cell r="V106"/>
          <cell r="W106"/>
          <cell r="X106">
            <v>32</v>
          </cell>
          <cell r="Y106">
            <v>0</v>
          </cell>
          <cell r="Z106">
            <v>12.4</v>
          </cell>
          <cell r="AA106"/>
          <cell r="AB106" t="str">
            <v>Active - signed</v>
          </cell>
          <cell r="AC106" t="str">
            <v>ACTIVO</v>
          </cell>
          <cell r="AD106"/>
          <cell r="AE106"/>
          <cell r="AF106"/>
          <cell r="AG106"/>
          <cell r="AH106"/>
          <cell r="AI106" t="str">
            <v>11897103P</v>
          </cell>
        </row>
        <row r="107">
          <cell r="A107" t="str">
            <v>06267539Q</v>
          </cell>
          <cell r="B107" t="str">
            <v>Benito Lara</v>
          </cell>
          <cell r="C107" t="str">
            <v>Elena</v>
          </cell>
          <cell r="D107" t="str">
            <v>Benito Lara, Elena</v>
          </cell>
          <cell r="E107" t="str">
            <v>ebenitol@professional.universidadviu.com</v>
          </cell>
          <cell r="F107" t="str">
            <v>ebenitol@professional.universidadviu.com</v>
          </cell>
          <cell r="G107" t="str">
            <v>Yes</v>
          </cell>
          <cell r="H107" t="str">
            <v>NO</v>
          </cell>
          <cell r="I107" t="str">
            <v>Doctorado en psicologia</v>
          </cell>
          <cell r="J107" t="str">
            <v>Licenciada en Psicología</v>
          </cell>
          <cell r="K107" t="str">
            <v>Máster Universitario en Psicopatología y Salud</v>
          </cell>
          <cell r="L107" t="str">
            <v/>
          </cell>
          <cell r="M107" t="str">
            <v>Professional</v>
          </cell>
          <cell r="N107" t="str">
            <v/>
          </cell>
          <cell r="O107" t="str">
            <v>CSS</v>
          </cell>
          <cell r="P107">
            <v>0</v>
          </cell>
          <cell r="Q107" t="str">
            <v xml:space="preserve"> </v>
          </cell>
          <cell r="R107"/>
          <cell r="S107"/>
          <cell r="T107" t="str">
            <v>Sin reducción</v>
          </cell>
          <cell r="U107">
            <v>0</v>
          </cell>
          <cell r="V107"/>
          <cell r="W107"/>
          <cell r="X107">
            <v>0</v>
          </cell>
          <cell r="Y107">
            <v>0</v>
          </cell>
          <cell r="Z107">
            <v>0</v>
          </cell>
          <cell r="AA107"/>
          <cell r="AB107" t="str">
            <v>Active - signed</v>
          </cell>
          <cell r="AC107" t="str">
            <v>ACTIVO</v>
          </cell>
          <cell r="AD107"/>
          <cell r="AE107"/>
          <cell r="AF107"/>
          <cell r="AG107"/>
          <cell r="AH107"/>
          <cell r="AI107" t="str">
            <v>06267539Q</v>
          </cell>
        </row>
        <row r="108">
          <cell r="A108" t="str">
            <v>51784009S</v>
          </cell>
          <cell r="B108" t="str">
            <v>Bensaboura L'Assri</v>
          </cell>
          <cell r="C108" t="str">
            <v>Ibtissam</v>
          </cell>
          <cell r="D108" t="str">
            <v>Bensaboura L'Assri, Ibtissam</v>
          </cell>
          <cell r="E108" t="str">
            <v>ibenaboural@professional.universidadviu.com</v>
          </cell>
          <cell r="F108" t="str">
            <v>ibenaboural@professional.universidadviu.com</v>
          </cell>
          <cell r="G108" t="str">
            <v>NO</v>
          </cell>
          <cell r="H108" t="str">
            <v>NO</v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>Professional</v>
          </cell>
          <cell r="N108"/>
          <cell r="O108" t="str">
            <v>CBS</v>
          </cell>
          <cell r="P108">
            <v>0</v>
          </cell>
          <cell r="Q108" t="str">
            <v xml:space="preserve"> </v>
          </cell>
          <cell r="R108"/>
          <cell r="S108"/>
          <cell r="T108" t="str">
            <v>Sin reducción</v>
          </cell>
          <cell r="U108">
            <v>0</v>
          </cell>
          <cell r="V108"/>
          <cell r="W108"/>
          <cell r="X108">
            <v>0</v>
          </cell>
          <cell r="Y108">
            <v>0</v>
          </cell>
          <cell r="Z108">
            <v>0</v>
          </cell>
          <cell r="AA108"/>
          <cell r="AB108" t="str">
            <v>Active - signed</v>
          </cell>
          <cell r="AC108" t="str">
            <v>ACTIVO</v>
          </cell>
          <cell r="AD108"/>
          <cell r="AE108"/>
          <cell r="AF108"/>
          <cell r="AG108"/>
          <cell r="AH108"/>
          <cell r="AI108" t="str">
            <v>51784009S</v>
          </cell>
        </row>
        <row r="109">
          <cell r="A109" t="str">
            <v>24366224R</v>
          </cell>
          <cell r="B109" t="str">
            <v>Bermejo Ruiz</v>
          </cell>
          <cell r="C109" t="str">
            <v>José Luis</v>
          </cell>
          <cell r="D109" t="str">
            <v>Bermejo Ruiz, José Luis</v>
          </cell>
          <cell r="E109" t="str">
            <v>joseluis.bermejo</v>
          </cell>
          <cell r="F109" t="str">
            <v>joseluis.bermejo@professional.universidadviu.com</v>
          </cell>
          <cell r="G109" t="str">
            <v>Yes</v>
          </cell>
          <cell r="H109" t="str">
            <v>Yes</v>
          </cell>
          <cell r="I109" t="str">
            <v>Licenciado</v>
          </cell>
          <cell r="J109" t="str">
            <v>Programa Oficial de Doctorado en Investigación y Desarrollo</v>
          </cell>
          <cell r="K109" t="str">
            <v/>
          </cell>
          <cell r="L109" t="str">
            <v/>
          </cell>
          <cell r="M109" t="str">
            <v>Professional</v>
          </cell>
          <cell r="N109" t="str">
            <v/>
          </cell>
          <cell r="O109" t="str">
            <v>CSS</v>
          </cell>
          <cell r="P109">
            <v>0</v>
          </cell>
          <cell r="Q109" t="str">
            <v xml:space="preserve"> </v>
          </cell>
          <cell r="R109"/>
          <cell r="S109"/>
          <cell r="T109" t="str">
            <v>Sin reducción</v>
          </cell>
          <cell r="U109">
            <v>0</v>
          </cell>
          <cell r="V109"/>
          <cell r="W109"/>
          <cell r="X109">
            <v>0</v>
          </cell>
          <cell r="Y109">
            <v>0</v>
          </cell>
          <cell r="Z109">
            <v>0</v>
          </cell>
          <cell r="AA109"/>
          <cell r="AB109" t="str">
            <v>Active - signed</v>
          </cell>
          <cell r="AC109" t="str">
            <v>ACTIVO</v>
          </cell>
          <cell r="AD109"/>
          <cell r="AE109"/>
          <cell r="AF109"/>
          <cell r="AG109"/>
          <cell r="AH109"/>
          <cell r="AI109" t="str">
            <v>24366224R</v>
          </cell>
        </row>
        <row r="110">
          <cell r="A110" t="str">
            <v>76947298Q</v>
          </cell>
          <cell r="B110" t="str">
            <v>Bernárdez Menéndez</v>
          </cell>
          <cell r="C110" t="str">
            <v>Cristina</v>
          </cell>
          <cell r="D110" t="str">
            <v>Bernárdez Menéndez, Cristina</v>
          </cell>
          <cell r="E110" t="str">
            <v>cbernardezm@professional.universidadviu.com</v>
          </cell>
          <cell r="F110" t="str">
            <v>cbernardezm@professional.universidadviu.com</v>
          </cell>
          <cell r="G110" t="str">
            <v>NO</v>
          </cell>
          <cell r="H110" t="str">
            <v>NO</v>
          </cell>
          <cell r="I110" t="str">
            <v>Máster Intervención psicosocial</v>
          </cell>
          <cell r="J110" t="str">
            <v>Licenciada en Psicología</v>
          </cell>
          <cell r="K110" t="str">
            <v/>
          </cell>
          <cell r="L110" t="str">
            <v/>
          </cell>
          <cell r="M110" t="str">
            <v>Professional</v>
          </cell>
          <cell r="N110" t="str">
            <v/>
          </cell>
          <cell r="O110" t="str">
            <v>CSS</v>
          </cell>
          <cell r="P110">
            <v>0</v>
          </cell>
          <cell r="Q110" t="str">
            <v xml:space="preserve"> </v>
          </cell>
          <cell r="R110"/>
          <cell r="S110"/>
          <cell r="T110" t="str">
            <v>Sin reducción</v>
          </cell>
          <cell r="U110">
            <v>0</v>
          </cell>
          <cell r="V110"/>
          <cell r="W110"/>
          <cell r="X110">
            <v>0</v>
          </cell>
          <cell r="Y110">
            <v>0</v>
          </cell>
          <cell r="Z110">
            <v>0</v>
          </cell>
          <cell r="AA110"/>
          <cell r="AB110" t="str">
            <v>Active - signed</v>
          </cell>
          <cell r="AC110" t="str">
            <v>ACTIVO</v>
          </cell>
          <cell r="AD110"/>
          <cell r="AE110"/>
          <cell r="AF110"/>
          <cell r="AG110"/>
          <cell r="AH110"/>
          <cell r="AI110" t="str">
            <v>76947298Q</v>
          </cell>
        </row>
        <row r="111">
          <cell r="A111" t="str">
            <v>79109907G</v>
          </cell>
          <cell r="B111" t="str">
            <v>Berral Ortiz</v>
          </cell>
          <cell r="C111" t="str">
            <v>Blanca</v>
          </cell>
          <cell r="D111" t="str">
            <v>Berral Ortiz, Blanca</v>
          </cell>
          <cell r="E111" t="str">
            <v>bberralo@professional.universidadviu.com</v>
          </cell>
          <cell r="F111" t="str">
            <v>bberralo@professional.universidadviu.com</v>
          </cell>
          <cell r="G111" t="str">
            <v>Yes</v>
          </cell>
          <cell r="H111" t="str">
            <v>Yes</v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>Professional</v>
          </cell>
          <cell r="N111"/>
          <cell r="O111" t="str">
            <v>CSS</v>
          </cell>
          <cell r="P111">
            <v>0</v>
          </cell>
          <cell r="Q111" t="str">
            <v xml:space="preserve"> </v>
          </cell>
          <cell r="R111"/>
          <cell r="S111"/>
          <cell r="T111" t="str">
            <v>Sin reducción</v>
          </cell>
          <cell r="U111">
            <v>0</v>
          </cell>
          <cell r="V111"/>
          <cell r="W111"/>
          <cell r="X111">
            <v>0</v>
          </cell>
          <cell r="Y111">
            <v>0</v>
          </cell>
          <cell r="Z111">
            <v>0</v>
          </cell>
          <cell r="AA111"/>
          <cell r="AB111" t="str">
            <v>Active - signed</v>
          </cell>
          <cell r="AC111" t="str">
            <v>ACTIVO</v>
          </cell>
          <cell r="AD111"/>
          <cell r="AE111"/>
          <cell r="AF111"/>
          <cell r="AG111"/>
          <cell r="AH111"/>
          <cell r="AI111" t="str">
            <v>79109907G</v>
          </cell>
        </row>
        <row r="112">
          <cell r="A112" t="str">
            <v>10236458D</v>
          </cell>
          <cell r="B112" t="str">
            <v>Berrio Beltrán</v>
          </cell>
          <cell r="C112" t="str">
            <v>Ángela</v>
          </cell>
          <cell r="D112" t="str">
            <v>Berrio Beltrán, Ángela</v>
          </cell>
          <cell r="E112" t="str">
            <v>aberiob@professional.universidadviu.com</v>
          </cell>
          <cell r="F112"/>
          <cell r="G112" t="str">
            <v>Yes</v>
          </cell>
          <cell r="H112" t="str">
            <v>NO</v>
          </cell>
          <cell r="I112" t="str">
            <v>Megister en psicología</v>
          </cell>
          <cell r="J112" t="str">
            <v>Psicóloga</v>
          </cell>
          <cell r="K112" t="str">
            <v>Doctorado en Psicología Clínica y de la Salud</v>
          </cell>
          <cell r="L112" t="str">
            <v/>
          </cell>
          <cell r="M112" t="str">
            <v>Professional</v>
          </cell>
          <cell r="N112" t="str">
            <v/>
          </cell>
          <cell r="O112" t="str">
            <v>CSS</v>
          </cell>
          <cell r="P112">
            <v>0</v>
          </cell>
          <cell r="Q112" t="str">
            <v xml:space="preserve"> </v>
          </cell>
          <cell r="R112"/>
          <cell r="S112"/>
          <cell r="T112" t="str">
            <v>Sin reducción</v>
          </cell>
          <cell r="U112">
            <v>0</v>
          </cell>
          <cell r="V112"/>
          <cell r="W112"/>
          <cell r="X112">
            <v>0</v>
          </cell>
          <cell r="Y112">
            <v>0</v>
          </cell>
          <cell r="Z112">
            <v>0</v>
          </cell>
          <cell r="AA112"/>
          <cell r="AB112" t="str">
            <v>Active - signed</v>
          </cell>
          <cell r="AC112" t="str">
            <v>ACTIVO</v>
          </cell>
          <cell r="AD112"/>
          <cell r="AE112"/>
          <cell r="AF112"/>
          <cell r="AG112"/>
          <cell r="AH112"/>
          <cell r="AI112" t="str">
            <v>10236458D</v>
          </cell>
        </row>
        <row r="113">
          <cell r="A113" t="str">
            <v>53428238C</v>
          </cell>
          <cell r="B113" t="str">
            <v>Bertomeu Heras</v>
          </cell>
          <cell r="C113" t="str">
            <v>Vanessa</v>
          </cell>
          <cell r="D113" t="str">
            <v>Bertomeu Heras, Vanessa</v>
          </cell>
          <cell r="E113" t="str">
            <v>vbertomeuh@professional.universidadviu.com</v>
          </cell>
          <cell r="F113" t="str">
            <v>vbertomeuh@professional.universidadviu.com</v>
          </cell>
          <cell r="G113" t="str">
            <v>NO</v>
          </cell>
          <cell r="H113" t="str">
            <v>NO</v>
          </cell>
          <cell r="I113" t="str">
            <v>Master Psicología General Sanitaria</v>
          </cell>
          <cell r="J113" t="str">
            <v>Grado en Psicología</v>
          </cell>
          <cell r="K113" t="str">
            <v/>
          </cell>
          <cell r="L113" t="str">
            <v/>
          </cell>
          <cell r="M113" t="str">
            <v>Professional</v>
          </cell>
          <cell r="N113" t="str">
            <v/>
          </cell>
          <cell r="O113" t="str">
            <v>CSS</v>
          </cell>
          <cell r="P113">
            <v>0</v>
          </cell>
          <cell r="Q113" t="str">
            <v xml:space="preserve"> </v>
          </cell>
          <cell r="R113"/>
          <cell r="S113"/>
          <cell r="T113" t="str">
            <v>Sin reducción</v>
          </cell>
          <cell r="U113">
            <v>0</v>
          </cell>
          <cell r="V113"/>
          <cell r="W113"/>
          <cell r="X113">
            <v>0</v>
          </cell>
          <cell r="Y113">
            <v>0</v>
          </cell>
          <cell r="Z113">
            <v>0</v>
          </cell>
          <cell r="AA113"/>
          <cell r="AB113" t="str">
            <v>Active - signed</v>
          </cell>
          <cell r="AC113" t="str">
            <v>ACTIVO</v>
          </cell>
          <cell r="AD113"/>
          <cell r="AE113"/>
          <cell r="AF113"/>
          <cell r="AG113"/>
          <cell r="AH113"/>
          <cell r="AI113" t="str">
            <v>53428238C</v>
          </cell>
        </row>
        <row r="114">
          <cell r="A114" t="str">
            <v>25177735A</v>
          </cell>
          <cell r="B114" t="str">
            <v>Bescós Marco</v>
          </cell>
          <cell r="C114" t="str">
            <v>Pedro David</v>
          </cell>
          <cell r="D114" t="str">
            <v>Bescós Marco, Pedro David</v>
          </cell>
          <cell r="E114" t="str">
            <v>pbescosm@professional.universidadviu.com</v>
          </cell>
          <cell r="F114" t="str">
            <v>pbescosm@professional.universidadviu.com</v>
          </cell>
          <cell r="G114" t="str">
            <v>NO</v>
          </cell>
          <cell r="H114" t="str">
            <v>NO</v>
          </cell>
          <cell r="I114" t="str">
            <v>MÁSTER EN PSICOLOGÍA GENERAL SANITARIA</v>
          </cell>
          <cell r="J114" t="str">
            <v>GRADO EN PSICOLOGÍA</v>
          </cell>
          <cell r="K114" t="str">
            <v/>
          </cell>
          <cell r="L114" t="str">
            <v/>
          </cell>
          <cell r="M114" t="str">
            <v>Professional</v>
          </cell>
          <cell r="N114" t="str">
            <v/>
          </cell>
          <cell r="O114" t="str">
            <v>CSS</v>
          </cell>
          <cell r="P114">
            <v>0</v>
          </cell>
          <cell r="Q114" t="str">
            <v xml:space="preserve"> </v>
          </cell>
          <cell r="R114"/>
          <cell r="S114"/>
          <cell r="T114" t="str">
            <v>Sin reducción</v>
          </cell>
          <cell r="U114">
            <v>0</v>
          </cell>
          <cell r="V114"/>
          <cell r="W114"/>
          <cell r="X114">
            <v>0</v>
          </cell>
          <cell r="Y114">
            <v>0</v>
          </cell>
          <cell r="Z114">
            <v>0</v>
          </cell>
          <cell r="AA114"/>
          <cell r="AB114" t="str">
            <v>Active - signed</v>
          </cell>
          <cell r="AC114" t="str">
            <v>ACTIVO</v>
          </cell>
          <cell r="AD114"/>
          <cell r="AE114"/>
          <cell r="AF114"/>
          <cell r="AG114"/>
          <cell r="AH114"/>
          <cell r="AI114" t="str">
            <v>25177735A</v>
          </cell>
        </row>
        <row r="115">
          <cell r="A115" t="str">
            <v>78935612A</v>
          </cell>
          <cell r="B115" t="str">
            <v>Bezos Roseñada</v>
          </cell>
          <cell r="C115" t="str">
            <v>Laura</v>
          </cell>
          <cell r="D115" t="str">
            <v>Bezos Roseñada, Laura</v>
          </cell>
          <cell r="E115" t="str">
            <v>laura.bezos</v>
          </cell>
          <cell r="F115" t="str">
            <v>laura.bezos@professor.universidadviu.com</v>
          </cell>
          <cell r="G115" t="str">
            <v>NO</v>
          </cell>
          <cell r="H115" t="str">
            <v>NO</v>
          </cell>
          <cell r="I115" t="str">
            <v>Máster en Gestión Sanitaria</v>
          </cell>
          <cell r="J115" t="str">
            <v>Máster Universitario en Economía de la Salud y del Medicamento</v>
          </cell>
          <cell r="K115" t="str">
            <v>Grado en Enfermería</v>
          </cell>
          <cell r="L115" t="str">
            <v/>
          </cell>
          <cell r="M115" t="str">
            <v>Labour</v>
          </cell>
          <cell r="N115" t="str">
            <v>Vila Candel, Rafael</v>
          </cell>
          <cell r="O115" t="str">
            <v>CBS</v>
          </cell>
          <cell r="P115">
            <v>18</v>
          </cell>
          <cell r="Q115" t="str">
            <v>18</v>
          </cell>
          <cell r="R115"/>
          <cell r="S115"/>
          <cell r="T115" t="str">
            <v>Sin reducción</v>
          </cell>
          <cell r="U115">
            <v>0</v>
          </cell>
          <cell r="V115"/>
          <cell r="W115"/>
          <cell r="X115">
            <v>0</v>
          </cell>
          <cell r="Y115">
            <v>12</v>
          </cell>
          <cell r="Z115">
            <v>5.8</v>
          </cell>
          <cell r="AA115"/>
          <cell r="AB115" t="str">
            <v>Active - signed</v>
          </cell>
          <cell r="AC115" t="str">
            <v>ACTIVO</v>
          </cell>
          <cell r="AD115"/>
          <cell r="AE115"/>
          <cell r="AF115"/>
          <cell r="AG115"/>
          <cell r="AH115"/>
          <cell r="AI115" t="str">
            <v>78935612A</v>
          </cell>
        </row>
        <row r="116">
          <cell r="A116">
            <v>40213993831</v>
          </cell>
          <cell r="B116" t="str">
            <v>Bigay Mercedes</v>
          </cell>
          <cell r="C116" t="str">
            <v>Bary Georderly</v>
          </cell>
          <cell r="D116" t="str">
            <v>Bigay Mercedes, Bary Georderly</v>
          </cell>
          <cell r="E116" t="str">
            <v>bbigaym@professional.universidadviu.com</v>
          </cell>
          <cell r="F116" t="str">
            <v>bbigaym@professional.universidadviu.com</v>
          </cell>
          <cell r="G116" t="str">
            <v>NO</v>
          </cell>
          <cell r="H116" t="str">
            <v>NO</v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>Professional</v>
          </cell>
          <cell r="N116"/>
          <cell r="O116" t="str">
            <v>CBS</v>
          </cell>
          <cell r="P116"/>
          <cell r="Q116" t="str">
            <v xml:space="preserve"> </v>
          </cell>
          <cell r="R116"/>
          <cell r="S116"/>
          <cell r="T116" t="str">
            <v>Sin reducción</v>
          </cell>
          <cell r="U116">
            <v>0</v>
          </cell>
          <cell r="V116"/>
          <cell r="W116"/>
          <cell r="X116">
            <v>0</v>
          </cell>
          <cell r="Y116">
            <v>0</v>
          </cell>
          <cell r="Z116">
            <v>0</v>
          </cell>
          <cell r="AA116"/>
          <cell r="AB116" t="str">
            <v>Active - signed</v>
          </cell>
          <cell r="AC116" t="str">
            <v>ACTIVO</v>
          </cell>
          <cell r="AD116"/>
          <cell r="AE116"/>
          <cell r="AF116"/>
          <cell r="AG116"/>
          <cell r="AH116"/>
          <cell r="AI116">
            <v>40213993831</v>
          </cell>
        </row>
        <row r="117">
          <cell r="A117" t="str">
            <v>53625733Z</v>
          </cell>
          <cell r="B117" t="str">
            <v>Bisetto Pons</v>
          </cell>
          <cell r="C117" t="str">
            <v>David</v>
          </cell>
          <cell r="D117" t="str">
            <v>Bisetto Pons, David</v>
          </cell>
          <cell r="E117" t="str">
            <v>david.bisetto</v>
          </cell>
          <cell r="F117" t="str">
            <v>david.bisetto@professional.universidadviu.com</v>
          </cell>
          <cell r="G117" t="str">
            <v>Yes</v>
          </cell>
          <cell r="H117" t="str">
            <v>NO</v>
          </cell>
          <cell r="I117" t="str">
            <v>Psicología</v>
          </cell>
          <cell r="J117" t="str">
            <v>Programa Oficial de Doctorado en Investigación en Psicología</v>
          </cell>
          <cell r="K117" t="str">
            <v>Máster en Psicología Clínica y de la Salud</v>
          </cell>
          <cell r="L117" t="str">
            <v/>
          </cell>
          <cell r="M117" t="str">
            <v>Professional</v>
          </cell>
          <cell r="N117" t="str">
            <v/>
          </cell>
          <cell r="O117" t="str">
            <v>CSS</v>
          </cell>
          <cell r="P117">
            <v>0</v>
          </cell>
          <cell r="Q117" t="str">
            <v xml:space="preserve"> </v>
          </cell>
          <cell r="R117"/>
          <cell r="S117"/>
          <cell r="T117" t="str">
            <v>Sin reducción</v>
          </cell>
          <cell r="U117">
            <v>0</v>
          </cell>
          <cell r="V117"/>
          <cell r="W117"/>
          <cell r="X117">
            <v>0</v>
          </cell>
          <cell r="Y117">
            <v>0</v>
          </cell>
          <cell r="Z117">
            <v>0</v>
          </cell>
          <cell r="AA117"/>
          <cell r="AB117" t="str">
            <v>Active - signed</v>
          </cell>
          <cell r="AC117" t="str">
            <v>ACTIVO</v>
          </cell>
          <cell r="AD117"/>
          <cell r="AE117"/>
          <cell r="AF117"/>
          <cell r="AG117"/>
          <cell r="AH117"/>
          <cell r="AI117" t="str">
            <v>53625733Z</v>
          </cell>
        </row>
        <row r="118">
          <cell r="A118" t="str">
            <v>47049818Y</v>
          </cell>
          <cell r="B118" t="str">
            <v>Blanco Donoso</v>
          </cell>
          <cell r="C118" t="str">
            <v>Luis Manuel</v>
          </cell>
          <cell r="D118" t="str">
            <v>Blanco Donoso, Luis Manuel</v>
          </cell>
          <cell r="E118" t="str">
            <v>luismanuel.blanco</v>
          </cell>
          <cell r="F118" t="str">
            <v>luismanuel.blanco@professional.universidadviu.com</v>
          </cell>
          <cell r="G118" t="str">
            <v>Yes</v>
          </cell>
          <cell r="H118" t="str">
            <v>Yes</v>
          </cell>
          <cell r="I118" t="str">
            <v>Psicología</v>
          </cell>
          <cell r="J118" t="str">
            <v>Programa Oficial de Doctorado en Psicología Clínica y de la Salud</v>
          </cell>
          <cell r="K118" t="str">
            <v>Máster en Práctica Clínica en Salud Mental</v>
          </cell>
          <cell r="L118" t="str">
            <v>Máster Oficial en Psicología de la Salud</v>
          </cell>
          <cell r="M118" t="str">
            <v>Professional</v>
          </cell>
          <cell r="N118" t="str">
            <v/>
          </cell>
          <cell r="O118" t="str">
            <v>CSS</v>
          </cell>
          <cell r="P118">
            <v>0</v>
          </cell>
          <cell r="Q118" t="str">
            <v xml:space="preserve"> </v>
          </cell>
          <cell r="R118"/>
          <cell r="S118"/>
          <cell r="T118" t="str">
            <v>Sin reducción</v>
          </cell>
          <cell r="U118">
            <v>0</v>
          </cell>
          <cell r="V118"/>
          <cell r="W118"/>
          <cell r="X118">
            <v>0</v>
          </cell>
          <cell r="Y118">
            <v>0</v>
          </cell>
          <cell r="Z118">
            <v>0</v>
          </cell>
          <cell r="AA118"/>
          <cell r="AB118" t="str">
            <v>Active - signed</v>
          </cell>
          <cell r="AC118" t="str">
            <v>ACTIVO</v>
          </cell>
          <cell r="AD118"/>
          <cell r="AE118"/>
          <cell r="AF118"/>
          <cell r="AG118"/>
          <cell r="AH118"/>
          <cell r="AI118" t="str">
            <v>47049818Y</v>
          </cell>
        </row>
        <row r="119">
          <cell r="A119" t="str">
            <v>53481702D</v>
          </cell>
          <cell r="B119" t="str">
            <v>Blanco Fernández</v>
          </cell>
          <cell r="C119" t="str">
            <v>Susana</v>
          </cell>
          <cell r="D119" t="str">
            <v>Blanco Fernández, Susana</v>
          </cell>
          <cell r="E119" t="str">
            <v>susana.blanco0</v>
          </cell>
          <cell r="F119" t="str">
            <v>susana.blanco0@professional.universidadviu.com</v>
          </cell>
          <cell r="G119" t="str">
            <v>Yes</v>
          </cell>
          <cell r="H119" t="str">
            <v>NO</v>
          </cell>
          <cell r="I119" t="str">
            <v>Psicología</v>
          </cell>
          <cell r="J119" t="str">
            <v>Doctorado en Psicologia del Trabajo y las Organizaciones</v>
          </cell>
          <cell r="K119" t="str">
            <v>Master universitario en psicologia jurídica</v>
          </cell>
          <cell r="L119" t="str">
            <v>Licenciatura en Psicología</v>
          </cell>
          <cell r="M119" t="str">
            <v>Professional</v>
          </cell>
          <cell r="N119" t="str">
            <v/>
          </cell>
          <cell r="O119" t="str">
            <v>CSS</v>
          </cell>
          <cell r="P119">
            <v>0</v>
          </cell>
          <cell r="Q119" t="str">
            <v xml:space="preserve"> </v>
          </cell>
          <cell r="R119"/>
          <cell r="S119"/>
          <cell r="T119" t="str">
            <v>Sin reducción</v>
          </cell>
          <cell r="U119">
            <v>0</v>
          </cell>
          <cell r="V119"/>
          <cell r="W119"/>
          <cell r="X119">
            <v>0</v>
          </cell>
          <cell r="Y119">
            <v>0</v>
          </cell>
          <cell r="Z119">
            <v>0</v>
          </cell>
          <cell r="AA119"/>
          <cell r="AB119" t="str">
            <v>Active - signed</v>
          </cell>
          <cell r="AC119" t="str">
            <v>ACTIVO</v>
          </cell>
          <cell r="AD119"/>
          <cell r="AE119"/>
          <cell r="AF119"/>
          <cell r="AG119"/>
          <cell r="AH119"/>
          <cell r="AI119" t="str">
            <v>53481702D</v>
          </cell>
        </row>
        <row r="120">
          <cell r="A120" t="str">
            <v>45633408M</v>
          </cell>
          <cell r="B120" t="str">
            <v>Blanco Núñez</v>
          </cell>
          <cell r="C120" t="str">
            <v>Basilio</v>
          </cell>
          <cell r="D120" t="str">
            <v>Blanco Núñez, Basilio</v>
          </cell>
          <cell r="E120" t="str">
            <v>basilio.blanco</v>
          </cell>
          <cell r="F120" t="str">
            <v>basilio.blanco@professor.universidadviu.com</v>
          </cell>
          <cell r="G120" t="str">
            <v>NO</v>
          </cell>
          <cell r="H120" t="str">
            <v>NO</v>
          </cell>
          <cell r="I120" t="str">
            <v>Trabajo social</v>
          </cell>
          <cell r="J120" t="str">
            <v>Licenciado en Psicología</v>
          </cell>
          <cell r="K120" t="str">
            <v>Máster Terapia de Conducta</v>
          </cell>
          <cell r="L120" t="str">
            <v>Máster Universitario en Profesor de Educación Secundaria</v>
          </cell>
          <cell r="M120" t="str">
            <v>Labour</v>
          </cell>
          <cell r="N120" t="str">
            <v>Villanueva Blasco, Víctor José</v>
          </cell>
          <cell r="O120" t="str">
            <v>CSS</v>
          </cell>
          <cell r="P120">
            <v>75</v>
          </cell>
          <cell r="Q120" t="str">
            <v>46</v>
          </cell>
          <cell r="R120"/>
          <cell r="S120"/>
          <cell r="T120" t="str">
            <v>Sin reducción</v>
          </cell>
          <cell r="U120">
            <v>0</v>
          </cell>
          <cell r="V120">
            <v>20</v>
          </cell>
          <cell r="W120" t="str">
            <v>EDUCACIÓN</v>
          </cell>
          <cell r="X120">
            <v>20</v>
          </cell>
          <cell r="Y120">
            <v>0</v>
          </cell>
          <cell r="Z120">
            <v>3</v>
          </cell>
          <cell r="AA120"/>
          <cell r="AB120" t="str">
            <v>Active - signed</v>
          </cell>
          <cell r="AC120" t="str">
            <v>ACTIVO</v>
          </cell>
          <cell r="AD120"/>
          <cell r="AE120"/>
          <cell r="AF120"/>
          <cell r="AG120"/>
          <cell r="AH120"/>
          <cell r="AI120" t="str">
            <v>45633408M</v>
          </cell>
        </row>
        <row r="121">
          <cell r="A121" t="str">
            <v>51126751M</v>
          </cell>
          <cell r="B121" t="str">
            <v>Blanco Ortiz</v>
          </cell>
          <cell r="C121" t="str">
            <v>Diego</v>
          </cell>
          <cell r="D121" t="str">
            <v>Blanco Ortiz, Diego</v>
          </cell>
          <cell r="E121" t="str">
            <v>dblancoo@professor.universidadviu.com</v>
          </cell>
          <cell r="F121" t="str">
            <v>dblancoo@professor.universidadviu.com</v>
          </cell>
          <cell r="G121" t="str">
            <v>NO</v>
          </cell>
          <cell r="H121" t="str">
            <v>NO</v>
          </cell>
          <cell r="I121" t="str">
            <v>Máster Universitario en Neurociencia Cognitiva y Neuropsicología</v>
          </cell>
          <cell r="J121" t="str">
            <v>Grado en Psicología</v>
          </cell>
          <cell r="K121" t="str">
            <v/>
          </cell>
          <cell r="L121" t="str">
            <v/>
          </cell>
          <cell r="M121" t="str">
            <v>Labour</v>
          </cell>
          <cell r="N121"/>
          <cell r="O121" t="str">
            <v>CSS</v>
          </cell>
          <cell r="P121" t="str">
            <v>50,00</v>
          </cell>
          <cell r="Q121" t="b">
            <v>0</v>
          </cell>
          <cell r="R121"/>
          <cell r="S121"/>
          <cell r="T121" t="str">
            <v>Sin reducción</v>
          </cell>
          <cell r="U121">
            <v>0</v>
          </cell>
          <cell r="V121"/>
          <cell r="W121"/>
          <cell r="X121">
            <v>0</v>
          </cell>
          <cell r="Y121">
            <v>0</v>
          </cell>
          <cell r="Z121">
            <v>0</v>
          </cell>
          <cell r="AA121"/>
          <cell r="AB121" t="str">
            <v>Concluded</v>
          </cell>
          <cell r="AC121" t="str">
            <v>NO ACTIVO</v>
          </cell>
          <cell r="AD121"/>
          <cell r="AE121"/>
          <cell r="AF121">
            <v>45688</v>
          </cell>
          <cell r="AG121" t="str">
            <v>CESE DE CONTRATO</v>
          </cell>
          <cell r="AH121"/>
          <cell r="AI121" t="str">
            <v>51126751M</v>
          </cell>
        </row>
        <row r="122">
          <cell r="A122" t="str">
            <v>24386284M</v>
          </cell>
          <cell r="B122" t="str">
            <v>Blasco Tesán</v>
          </cell>
          <cell r="C122" t="str">
            <v>Berta</v>
          </cell>
          <cell r="D122" t="str">
            <v>Blasco Tesán, Berta</v>
          </cell>
          <cell r="E122" t="str">
            <v>bblascot@professor.universidadviu.com</v>
          </cell>
          <cell r="F122" t="str">
            <v>bblascot@professor.universidadviu.com</v>
          </cell>
          <cell r="G122" t="str">
            <v>Yes</v>
          </cell>
          <cell r="H122" t="str">
            <v>NO</v>
          </cell>
          <cell r="I122" t="str">
            <v>Doctorado en psiquiatría y medicina legal</v>
          </cell>
          <cell r="J122" t="str">
            <v>MÁSTER OFICIAL EN  NEUROPSICOLOGÍA Y MASTER EN REHABILITACIÓN NEUROPSICOLÓGICA Y ESTIMULACIÓN COGNITIVA</v>
          </cell>
          <cell r="K122" t="str">
            <v>LICENCIATURA EN PSICOLOGÍA</v>
          </cell>
          <cell r="L122" t="str">
            <v/>
          </cell>
          <cell r="M122" t="str">
            <v>Labour</v>
          </cell>
          <cell r="N122" t="str">
            <v>Iranzo Ejarque, Begoña</v>
          </cell>
          <cell r="O122" t="str">
            <v>CSS</v>
          </cell>
          <cell r="P122">
            <v>100</v>
          </cell>
          <cell r="Q122" t="str">
            <v>50</v>
          </cell>
          <cell r="R122"/>
          <cell r="S122"/>
          <cell r="T122" t="str">
            <v>Sin reducción</v>
          </cell>
          <cell r="U122">
            <v>0</v>
          </cell>
          <cell r="V122"/>
          <cell r="W122"/>
          <cell r="X122">
            <v>37.200000000000003</v>
          </cell>
          <cell r="Y122">
            <v>0</v>
          </cell>
          <cell r="Z122">
            <v>0</v>
          </cell>
          <cell r="AA122"/>
          <cell r="AB122" t="str">
            <v>Active - signed</v>
          </cell>
          <cell r="AC122" t="str">
            <v>ACTIVO</v>
          </cell>
          <cell r="AD122"/>
          <cell r="AE122"/>
          <cell r="AF122"/>
          <cell r="AG122"/>
          <cell r="AH122"/>
          <cell r="AI122" t="str">
            <v>24386284M</v>
          </cell>
        </row>
        <row r="123">
          <cell r="A123" t="str">
            <v>23017742D</v>
          </cell>
          <cell r="B123" t="str">
            <v>Blaya Sánchez</v>
          </cell>
          <cell r="C123" t="str">
            <v>Miguel Ángel</v>
          </cell>
          <cell r="D123" t="str">
            <v>Blaya Sánchez, Miguel Ángel</v>
          </cell>
          <cell r="E123" t="str">
            <v>mblayas@professional.universidadviu.com</v>
          </cell>
          <cell r="F123" t="str">
            <v>mblayas@professional.universidadviu.com</v>
          </cell>
          <cell r="G123" t="str">
            <v>Yes</v>
          </cell>
          <cell r="H123" t="str">
            <v>NO</v>
          </cell>
          <cell r="I123" t="str">
            <v>Psicología Social, Clínica y Salud</v>
          </cell>
          <cell r="J123" t="str">
            <v>Máster Formación del Profesorado</v>
          </cell>
          <cell r="K123" t="str">
            <v>Licenciado en Psicología</v>
          </cell>
          <cell r="L123" t="str">
            <v/>
          </cell>
          <cell r="M123" t="str">
            <v>Professional</v>
          </cell>
          <cell r="N123" t="str">
            <v/>
          </cell>
          <cell r="O123" t="str">
            <v>CSS</v>
          </cell>
          <cell r="P123">
            <v>0</v>
          </cell>
          <cell r="Q123" t="str">
            <v xml:space="preserve"> </v>
          </cell>
          <cell r="R123"/>
          <cell r="S123"/>
          <cell r="T123" t="str">
            <v>Sin reducción</v>
          </cell>
          <cell r="U123">
            <v>0</v>
          </cell>
          <cell r="V123"/>
          <cell r="W123"/>
          <cell r="X123">
            <v>0</v>
          </cell>
          <cell r="Y123">
            <v>0</v>
          </cell>
          <cell r="Z123">
            <v>0</v>
          </cell>
          <cell r="AA123"/>
          <cell r="AB123" t="str">
            <v>Active - signed</v>
          </cell>
          <cell r="AC123" t="str">
            <v>ACTIVO</v>
          </cell>
          <cell r="AD123"/>
          <cell r="AE123"/>
          <cell r="AF123"/>
          <cell r="AG123"/>
          <cell r="AH123"/>
          <cell r="AI123" t="str">
            <v>23017742D</v>
          </cell>
        </row>
        <row r="124">
          <cell r="A124" t="str">
            <v>07879151H</v>
          </cell>
          <cell r="B124" t="str">
            <v>Bobo Jiménez</v>
          </cell>
          <cell r="C124" t="str">
            <v>Verónica</v>
          </cell>
          <cell r="D124" t="str">
            <v>Bobo Jiménez, Verónica</v>
          </cell>
          <cell r="E124" t="str">
            <v>veronica.bobo</v>
          </cell>
          <cell r="F124" t="str">
            <v>veronica.bobo@professional.universidadviu.com</v>
          </cell>
          <cell r="G124" t="str">
            <v>Yes</v>
          </cell>
          <cell r="H124" t="str">
            <v>Yes</v>
          </cell>
          <cell r="I124" t="str">
            <v>Curso de aptitud pedagógica</v>
          </cell>
          <cell r="J124" t="str">
            <v>Experto universitario en neurociencias</v>
          </cell>
          <cell r="K124" t="str">
            <v>Master universitario en neurociencias</v>
          </cell>
          <cell r="L124" t="str">
            <v>Licenciatura en Biología</v>
          </cell>
          <cell r="M124" t="str">
            <v>Professional</v>
          </cell>
          <cell r="N124"/>
          <cell r="O124" t="str">
            <v>CSS</v>
          </cell>
          <cell r="P124">
            <v>0</v>
          </cell>
          <cell r="Q124" t="str">
            <v xml:space="preserve"> </v>
          </cell>
          <cell r="R124"/>
          <cell r="S124"/>
          <cell r="T124" t="str">
            <v>Sin reducción</v>
          </cell>
          <cell r="U124">
            <v>0</v>
          </cell>
          <cell r="V124"/>
          <cell r="W124"/>
          <cell r="X124">
            <v>0</v>
          </cell>
          <cell r="Y124">
            <v>0</v>
          </cell>
          <cell r="Z124">
            <v>0</v>
          </cell>
          <cell r="AA124"/>
          <cell r="AB124" t="str">
            <v>Active - signed</v>
          </cell>
          <cell r="AC124" t="str">
            <v>ACTIVO</v>
          </cell>
          <cell r="AD124"/>
          <cell r="AE124"/>
          <cell r="AF124"/>
          <cell r="AG124"/>
          <cell r="AH124"/>
          <cell r="AI124" t="str">
            <v>07879151H</v>
          </cell>
        </row>
        <row r="125">
          <cell r="A125" t="str">
            <v>54022647V</v>
          </cell>
          <cell r="B125" t="str">
            <v>Boemo Prieto</v>
          </cell>
          <cell r="C125" t="str">
            <v>María Teresa</v>
          </cell>
          <cell r="D125" t="str">
            <v>Boemo Prieto, María Teresa</v>
          </cell>
          <cell r="E125" t="str">
            <v>mboemop@professional.universidadviu.com</v>
          </cell>
          <cell r="F125" t="str">
            <v>mboemop@professional.universidadviu.com</v>
          </cell>
          <cell r="G125" t="str">
            <v>NO</v>
          </cell>
          <cell r="H125" t="str">
            <v>NO</v>
          </cell>
          <cell r="I125" t="str">
            <v>Máster Universitario en Psicología General Sanitario</v>
          </cell>
          <cell r="J125" t="str">
            <v/>
          </cell>
          <cell r="K125" t="str">
            <v/>
          </cell>
          <cell r="L125" t="str">
            <v/>
          </cell>
          <cell r="M125" t="str">
            <v>Professional</v>
          </cell>
          <cell r="N125" t="str">
            <v/>
          </cell>
          <cell r="O125" t="str">
            <v>CSS</v>
          </cell>
          <cell r="P125">
            <v>0</v>
          </cell>
          <cell r="Q125" t="str">
            <v xml:space="preserve"> </v>
          </cell>
          <cell r="R125"/>
          <cell r="S125"/>
          <cell r="T125" t="str">
            <v>Sin reducción</v>
          </cell>
          <cell r="U125">
            <v>0</v>
          </cell>
          <cell r="V125"/>
          <cell r="W125"/>
          <cell r="X125">
            <v>0</v>
          </cell>
          <cell r="Y125">
            <v>0</v>
          </cell>
          <cell r="Z125">
            <v>0</v>
          </cell>
          <cell r="AA125"/>
          <cell r="AB125" t="str">
            <v>Active - signed</v>
          </cell>
          <cell r="AC125" t="str">
            <v>ACTIVO</v>
          </cell>
          <cell r="AD125"/>
          <cell r="AE125"/>
          <cell r="AF125"/>
          <cell r="AG125"/>
          <cell r="AH125"/>
          <cell r="AI125" t="str">
            <v>54022647V</v>
          </cell>
        </row>
        <row r="126">
          <cell r="A126" t="str">
            <v>AR33480001</v>
          </cell>
          <cell r="B126" t="str">
            <v>Bogetti</v>
          </cell>
          <cell r="C126" t="str">
            <v>Celeste</v>
          </cell>
          <cell r="D126" t="str">
            <v>Bogetti, Celeste</v>
          </cell>
          <cell r="E126" t="str">
            <v>cbogetti@professional.universidadviu.com</v>
          </cell>
          <cell r="F126" t="str">
            <v>cbogetti@professional.universidadviu.com</v>
          </cell>
          <cell r="G126" t="str">
            <v>NO</v>
          </cell>
          <cell r="H126" t="str">
            <v>NO</v>
          </cell>
          <cell r="I126" t="str">
            <v>Máster en Bioética y Derecho: Problemas de Salud y Biotecnología</v>
          </cell>
          <cell r="J126" t="str">
            <v>Licenciatura en Psicología</v>
          </cell>
          <cell r="K126" t="str">
            <v/>
          </cell>
          <cell r="L126" t="str">
            <v/>
          </cell>
          <cell r="M126" t="str">
            <v>Professional</v>
          </cell>
          <cell r="N126" t="str">
            <v/>
          </cell>
          <cell r="O126" t="str">
            <v>CSS</v>
          </cell>
          <cell r="P126">
            <v>0</v>
          </cell>
          <cell r="Q126" t="str">
            <v xml:space="preserve"> </v>
          </cell>
          <cell r="R126"/>
          <cell r="S126"/>
          <cell r="T126" t="str">
            <v>Sin reducción</v>
          </cell>
          <cell r="U126">
            <v>0</v>
          </cell>
          <cell r="V126"/>
          <cell r="W126"/>
          <cell r="X126">
            <v>0</v>
          </cell>
          <cell r="Y126">
            <v>0</v>
          </cell>
          <cell r="Z126">
            <v>0</v>
          </cell>
          <cell r="AA126"/>
          <cell r="AB126" t="str">
            <v>Active - signed</v>
          </cell>
          <cell r="AC126" t="str">
            <v>ACTIVO</v>
          </cell>
          <cell r="AD126"/>
          <cell r="AE126"/>
          <cell r="AF126"/>
          <cell r="AG126"/>
          <cell r="AH126"/>
          <cell r="AI126" t="str">
            <v>AR33480001</v>
          </cell>
        </row>
        <row r="127">
          <cell r="A127" t="str">
            <v>Y0287908P</v>
          </cell>
          <cell r="B127" t="str">
            <v>Bolmida</v>
          </cell>
          <cell r="C127" t="str">
            <v>Mauro</v>
          </cell>
          <cell r="D127" t="str">
            <v>Bolmida, Mauro</v>
          </cell>
          <cell r="E127" t="str">
            <v>mauro.bolmida</v>
          </cell>
          <cell r="F127" t="str">
            <v>mauro.bolmida@professor.universidadviu.com</v>
          </cell>
          <cell r="G127" t="str">
            <v>NO</v>
          </cell>
          <cell r="H127" t="str">
            <v>NO</v>
          </cell>
          <cell r="I127" t="str">
            <v>Psicología</v>
          </cell>
          <cell r="J127" t="str">
            <v/>
          </cell>
          <cell r="K127" t="str">
            <v/>
          </cell>
          <cell r="L127" t="str">
            <v/>
          </cell>
          <cell r="M127" t="str">
            <v>Labour</v>
          </cell>
          <cell r="N127" t="str">
            <v>Gómez Martínez, Sandra</v>
          </cell>
          <cell r="O127" t="str">
            <v>CSS</v>
          </cell>
          <cell r="P127">
            <v>30</v>
          </cell>
          <cell r="Q127" t="str">
            <v>24</v>
          </cell>
          <cell r="R127"/>
          <cell r="S127"/>
          <cell r="T127" t="str">
            <v>Sin reducción</v>
          </cell>
          <cell r="U127">
            <v>0</v>
          </cell>
          <cell r="V127"/>
          <cell r="W127"/>
          <cell r="X127">
            <v>24</v>
          </cell>
          <cell r="Y127">
            <v>0</v>
          </cell>
          <cell r="Z127">
            <v>0</v>
          </cell>
          <cell r="AA127"/>
          <cell r="AB127" t="str">
            <v>Active - IT leave</v>
          </cell>
          <cell r="AC127" t="str">
            <v>ACTIVO</v>
          </cell>
          <cell r="AD127"/>
          <cell r="AE127"/>
          <cell r="AF127"/>
          <cell r="AG127"/>
          <cell r="AH127"/>
          <cell r="AI127" t="str">
            <v>Y0287908P</v>
          </cell>
        </row>
        <row r="128">
          <cell r="A128" t="str">
            <v>75728131X</v>
          </cell>
          <cell r="B128" t="str">
            <v>Bonillo Llavero</v>
          </cell>
          <cell r="C128" t="str">
            <v>Beatriz María</v>
          </cell>
          <cell r="D128" t="str">
            <v>Bonillo Llavero, Beatriz María</v>
          </cell>
          <cell r="E128" t="str">
            <v>beatriz.bonillo@professor.universidadviu.com</v>
          </cell>
          <cell r="F128" t="str">
            <v>beatriz.bonillo@professor.universidadviu.com</v>
          </cell>
          <cell r="G128" t="str">
            <v>NO</v>
          </cell>
          <cell r="H128" t="str">
            <v>NO</v>
          </cell>
          <cell r="I128" t="str">
            <v>Máster Universitario en Intervención Logopédica Especializada</v>
          </cell>
          <cell r="J128" t="str">
            <v>Grado en Psicología</v>
          </cell>
          <cell r="K128" t="str">
            <v>Grado en Logopedia</v>
          </cell>
          <cell r="L128" t="str">
            <v>Diplomatura en Logopedia</v>
          </cell>
          <cell r="M128" t="str">
            <v>Labour</v>
          </cell>
          <cell r="N128" t="str">
            <v>Cano Villagrasa, Alejandro</v>
          </cell>
          <cell r="O128" t="str">
            <v>CBS</v>
          </cell>
          <cell r="P128">
            <v>100</v>
          </cell>
          <cell r="Q128" t="str">
            <v>50</v>
          </cell>
          <cell r="R128"/>
          <cell r="S128"/>
          <cell r="T128" t="str">
            <v>Sin reducción</v>
          </cell>
          <cell r="U128">
            <v>0</v>
          </cell>
          <cell r="V128">
            <v>26</v>
          </cell>
          <cell r="W128" t="str">
            <v>EDUCACIÓN</v>
          </cell>
          <cell r="X128">
            <v>0</v>
          </cell>
          <cell r="Y128">
            <v>24</v>
          </cell>
          <cell r="Z128">
            <v>0</v>
          </cell>
          <cell r="AA128"/>
          <cell r="AB128" t="str">
            <v>Active - signed</v>
          </cell>
          <cell r="AC128" t="str">
            <v>ACTIVO</v>
          </cell>
          <cell r="AD128"/>
          <cell r="AE128"/>
          <cell r="AF128"/>
          <cell r="AG128"/>
          <cell r="AH128"/>
          <cell r="AI128" t="str">
            <v>75728131X</v>
          </cell>
        </row>
        <row r="129">
          <cell r="A129" t="str">
            <v>07504915S</v>
          </cell>
          <cell r="B129" t="str">
            <v>Bonito Gadella</v>
          </cell>
          <cell r="C129" t="str">
            <v>Juan Carlos</v>
          </cell>
          <cell r="D129" t="str">
            <v>Bonito Gadella, Juan Carlos</v>
          </cell>
          <cell r="E129" t="str">
            <v>juancarlos.bonito</v>
          </cell>
          <cell r="F129" t="str">
            <v>juancarlos.bonito@professional.universidadviu.com</v>
          </cell>
          <cell r="G129" t="str">
            <v>Yes</v>
          </cell>
          <cell r="H129" t="str">
            <v>NO</v>
          </cell>
          <cell r="I129" t="str">
            <v>Fisioterapia</v>
          </cell>
          <cell r="J129" t="str">
            <v>Doctorado en Neuro-Rehabilitación</v>
          </cell>
          <cell r="K129" t="str">
            <v/>
          </cell>
          <cell r="L129" t="str">
            <v/>
          </cell>
          <cell r="M129" t="str">
            <v>Professional</v>
          </cell>
          <cell r="N129" t="str">
            <v/>
          </cell>
          <cell r="O129" t="str">
            <v>CBS</v>
          </cell>
          <cell r="P129">
            <v>0</v>
          </cell>
          <cell r="Q129" t="str">
            <v xml:space="preserve"> </v>
          </cell>
          <cell r="R129"/>
          <cell r="S129"/>
          <cell r="T129" t="str">
            <v>Sin reducción</v>
          </cell>
          <cell r="U129">
            <v>0</v>
          </cell>
          <cell r="V129"/>
          <cell r="W129"/>
          <cell r="X129">
            <v>0</v>
          </cell>
          <cell r="Y129">
            <v>0</v>
          </cell>
          <cell r="Z129">
            <v>0</v>
          </cell>
          <cell r="AA129"/>
          <cell r="AB129" t="str">
            <v>Active - signed</v>
          </cell>
          <cell r="AC129" t="str">
            <v>ACTIVO</v>
          </cell>
          <cell r="AD129"/>
          <cell r="AE129"/>
          <cell r="AF129"/>
          <cell r="AG129"/>
          <cell r="AH129"/>
          <cell r="AI129" t="str">
            <v>07504915S</v>
          </cell>
        </row>
        <row r="130">
          <cell r="A130" t="str">
            <v>ECBNZCLN81D64L219F</v>
          </cell>
          <cell r="B130" t="str">
            <v>Bonzi</v>
          </cell>
          <cell r="C130" t="str">
            <v>Carolina</v>
          </cell>
          <cell r="D130" t="str">
            <v>Bonzi, Carolina</v>
          </cell>
          <cell r="E130" t="str">
            <v>carolina.bonzi</v>
          </cell>
          <cell r="F130" t="str">
            <v>carolina.bonzi@professional.universidadviu.com</v>
          </cell>
          <cell r="G130" t="str">
            <v>NO</v>
          </cell>
          <cell r="H130" t="str">
            <v>NO</v>
          </cell>
          <cell r="I130" t="str">
            <v>Biología y Genética</v>
          </cell>
          <cell r="J130" t="str">
            <v>Laurea Magistrale in Biologia</v>
          </cell>
          <cell r="K130" t="str">
            <v/>
          </cell>
          <cell r="L130" t="str">
            <v/>
          </cell>
          <cell r="M130" t="str">
            <v>Professional</v>
          </cell>
          <cell r="N130" t="str">
            <v/>
          </cell>
          <cell r="O130" t="str">
            <v>CBS</v>
          </cell>
          <cell r="P130">
            <v>0</v>
          </cell>
          <cell r="Q130" t="str">
            <v xml:space="preserve"> </v>
          </cell>
          <cell r="R130"/>
          <cell r="S130"/>
          <cell r="T130" t="str">
            <v>Sin reducción</v>
          </cell>
          <cell r="U130">
            <v>0</v>
          </cell>
          <cell r="V130"/>
          <cell r="W130"/>
          <cell r="X130">
            <v>0</v>
          </cell>
          <cell r="Y130">
            <v>0</v>
          </cell>
          <cell r="Z130">
            <v>0</v>
          </cell>
          <cell r="AA130"/>
          <cell r="AB130" t="str">
            <v>Active - signed</v>
          </cell>
          <cell r="AC130" t="str">
            <v>ACTIVO</v>
          </cell>
          <cell r="AD130"/>
          <cell r="AE130"/>
          <cell r="AF130"/>
          <cell r="AG130"/>
          <cell r="AH130"/>
          <cell r="AI130" t="str">
            <v>ECBNZCLN81D64L219F</v>
          </cell>
        </row>
        <row r="131">
          <cell r="A131" t="str">
            <v>25204376X</v>
          </cell>
          <cell r="B131" t="str">
            <v>Borao Zabala</v>
          </cell>
          <cell r="C131" t="str">
            <v>Luis</v>
          </cell>
          <cell r="D131" t="str">
            <v>Borao Zabala, Luis</v>
          </cell>
          <cell r="E131" t="str">
            <v>luis.borao</v>
          </cell>
          <cell r="F131" t="str">
            <v>luis.borao@professor.universidadviu.com</v>
          </cell>
          <cell r="G131" t="str">
            <v>Yes</v>
          </cell>
          <cell r="H131" t="str">
            <v>Yes</v>
          </cell>
          <cell r="I131" t="str">
            <v>Máster universitario en Psicología General Sanitaria</v>
          </cell>
          <cell r="J131" t="str">
            <v>Máster Universitario en Salud Pública</v>
          </cell>
          <cell r="K131" t="str">
            <v/>
          </cell>
          <cell r="L131" t="str">
            <v/>
          </cell>
          <cell r="M131" t="str">
            <v>Labour</v>
          </cell>
          <cell r="N131" t="str">
            <v>Hernández Saguar, Aida Esther</v>
          </cell>
          <cell r="O131" t="str">
            <v>CSS</v>
          </cell>
          <cell r="P131">
            <v>100</v>
          </cell>
          <cell r="Q131" t="str">
            <v>50</v>
          </cell>
          <cell r="R131"/>
          <cell r="S131"/>
          <cell r="T131" t="str">
            <v>Sin reducción</v>
          </cell>
          <cell r="U131">
            <v>0</v>
          </cell>
          <cell r="V131"/>
          <cell r="W131"/>
          <cell r="X131">
            <v>44</v>
          </cell>
          <cell r="Y131">
            <v>0</v>
          </cell>
          <cell r="Z131">
            <v>1.4</v>
          </cell>
          <cell r="AA131"/>
          <cell r="AB131" t="str">
            <v>Active - signed</v>
          </cell>
          <cell r="AC131" t="str">
            <v>ACTIVO</v>
          </cell>
          <cell r="AD131"/>
          <cell r="AE131"/>
          <cell r="AF131"/>
          <cell r="AG131"/>
          <cell r="AH131"/>
          <cell r="AI131" t="str">
            <v>25204376X</v>
          </cell>
        </row>
        <row r="132">
          <cell r="A132" t="str">
            <v>38086972F</v>
          </cell>
          <cell r="B132" t="str">
            <v>Bove Farré</v>
          </cell>
          <cell r="C132" t="str">
            <v>Isabel</v>
          </cell>
          <cell r="D132" t="str">
            <v>Bove Farré, Isabel</v>
          </cell>
          <cell r="E132" t="str">
            <v>isabel.bove</v>
          </cell>
          <cell r="F132" t="str">
            <v>isabel.bove@professional.universidadviu.com</v>
          </cell>
          <cell r="G132" t="str">
            <v>NO</v>
          </cell>
          <cell r="H132" t="str">
            <v>NO</v>
          </cell>
          <cell r="I132" t="str">
            <v>Medicina</v>
          </cell>
          <cell r="J132" t="str">
            <v>Master universitario en Gestión Sanitaria</v>
          </cell>
          <cell r="K132" t="str">
            <v>Especialista en Medicina Familiar y Comunitaria</v>
          </cell>
          <cell r="L132" t="str">
            <v/>
          </cell>
          <cell r="M132" t="str">
            <v>Professional</v>
          </cell>
          <cell r="N132" t="str">
            <v/>
          </cell>
          <cell r="O132" t="str">
            <v>CBS</v>
          </cell>
          <cell r="P132">
            <v>0</v>
          </cell>
          <cell r="Q132" t="str">
            <v xml:space="preserve"> </v>
          </cell>
          <cell r="R132"/>
          <cell r="S132"/>
          <cell r="T132" t="str">
            <v>Sin reducción</v>
          </cell>
          <cell r="U132">
            <v>0</v>
          </cell>
          <cell r="V132"/>
          <cell r="W132"/>
          <cell r="X132">
            <v>0</v>
          </cell>
          <cell r="Y132">
            <v>0</v>
          </cell>
          <cell r="Z132">
            <v>0</v>
          </cell>
          <cell r="AA132"/>
          <cell r="AB132" t="str">
            <v>Active - signed</v>
          </cell>
          <cell r="AC132" t="str">
            <v>ACTIVO</v>
          </cell>
          <cell r="AD132"/>
          <cell r="AE132"/>
          <cell r="AF132"/>
          <cell r="AG132"/>
          <cell r="AH132"/>
          <cell r="AI132" t="str">
            <v>38086972F</v>
          </cell>
        </row>
        <row r="133">
          <cell r="A133" t="str">
            <v>78710346E</v>
          </cell>
          <cell r="B133" t="str">
            <v>Bravo Correa</v>
          </cell>
          <cell r="C133" t="str">
            <v>Montserrat</v>
          </cell>
          <cell r="D133" t="str">
            <v>Bravo Correa, Montserrat</v>
          </cell>
          <cell r="E133" t="str">
            <v>montserrat.bravo</v>
          </cell>
          <cell r="F133" t="str">
            <v>montserrat.bravo@professional.universidadviu.com</v>
          </cell>
          <cell r="G133" t="str">
            <v>NO</v>
          </cell>
          <cell r="H133" t="str">
            <v>NO</v>
          </cell>
          <cell r="I133" t="str">
            <v>Psicología</v>
          </cell>
          <cell r="J133" t="str">
            <v>Licenciada en Psicología</v>
          </cell>
          <cell r="K133" t="str">
            <v/>
          </cell>
          <cell r="L133" t="str">
            <v/>
          </cell>
          <cell r="M133" t="str">
            <v>Professional</v>
          </cell>
          <cell r="N133" t="str">
            <v/>
          </cell>
          <cell r="O133" t="str">
            <v>CSS</v>
          </cell>
          <cell r="P133">
            <v>0</v>
          </cell>
          <cell r="Q133" t="str">
            <v xml:space="preserve"> </v>
          </cell>
          <cell r="R133"/>
          <cell r="S133"/>
          <cell r="T133" t="str">
            <v>Sin reducción</v>
          </cell>
          <cell r="U133">
            <v>0</v>
          </cell>
          <cell r="V133"/>
          <cell r="W133"/>
          <cell r="X133">
            <v>0</v>
          </cell>
          <cell r="Y133">
            <v>0</v>
          </cell>
          <cell r="Z133">
            <v>0</v>
          </cell>
          <cell r="AA133"/>
          <cell r="AB133" t="str">
            <v>Active - signed</v>
          </cell>
          <cell r="AC133" t="str">
            <v>ACTIVO</v>
          </cell>
          <cell r="AD133"/>
          <cell r="AE133"/>
          <cell r="AF133"/>
          <cell r="AG133"/>
          <cell r="AH133"/>
          <cell r="AI133" t="str">
            <v>78710346E</v>
          </cell>
        </row>
        <row r="134">
          <cell r="A134" t="str">
            <v>72505282J</v>
          </cell>
          <cell r="B134" t="str">
            <v>Bretaña Alberdi</v>
          </cell>
          <cell r="C134" t="str">
            <v>Ione</v>
          </cell>
          <cell r="D134" t="str">
            <v>Bretaña Alberdi, Ione</v>
          </cell>
          <cell r="E134" t="str">
            <v>ibretanaa@professional.universidadviu.com</v>
          </cell>
          <cell r="F134" t="str">
            <v>ibretanaa@professional.universidadviu.com</v>
          </cell>
          <cell r="G134" t="str">
            <v>Yes</v>
          </cell>
          <cell r="H134" t="str">
            <v>Yes</v>
          </cell>
          <cell r="I134" t="str">
            <v>Doctorado en Psicología</v>
          </cell>
          <cell r="J134" t="str">
            <v>Licenciatura en Psicología</v>
          </cell>
          <cell r="K134" t="str">
            <v/>
          </cell>
          <cell r="L134" t="str">
            <v/>
          </cell>
          <cell r="M134" t="str">
            <v>Professional</v>
          </cell>
          <cell r="N134" t="str">
            <v/>
          </cell>
          <cell r="O134" t="str">
            <v>CSS</v>
          </cell>
          <cell r="P134">
            <v>0</v>
          </cell>
          <cell r="Q134" t="str">
            <v xml:space="preserve"> </v>
          </cell>
          <cell r="R134"/>
          <cell r="S134"/>
          <cell r="T134" t="str">
            <v>Sin reducción</v>
          </cell>
          <cell r="U134">
            <v>0</v>
          </cell>
          <cell r="V134"/>
          <cell r="W134"/>
          <cell r="X134">
            <v>0</v>
          </cell>
          <cell r="Y134">
            <v>0</v>
          </cell>
          <cell r="Z134">
            <v>0</v>
          </cell>
          <cell r="AA134"/>
          <cell r="AB134" t="str">
            <v>Active - signed</v>
          </cell>
          <cell r="AC134" t="str">
            <v>ACTIVO</v>
          </cell>
          <cell r="AD134"/>
          <cell r="AE134"/>
          <cell r="AF134"/>
          <cell r="AG134"/>
          <cell r="AH134"/>
          <cell r="AI134" t="str">
            <v>72505282J</v>
          </cell>
        </row>
        <row r="135">
          <cell r="A135" t="str">
            <v>BISA821025MDFRNN09</v>
          </cell>
          <cell r="B135" t="str">
            <v>Brito Sánchez</v>
          </cell>
          <cell r="C135" t="str">
            <v>Ana Isabel</v>
          </cell>
          <cell r="D135" t="str">
            <v>Brito Sánchez, Ana Isabel</v>
          </cell>
          <cell r="E135" t="str">
            <v>anaisabel.brito</v>
          </cell>
          <cell r="F135" t="str">
            <v>anaisabel.brito@professional.universidadviu.com</v>
          </cell>
          <cell r="G135" t="str">
            <v>Yes</v>
          </cell>
          <cell r="H135" t="str">
            <v>NO</v>
          </cell>
          <cell r="I135" t="str">
            <v>Psicología</v>
          </cell>
          <cell r="J135" t="str">
            <v>Licenciada en Psicología Clínica</v>
          </cell>
          <cell r="K135" t="str">
            <v>Maestra en Terapia Familiar</v>
          </cell>
          <cell r="L135" t="str">
            <v/>
          </cell>
          <cell r="M135" t="str">
            <v>Professional</v>
          </cell>
          <cell r="N135" t="str">
            <v/>
          </cell>
          <cell r="O135" t="str">
            <v>CSS</v>
          </cell>
          <cell r="P135">
            <v>0</v>
          </cell>
          <cell r="Q135" t="str">
            <v xml:space="preserve"> </v>
          </cell>
          <cell r="R135"/>
          <cell r="S135"/>
          <cell r="T135" t="str">
            <v>Sin reducción</v>
          </cell>
          <cell r="U135">
            <v>0</v>
          </cell>
          <cell r="V135"/>
          <cell r="W135"/>
          <cell r="X135">
            <v>0</v>
          </cell>
          <cell r="Y135">
            <v>0</v>
          </cell>
          <cell r="Z135">
            <v>0</v>
          </cell>
          <cell r="AA135"/>
          <cell r="AB135" t="str">
            <v>Active - signed</v>
          </cell>
          <cell r="AC135" t="str">
            <v>ACTIVO</v>
          </cell>
          <cell r="AD135"/>
          <cell r="AE135"/>
          <cell r="AF135"/>
          <cell r="AG135"/>
          <cell r="AH135"/>
          <cell r="AI135" t="str">
            <v>BISA821025MDFRNN09</v>
          </cell>
        </row>
        <row r="136">
          <cell r="A136" t="str">
            <v>29202052X</v>
          </cell>
          <cell r="B136" t="str">
            <v>Brocal Ruiz</v>
          </cell>
          <cell r="C136" t="str">
            <v>Rebeca</v>
          </cell>
          <cell r="D136" t="str">
            <v>Brocal Ruiz, Rebeca</v>
          </cell>
          <cell r="E136" t="str">
            <v>rebeca.brocal</v>
          </cell>
          <cell r="F136" t="str">
            <v>rebeca.brocal@professional.universidadviu.com</v>
          </cell>
          <cell r="G136" t="str">
            <v>Yes</v>
          </cell>
          <cell r="H136" t="str">
            <v>NO</v>
          </cell>
          <cell r="I136" t="str">
            <v>Biotecnología</v>
          </cell>
          <cell r="J136" t="str">
            <v>Doctorado en Biotecnologia</v>
          </cell>
          <cell r="K136" t="str">
            <v>Ingeniera Técnica Agricola</v>
          </cell>
          <cell r="L136" t="str">
            <v/>
          </cell>
          <cell r="M136" t="str">
            <v>Professional</v>
          </cell>
          <cell r="N136" t="str">
            <v/>
          </cell>
          <cell r="O136" t="str">
            <v>CBS/CSS</v>
          </cell>
          <cell r="P136">
            <v>0</v>
          </cell>
          <cell r="Q136" t="str">
            <v xml:space="preserve"> </v>
          </cell>
          <cell r="R136"/>
          <cell r="S136"/>
          <cell r="T136" t="str">
            <v>Sin reducción</v>
          </cell>
          <cell r="U136">
            <v>0</v>
          </cell>
          <cell r="V136"/>
          <cell r="W136"/>
          <cell r="X136">
            <v>0</v>
          </cell>
          <cell r="Y136">
            <v>0</v>
          </cell>
          <cell r="Z136">
            <v>0</v>
          </cell>
          <cell r="AA136"/>
          <cell r="AB136" t="str">
            <v>Active - signed</v>
          </cell>
          <cell r="AC136" t="str">
            <v>ACTIVO</v>
          </cell>
          <cell r="AD136"/>
          <cell r="AE136"/>
          <cell r="AF136"/>
          <cell r="AG136"/>
          <cell r="AH136"/>
          <cell r="AI136" t="str">
            <v>29202052X</v>
          </cell>
        </row>
        <row r="137">
          <cell r="A137" t="str">
            <v>49142909M</v>
          </cell>
          <cell r="B137" t="str">
            <v>Budia Velo</v>
          </cell>
          <cell r="C137" t="str">
            <v>José Miguel</v>
          </cell>
          <cell r="D137" t="str">
            <v>Budia Velo, José Miguel</v>
          </cell>
          <cell r="E137" t="str">
            <v>jbudiav@professional.universidadviu.com</v>
          </cell>
          <cell r="F137" t="str">
            <v>jbudiav@professional.universidadviu.com</v>
          </cell>
          <cell r="G137" t="str">
            <v>Yes</v>
          </cell>
          <cell r="H137" t="str">
            <v>NO</v>
          </cell>
          <cell r="I137" t="str">
            <v>Doctorado en Psicología</v>
          </cell>
          <cell r="J137" t="str">
            <v>Grado en Psicología s¡</v>
          </cell>
          <cell r="K137" t="str">
            <v>Máster en Psicología General Sanitaria</v>
          </cell>
          <cell r="L137" t="str">
            <v/>
          </cell>
          <cell r="M137" t="str">
            <v>Professional</v>
          </cell>
          <cell r="N137" t="str">
            <v/>
          </cell>
          <cell r="O137" t="str">
            <v>CSS</v>
          </cell>
          <cell r="P137">
            <v>0</v>
          </cell>
          <cell r="Q137" t="str">
            <v xml:space="preserve"> </v>
          </cell>
          <cell r="R137"/>
          <cell r="S137"/>
          <cell r="T137" t="str">
            <v>Sin reducción</v>
          </cell>
          <cell r="U137">
            <v>0</v>
          </cell>
          <cell r="V137"/>
          <cell r="W137"/>
          <cell r="X137">
            <v>0</v>
          </cell>
          <cell r="Y137">
            <v>0</v>
          </cell>
          <cell r="Z137">
            <v>0</v>
          </cell>
          <cell r="AA137"/>
          <cell r="AB137" t="str">
            <v>Active - signed</v>
          </cell>
          <cell r="AC137" t="str">
            <v>ACTIVO</v>
          </cell>
          <cell r="AD137"/>
          <cell r="AE137"/>
          <cell r="AF137"/>
          <cell r="AG137"/>
          <cell r="AH137"/>
          <cell r="AI137" t="str">
            <v>49142909M</v>
          </cell>
        </row>
        <row r="138">
          <cell r="A138" t="str">
            <v>70903174Q</v>
          </cell>
          <cell r="B138" t="str">
            <v>Bueno Fortes</v>
          </cell>
          <cell r="C138" t="str">
            <v>Santiago</v>
          </cell>
          <cell r="D138" t="str">
            <v>Bueno Fortes, Santiago</v>
          </cell>
          <cell r="E138" t="str">
            <v>sbuenof@professional.universidadviu.com</v>
          </cell>
          <cell r="F138" t="str">
            <v>sbuenof@professional.universidadviu.com</v>
          </cell>
          <cell r="G138" t="str">
            <v>Yes</v>
          </cell>
          <cell r="H138" t="str">
            <v>NO</v>
          </cell>
          <cell r="I138" t="str">
            <v>Biociencias: Biología y clínica del cáncer y medicina traslacional.</v>
          </cell>
          <cell r="J138" t="str">
            <v>Master Biologia y Clinica del Cancer,</v>
          </cell>
          <cell r="K138" t="str">
            <v>Grado informática</v>
          </cell>
          <cell r="L138" t="str">
            <v/>
          </cell>
          <cell r="M138" t="str">
            <v>Professional</v>
          </cell>
          <cell r="N138"/>
          <cell r="O138" t="str">
            <v>CBS</v>
          </cell>
          <cell r="P138"/>
          <cell r="Q138" t="str">
            <v xml:space="preserve"> </v>
          </cell>
          <cell r="R138"/>
          <cell r="S138"/>
          <cell r="T138" t="str">
            <v>Sin reducción</v>
          </cell>
          <cell r="U138">
            <v>0</v>
          </cell>
          <cell r="V138"/>
          <cell r="W138"/>
          <cell r="X138">
            <v>0</v>
          </cell>
          <cell r="Y138">
            <v>0</v>
          </cell>
          <cell r="Z138">
            <v>0</v>
          </cell>
          <cell r="AA138"/>
          <cell r="AB138" t="str">
            <v>Active - signed</v>
          </cell>
          <cell r="AC138" t="str">
            <v>ACTIVO</v>
          </cell>
          <cell r="AD138"/>
          <cell r="AE138"/>
          <cell r="AF138"/>
          <cell r="AG138"/>
          <cell r="AH138"/>
          <cell r="AI138" t="str">
            <v>70903174Q</v>
          </cell>
        </row>
        <row r="139">
          <cell r="A139" t="str">
            <v>70890280W</v>
          </cell>
          <cell r="B139" t="str">
            <v>Bullón Benito</v>
          </cell>
          <cell r="C139" t="str">
            <v>Elisa</v>
          </cell>
          <cell r="D139" t="str">
            <v>Bullón Benito, Elisa</v>
          </cell>
          <cell r="E139" t="str">
            <v>ebullonb@professional.universidadviu.com</v>
          </cell>
          <cell r="F139"/>
          <cell r="G139" t="str">
            <v>Yes</v>
          </cell>
          <cell r="H139" t="str">
            <v>NO</v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>Professional</v>
          </cell>
          <cell r="N139"/>
          <cell r="O139" t="str">
            <v>CSS</v>
          </cell>
          <cell r="P139">
            <v>0</v>
          </cell>
          <cell r="Q139" t="str">
            <v xml:space="preserve"> </v>
          </cell>
          <cell r="R139"/>
          <cell r="S139"/>
          <cell r="T139" t="str">
            <v>Sin reducción</v>
          </cell>
          <cell r="U139">
            <v>0</v>
          </cell>
          <cell r="V139"/>
          <cell r="W139"/>
          <cell r="X139">
            <v>0</v>
          </cell>
          <cell r="Y139">
            <v>0</v>
          </cell>
          <cell r="Z139">
            <v>0</v>
          </cell>
          <cell r="AA139"/>
          <cell r="AB139" t="str">
            <v>Active - signed</v>
          </cell>
          <cell r="AC139" t="str">
            <v>ACTIVO</v>
          </cell>
          <cell r="AD139"/>
          <cell r="AE139"/>
          <cell r="AF139"/>
          <cell r="AG139"/>
          <cell r="AH139"/>
          <cell r="AI139" t="str">
            <v>70890280W</v>
          </cell>
        </row>
        <row r="140">
          <cell r="A140" t="str">
            <v>48357518H</v>
          </cell>
          <cell r="B140" t="str">
            <v>Burdeos Palau</v>
          </cell>
          <cell r="C140" t="str">
            <v>Elena</v>
          </cell>
          <cell r="D140" t="str">
            <v>Burdeos Palau, Elena</v>
          </cell>
          <cell r="E140" t="str">
            <v>eburdeosp@professional.universidadviu.com</v>
          </cell>
          <cell r="F140" t="str">
            <v>eburdeosp@professional.universidadviu.com</v>
          </cell>
          <cell r="G140" t="str">
            <v>NO</v>
          </cell>
          <cell r="H140" t="str">
            <v>NO</v>
          </cell>
          <cell r="I140" t="str">
            <v>Máster Universitario en la Formación en la Investigación Universitaria</v>
          </cell>
          <cell r="J140" t="str">
            <v>Licenciada en Farmacia</v>
          </cell>
          <cell r="K140" t="str">
            <v/>
          </cell>
          <cell r="L140" t="str">
            <v/>
          </cell>
          <cell r="M140" t="str">
            <v>Professional</v>
          </cell>
          <cell r="N140" t="str">
            <v/>
          </cell>
          <cell r="O140" t="str">
            <v>CBS</v>
          </cell>
          <cell r="P140">
            <v>0</v>
          </cell>
          <cell r="Q140" t="str">
            <v xml:space="preserve"> </v>
          </cell>
          <cell r="R140"/>
          <cell r="S140"/>
          <cell r="T140" t="str">
            <v>Sin reducción</v>
          </cell>
          <cell r="U140">
            <v>0</v>
          </cell>
          <cell r="V140"/>
          <cell r="W140"/>
          <cell r="X140">
            <v>0</v>
          </cell>
          <cell r="Y140">
            <v>0</v>
          </cell>
          <cell r="Z140">
            <v>0</v>
          </cell>
          <cell r="AA140"/>
          <cell r="AB140" t="str">
            <v>Active - signed</v>
          </cell>
          <cell r="AC140" t="str">
            <v>ACTIVO</v>
          </cell>
          <cell r="AD140"/>
          <cell r="AE140"/>
          <cell r="AF140"/>
          <cell r="AG140"/>
          <cell r="AH140"/>
          <cell r="AI140" t="str">
            <v>48357518H</v>
          </cell>
        </row>
        <row r="141">
          <cell r="A141" t="str">
            <v>16576224D</v>
          </cell>
          <cell r="B141" t="str">
            <v>Burgos Esteban</v>
          </cell>
          <cell r="C141" t="str">
            <v>Amaya</v>
          </cell>
          <cell r="D141" t="str">
            <v>Burgos Esteban, Amaya</v>
          </cell>
          <cell r="E141" t="str">
            <v>amaya.burgos.e</v>
          </cell>
          <cell r="F141" t="str">
            <v>amaya.burgos.e@professor.universidadviu.com</v>
          </cell>
          <cell r="G141" t="str">
            <v>NO</v>
          </cell>
          <cell r="H141" t="str">
            <v>NO</v>
          </cell>
          <cell r="I141" t="str">
            <v>Enfermería</v>
          </cell>
          <cell r="J141" t="str">
            <v/>
          </cell>
          <cell r="K141" t="str">
            <v/>
          </cell>
          <cell r="L141" t="str">
            <v/>
          </cell>
          <cell r="M141" t="str">
            <v>Labour</v>
          </cell>
          <cell r="N141" t="str">
            <v>López Mases, Patricia</v>
          </cell>
          <cell r="O141" t="str">
            <v>CBS</v>
          </cell>
          <cell r="P141">
            <v>6</v>
          </cell>
          <cell r="Q141" t="str">
            <v>6</v>
          </cell>
          <cell r="R141"/>
          <cell r="S141"/>
          <cell r="T141" t="str">
            <v>Sin reducción</v>
          </cell>
          <cell r="U141">
            <v>0</v>
          </cell>
          <cell r="V141"/>
          <cell r="W141"/>
          <cell r="X141">
            <v>0</v>
          </cell>
          <cell r="Y141">
            <v>6</v>
          </cell>
          <cell r="Z141">
            <v>0</v>
          </cell>
          <cell r="AA141"/>
          <cell r="AB141" t="str">
            <v>Active - signed</v>
          </cell>
          <cell r="AC141" t="str">
            <v>ACTIVO</v>
          </cell>
          <cell r="AD141"/>
          <cell r="AE141"/>
          <cell r="AF141"/>
          <cell r="AG141"/>
          <cell r="AH141"/>
          <cell r="AI141" t="str">
            <v>16576224D</v>
          </cell>
        </row>
        <row r="142">
          <cell r="A142" t="str">
            <v>74745343N</v>
          </cell>
          <cell r="B142" t="str">
            <v>Burgos Jiménez</v>
          </cell>
          <cell r="C142" t="str">
            <v>Rubén Jorge</v>
          </cell>
          <cell r="D142" t="str">
            <v>Burgos Jiménez, Rubén Jorge</v>
          </cell>
          <cell r="E142" t="str">
            <v>rburgosj@professional.universidadviu.com</v>
          </cell>
          <cell r="F142" t="str">
            <v>rburgosj@professional.universidadviu.com</v>
          </cell>
          <cell r="G142" t="str">
            <v>Yes</v>
          </cell>
          <cell r="H142" t="str">
            <v>Yes</v>
          </cell>
          <cell r="I142" t="str">
            <v>Doctorado en Ciencias de la Educación</v>
          </cell>
          <cell r="J142" t="str">
            <v>Máster Universitario en Profesorado de Enseñanza Secundaria Obligatoria y Bachillerato, Formación Profesional y Enseñanzas de Idiomas: Especialidad orientación educativa.</v>
          </cell>
          <cell r="K142" t="str">
            <v>Máster Universitario en Investigación, Desarrollo Social e Intervención Socioeducativa</v>
          </cell>
          <cell r="L142" t="str">
            <v/>
          </cell>
          <cell r="M142" t="str">
            <v>Professional</v>
          </cell>
          <cell r="N142" t="str">
            <v/>
          </cell>
          <cell r="O142" t="str">
            <v>CSS</v>
          </cell>
          <cell r="P142">
            <v>0</v>
          </cell>
          <cell r="Q142" t="str">
            <v xml:space="preserve"> </v>
          </cell>
          <cell r="R142"/>
          <cell r="S142"/>
          <cell r="T142" t="str">
            <v>Sin reducción</v>
          </cell>
          <cell r="U142">
            <v>0</v>
          </cell>
          <cell r="V142"/>
          <cell r="W142"/>
          <cell r="X142">
            <v>0</v>
          </cell>
          <cell r="Y142">
            <v>0</v>
          </cell>
          <cell r="Z142">
            <v>0</v>
          </cell>
          <cell r="AA142"/>
          <cell r="AB142" t="str">
            <v>Active - signed</v>
          </cell>
          <cell r="AC142" t="str">
            <v>ACTIVO</v>
          </cell>
          <cell r="AD142"/>
          <cell r="AE142"/>
          <cell r="AF142"/>
          <cell r="AG142"/>
          <cell r="AH142"/>
          <cell r="AI142" t="str">
            <v>74745343N</v>
          </cell>
        </row>
        <row r="143">
          <cell r="A143" t="str">
            <v>33571101W</v>
          </cell>
          <cell r="B143" t="str">
            <v>Burgos Panadero</v>
          </cell>
          <cell r="C143" t="str">
            <v>Rebeca</v>
          </cell>
          <cell r="D143" t="str">
            <v>Burgos Panadero, Rebeca</v>
          </cell>
          <cell r="E143" t="str">
            <v>rburgosp@professional.universidadviu.com</v>
          </cell>
          <cell r="F143" t="str">
            <v>rburgosp@professional.universidadviu.com</v>
          </cell>
          <cell r="G143" t="str">
            <v>NO</v>
          </cell>
          <cell r="H143" t="str">
            <v>NO</v>
          </cell>
          <cell r="I143" t="str">
            <v>Doctorado en Medicina</v>
          </cell>
          <cell r="J143" t="str">
            <v>Master en Investigacion en Biologia Molecular, Celular y Genetica</v>
          </cell>
          <cell r="K143" t="str">
            <v>Grado en Biologia</v>
          </cell>
          <cell r="L143" t="str">
            <v/>
          </cell>
          <cell r="M143" t="str">
            <v>Professional</v>
          </cell>
          <cell r="N143"/>
          <cell r="O143" t="str">
            <v>CBS</v>
          </cell>
          <cell r="P143">
            <v>0</v>
          </cell>
          <cell r="Q143" t="str">
            <v xml:space="preserve"> </v>
          </cell>
          <cell r="R143"/>
          <cell r="S143"/>
          <cell r="T143" t="str">
            <v>Sin reducción</v>
          </cell>
          <cell r="U143">
            <v>0</v>
          </cell>
          <cell r="V143"/>
          <cell r="W143"/>
          <cell r="X143">
            <v>0</v>
          </cell>
          <cell r="Y143">
            <v>0</v>
          </cell>
          <cell r="Z143">
            <v>0</v>
          </cell>
          <cell r="AA143"/>
          <cell r="AB143" t="str">
            <v>Active - signed</v>
          </cell>
          <cell r="AC143" t="str">
            <v>ACTIVO</v>
          </cell>
          <cell r="AD143"/>
          <cell r="AE143"/>
          <cell r="AF143"/>
          <cell r="AG143"/>
          <cell r="AH143"/>
          <cell r="AI143" t="str">
            <v>33571101W</v>
          </cell>
        </row>
        <row r="144">
          <cell r="A144" t="str">
            <v>53727929K</v>
          </cell>
          <cell r="B144" t="str">
            <v>Cabedo Peris</v>
          </cell>
          <cell r="C144" t="str">
            <v>Javier</v>
          </cell>
          <cell r="D144" t="str">
            <v>Cabedo Peris, Javier</v>
          </cell>
          <cell r="E144" t="str">
            <v>javier.cabedo</v>
          </cell>
          <cell r="F144" t="str">
            <v>javier.cabedo@professor.universidadviu.com</v>
          </cell>
          <cell r="G144" t="str">
            <v>Yes</v>
          </cell>
          <cell r="H144" t="str">
            <v>NO</v>
          </cell>
          <cell r="I144" t="str">
            <v>Psicología</v>
          </cell>
          <cell r="J144" t="str">
            <v>Máster en Intervención Psicológica en Ámbitos Sociales</v>
          </cell>
          <cell r="K144" t="str">
            <v/>
          </cell>
          <cell r="L144" t="str">
            <v/>
          </cell>
          <cell r="M144" t="str">
            <v>Labour</v>
          </cell>
          <cell r="N144" t="str">
            <v>Ródenas González, Francisco</v>
          </cell>
          <cell r="O144" t="str">
            <v>CSS</v>
          </cell>
          <cell r="P144">
            <v>100</v>
          </cell>
          <cell r="Q144" t="str">
            <v>50</v>
          </cell>
          <cell r="R144"/>
          <cell r="S144"/>
          <cell r="T144" t="str">
            <v>Subdirector/Coordinador de Máster</v>
          </cell>
          <cell r="U144">
            <v>32</v>
          </cell>
          <cell r="V144"/>
          <cell r="W144"/>
          <cell r="X144">
            <v>12.7</v>
          </cell>
          <cell r="Y144">
            <v>0</v>
          </cell>
          <cell r="Z144">
            <v>0</v>
          </cell>
          <cell r="AA144"/>
          <cell r="AB144" t="str">
            <v>Active - signed</v>
          </cell>
          <cell r="AC144" t="str">
            <v>ACTIVO</v>
          </cell>
          <cell r="AD144"/>
          <cell r="AE144"/>
          <cell r="AF144"/>
          <cell r="AG144"/>
          <cell r="AH144"/>
          <cell r="AI144" t="str">
            <v>53727929K</v>
          </cell>
        </row>
        <row r="145">
          <cell r="A145" t="str">
            <v>21008196L</v>
          </cell>
          <cell r="B145" t="str">
            <v>Cabello Navarro</v>
          </cell>
          <cell r="C145" t="str">
            <v>Paula</v>
          </cell>
          <cell r="D145" t="str">
            <v>Cabello Navarro, Paula</v>
          </cell>
          <cell r="E145" t="str">
            <v>paula.cabello</v>
          </cell>
          <cell r="F145" t="str">
            <v>paula.cabello@professor.universidadviu.com</v>
          </cell>
          <cell r="G145" t="str">
            <v>Yes</v>
          </cell>
          <cell r="H145" t="str">
            <v>NO</v>
          </cell>
          <cell r="I145" t="str">
            <v>Programa de Doctorado en Biotecnología</v>
          </cell>
          <cell r="J145" t="str">
            <v>Programa de Doctorado en Biotecnología</v>
          </cell>
          <cell r="K145" t="str">
            <v>Graduado en Bioquímica y Ciencias Biomédicas</v>
          </cell>
          <cell r="L145" t="str">
            <v xml:space="preserve">Máster Universitario en Biotecnología Biomédica </v>
          </cell>
          <cell r="M145" t="str">
            <v>Labour</v>
          </cell>
          <cell r="N145" t="str">
            <v>Vila Candel, Rafael</v>
          </cell>
          <cell r="O145" t="str">
            <v>CBS</v>
          </cell>
          <cell r="P145">
            <v>100</v>
          </cell>
          <cell r="Q145" t="str">
            <v>50</v>
          </cell>
          <cell r="R145"/>
          <cell r="S145"/>
          <cell r="T145" t="str">
            <v>Sin reducción</v>
          </cell>
          <cell r="U145">
            <v>0</v>
          </cell>
          <cell r="V145"/>
          <cell r="W145"/>
          <cell r="X145">
            <v>0</v>
          </cell>
          <cell r="Y145">
            <v>12</v>
          </cell>
          <cell r="Z145">
            <v>0</v>
          </cell>
          <cell r="AA145"/>
          <cell r="AB145" t="str">
            <v>Active - IT leave</v>
          </cell>
          <cell r="AC145" t="str">
            <v>BAJA TEMPORAL</v>
          </cell>
          <cell r="AD145">
            <v>45796</v>
          </cell>
          <cell r="AE145" t="str">
            <v>01/09/202</v>
          </cell>
          <cell r="AF145"/>
          <cell r="AG145" t="str">
            <v>ENFERMEDAD</v>
          </cell>
          <cell r="AH145" t="str">
            <v>no sabemos fecha fin</v>
          </cell>
          <cell r="AI145" t="str">
            <v>21008196L</v>
          </cell>
        </row>
        <row r="146">
          <cell r="A146" t="str">
            <v>43103149E</v>
          </cell>
          <cell r="B146" t="str">
            <v>Cabello Vives</v>
          </cell>
          <cell r="C146" t="str">
            <v>Mercedes Yolanda</v>
          </cell>
          <cell r="D146" t="str">
            <v>Cabello Vives, Mercedes Yolanda</v>
          </cell>
          <cell r="E146" t="str">
            <v>yolanda.cabello</v>
          </cell>
          <cell r="F146" t="str">
            <v>yolanda.cabello@professional.universidadviu.com</v>
          </cell>
          <cell r="G146" t="str">
            <v>Yes</v>
          </cell>
          <cell r="H146" t="str">
            <v>NO</v>
          </cell>
          <cell r="I146" t="str">
            <v>Biología y Genética</v>
          </cell>
          <cell r="J146" t="str">
            <v>Doctorado en Ciencias Médicas</v>
          </cell>
          <cell r="K146" t="str">
            <v>GRADO PSICOLOGÍA</v>
          </cell>
          <cell r="L146" t="str">
            <v/>
          </cell>
          <cell r="M146" t="str">
            <v>Professional</v>
          </cell>
          <cell r="N146" t="str">
            <v/>
          </cell>
          <cell r="O146" t="str">
            <v>CBS/CSS</v>
          </cell>
          <cell r="P146">
            <v>0</v>
          </cell>
          <cell r="Q146" t="str">
            <v xml:space="preserve"> </v>
          </cell>
          <cell r="R146"/>
          <cell r="S146"/>
          <cell r="T146" t="str">
            <v>Sin reducción</v>
          </cell>
          <cell r="U146">
            <v>0</v>
          </cell>
          <cell r="V146"/>
          <cell r="W146"/>
          <cell r="X146">
            <v>0</v>
          </cell>
          <cell r="Y146">
            <v>0</v>
          </cell>
          <cell r="Z146">
            <v>0</v>
          </cell>
          <cell r="AA146"/>
          <cell r="AB146" t="str">
            <v>Active - signed</v>
          </cell>
          <cell r="AC146" t="str">
            <v>ACTIVO</v>
          </cell>
          <cell r="AD146"/>
          <cell r="AE146"/>
          <cell r="AF146"/>
          <cell r="AG146"/>
          <cell r="AH146"/>
          <cell r="AI146" t="str">
            <v>43103149E</v>
          </cell>
        </row>
        <row r="147">
          <cell r="A147" t="str">
            <v>48592662X</v>
          </cell>
          <cell r="B147" t="str">
            <v>Cabellos García</v>
          </cell>
          <cell r="C147" t="str">
            <v>Ana Cristina</v>
          </cell>
          <cell r="D147" t="str">
            <v>Cabellos García, Ana Cristina</v>
          </cell>
          <cell r="E147" t="str">
            <v>anacristina.cabellos</v>
          </cell>
          <cell r="F147" t="str">
            <v>anacristina.cabellos@professor.universidadviu.com</v>
          </cell>
          <cell r="G147" t="str">
            <v>Yes</v>
          </cell>
          <cell r="H147" t="str">
            <v>NO</v>
          </cell>
          <cell r="I147" t="str">
            <v>Enfermería</v>
          </cell>
          <cell r="J147" t="str">
            <v>Máster en Especialización y cuidados de Enfermería</v>
          </cell>
          <cell r="K147" t="str">
            <v>Máster Universitario en Especialización y Cuidados de Enfermería</v>
          </cell>
          <cell r="L147" t="str">
            <v>Máster Universitario en Especialización y Cuidados de Enfermería</v>
          </cell>
          <cell r="M147" t="str">
            <v>Labour</v>
          </cell>
          <cell r="N147" t="str">
            <v>García Tejedor, Aurora</v>
          </cell>
          <cell r="O147" t="str">
            <v>CBS</v>
          </cell>
          <cell r="P147">
            <v>100</v>
          </cell>
          <cell r="Q147" t="str">
            <v>50</v>
          </cell>
          <cell r="R147"/>
          <cell r="S147"/>
          <cell r="T147" t="str">
            <v>Dirección de título Máster Universitario &gt; 60 - 1 edición</v>
          </cell>
          <cell r="U147" t="str">
            <v>32</v>
          </cell>
          <cell r="V147"/>
          <cell r="W147"/>
          <cell r="X147">
            <v>0</v>
          </cell>
          <cell r="Y147">
            <v>18.600000000000001</v>
          </cell>
          <cell r="Z147">
            <v>0</v>
          </cell>
          <cell r="AA147"/>
          <cell r="AB147" t="str">
            <v>Active - signed</v>
          </cell>
          <cell r="AC147" t="str">
            <v>ACTIVO</v>
          </cell>
          <cell r="AD147"/>
          <cell r="AE147"/>
          <cell r="AF147"/>
          <cell r="AG147"/>
          <cell r="AH147"/>
          <cell r="AI147" t="str">
            <v>48592662X</v>
          </cell>
        </row>
        <row r="148">
          <cell r="A148" t="str">
            <v>18173429W</v>
          </cell>
          <cell r="B148" t="str">
            <v>Cabezas García</v>
          </cell>
          <cell r="C148" t="str">
            <v>Silvestre</v>
          </cell>
          <cell r="D148" t="str">
            <v>Cabezas García, Silvestre</v>
          </cell>
          <cell r="E148" t="str">
            <v>silvestre.cabezas</v>
          </cell>
          <cell r="F148" t="str">
            <v>silvestre.cabezas@professor.universidadviu.com</v>
          </cell>
          <cell r="G148" t="str">
            <v>NO</v>
          </cell>
          <cell r="H148" t="str">
            <v>NO</v>
          </cell>
          <cell r="I148" t="str">
            <v>Psicología</v>
          </cell>
          <cell r="J148" t="str">
            <v>Grado en Criminología</v>
          </cell>
          <cell r="K148" t="str">
            <v>Máster en Criminal Profiling</v>
          </cell>
          <cell r="L148" t="str">
            <v>MU Análisis y prevención del crimen</v>
          </cell>
          <cell r="M148" t="str">
            <v>Labour</v>
          </cell>
          <cell r="N148" t="str">
            <v>Consultar a Facultad Ciencias Sociales y Jurídicas</v>
          </cell>
          <cell r="O148" t="str">
            <v>CSS</v>
          </cell>
          <cell r="P148">
            <v>100</v>
          </cell>
          <cell r="Q148" t="str">
            <v>50</v>
          </cell>
          <cell r="R148"/>
          <cell r="S148"/>
          <cell r="T148" t="str">
            <v>Sin reducción</v>
          </cell>
          <cell r="U148">
            <v>0</v>
          </cell>
          <cell r="V148">
            <v>44</v>
          </cell>
          <cell r="W148" t="str">
            <v>JURÍDICO</v>
          </cell>
          <cell r="X148">
            <v>6</v>
          </cell>
          <cell r="Y148">
            <v>0</v>
          </cell>
          <cell r="Z148">
            <v>0</v>
          </cell>
          <cell r="AA148"/>
          <cell r="AB148" t="str">
            <v>Active - signed</v>
          </cell>
          <cell r="AC148" t="str">
            <v>ACTIVO</v>
          </cell>
          <cell r="AD148"/>
          <cell r="AE148"/>
          <cell r="AF148"/>
          <cell r="AG148"/>
          <cell r="AH148"/>
          <cell r="AI148" t="str">
            <v>18173429W</v>
          </cell>
        </row>
        <row r="149">
          <cell r="A149" t="str">
            <v>51678992Q</v>
          </cell>
          <cell r="B149" t="str">
            <v>Cabo Meseguer</v>
          </cell>
          <cell r="C149" t="str">
            <v>Asensio Francisco</v>
          </cell>
          <cell r="D149" t="str">
            <v>Cabo Meseguer, Asensio Francisco</v>
          </cell>
          <cell r="E149" t="str">
            <v>acabom@professional.universidadviu.com</v>
          </cell>
          <cell r="F149" t="str">
            <v>acabom@professional.universidadviu.com</v>
          </cell>
          <cell r="G149" t="str">
            <v>Yes</v>
          </cell>
          <cell r="H149" t="str">
            <v>NO</v>
          </cell>
          <cell r="I149" t="str">
            <v>DOCTORADO EN CIENCIAS DE LA SALUD</v>
          </cell>
          <cell r="J149" t="str">
            <v>PROFESOR DE MÚSICA</v>
          </cell>
          <cell r="K149" t="str">
            <v>LICENCIADO EN PSICOLOGIA</v>
          </cell>
          <cell r="L149" t="str">
            <v/>
          </cell>
          <cell r="M149" t="str">
            <v>Professional</v>
          </cell>
          <cell r="N149" t="str">
            <v/>
          </cell>
          <cell r="O149" t="str">
            <v>CSS</v>
          </cell>
          <cell r="P149">
            <v>0</v>
          </cell>
          <cell r="Q149" t="str">
            <v xml:space="preserve"> </v>
          </cell>
          <cell r="R149"/>
          <cell r="S149"/>
          <cell r="T149" t="str">
            <v>Sin reducción</v>
          </cell>
          <cell r="U149">
            <v>0</v>
          </cell>
          <cell r="V149"/>
          <cell r="W149"/>
          <cell r="X149">
            <v>0</v>
          </cell>
          <cell r="Y149">
            <v>0</v>
          </cell>
          <cell r="Z149">
            <v>0</v>
          </cell>
          <cell r="AA149"/>
          <cell r="AB149" t="str">
            <v>Active - signed</v>
          </cell>
          <cell r="AC149" t="str">
            <v>ACTIVO</v>
          </cell>
          <cell r="AD149"/>
          <cell r="AE149"/>
          <cell r="AF149"/>
          <cell r="AG149"/>
          <cell r="AH149"/>
          <cell r="AI149" t="str">
            <v>51678992Q</v>
          </cell>
        </row>
        <row r="150">
          <cell r="A150" t="str">
            <v>43546300D</v>
          </cell>
          <cell r="B150" t="str">
            <v>Cabré García</v>
          </cell>
          <cell r="C150" t="str">
            <v>Marta</v>
          </cell>
          <cell r="D150" t="str">
            <v>Cabré García, Marta</v>
          </cell>
          <cell r="E150" t="str">
            <v>mcabreg@professional.universidadviu.com</v>
          </cell>
          <cell r="F150" t="str">
            <v>mcabreg@professional.universidadviu.com</v>
          </cell>
          <cell r="G150" t="str">
            <v>NO</v>
          </cell>
          <cell r="H150" t="str">
            <v>NO</v>
          </cell>
          <cell r="I150" t="str">
            <v>MASTER EN PSICOLOGÍA GENERAL SANITARIO</v>
          </cell>
          <cell r="J150" t="str">
            <v>GRADO EN PSICOLOGÍA</v>
          </cell>
          <cell r="K150" t="str">
            <v/>
          </cell>
          <cell r="L150" t="str">
            <v/>
          </cell>
          <cell r="M150" t="str">
            <v>Professional</v>
          </cell>
          <cell r="N150" t="str">
            <v/>
          </cell>
          <cell r="O150" t="str">
            <v>CSS</v>
          </cell>
          <cell r="P150">
            <v>0</v>
          </cell>
          <cell r="Q150" t="str">
            <v xml:space="preserve"> </v>
          </cell>
          <cell r="R150"/>
          <cell r="S150"/>
          <cell r="T150" t="str">
            <v>Sin reducción</v>
          </cell>
          <cell r="U150">
            <v>0</v>
          </cell>
          <cell r="V150"/>
          <cell r="W150"/>
          <cell r="X150">
            <v>0</v>
          </cell>
          <cell r="Y150">
            <v>0</v>
          </cell>
          <cell r="Z150">
            <v>0</v>
          </cell>
          <cell r="AA150"/>
          <cell r="AB150" t="str">
            <v>Active - signed</v>
          </cell>
          <cell r="AC150" t="str">
            <v>ACTIVO</v>
          </cell>
          <cell r="AD150"/>
          <cell r="AE150"/>
          <cell r="AF150"/>
          <cell r="AG150"/>
          <cell r="AH150"/>
          <cell r="AI150" t="str">
            <v>43546300D</v>
          </cell>
        </row>
        <row r="151">
          <cell r="A151" t="str">
            <v>08855913Q</v>
          </cell>
          <cell r="B151" t="str">
            <v>Cáceres Alfonso</v>
          </cell>
          <cell r="C151" t="str">
            <v>Rebeca</v>
          </cell>
          <cell r="D151" t="str">
            <v>Cáceres Alfonso, Rebeca</v>
          </cell>
          <cell r="E151" t="str">
            <v>rcaceresa@professor.universidadviu.com</v>
          </cell>
          <cell r="F151" t="str">
            <v>rcaceresa@professor.universidadviu.com</v>
          </cell>
          <cell r="G151" t="str">
            <v>Yes</v>
          </cell>
          <cell r="H151" t="str">
            <v>NO</v>
          </cell>
          <cell r="I151" t="str">
            <v>Máster en Terapia Sistémica</v>
          </cell>
          <cell r="J151" t="str">
            <v>Máster en Familia y Dependencia</v>
          </cell>
          <cell r="K151" t="str">
            <v>Licenciada en Psicología</v>
          </cell>
          <cell r="L151" t="str">
            <v>Doctorado en Psicología</v>
          </cell>
          <cell r="M151" t="str">
            <v>Labour</v>
          </cell>
          <cell r="N151" t="str">
            <v>Hernández Saguar, Aida Esther</v>
          </cell>
          <cell r="O151" t="str">
            <v>CSS</v>
          </cell>
          <cell r="P151">
            <v>100</v>
          </cell>
          <cell r="Q151" t="str">
            <v>50</v>
          </cell>
          <cell r="R151"/>
          <cell r="S151"/>
          <cell r="T151" t="str">
            <v>Subdirector/Coordinador de Máster</v>
          </cell>
          <cell r="U151">
            <v>32</v>
          </cell>
          <cell r="V151"/>
          <cell r="W151"/>
          <cell r="X151">
            <v>9</v>
          </cell>
          <cell r="Y151">
            <v>0</v>
          </cell>
          <cell r="Z151">
            <v>0</v>
          </cell>
          <cell r="AA151"/>
          <cell r="AB151" t="str">
            <v>Active - signed</v>
          </cell>
          <cell r="AC151" t="str">
            <v>ACTIVO</v>
          </cell>
          <cell r="AD151"/>
          <cell r="AE151"/>
          <cell r="AF151"/>
          <cell r="AG151"/>
          <cell r="AH151"/>
          <cell r="AI151" t="str">
            <v>08855913Q</v>
          </cell>
        </row>
        <row r="152">
          <cell r="A152" t="str">
            <v>78629442D</v>
          </cell>
          <cell r="B152" t="str">
            <v>Cairós González</v>
          </cell>
          <cell r="C152" t="str">
            <v>Mariana Elena</v>
          </cell>
          <cell r="D152" t="str">
            <v>Cairós González, Mariana Elena</v>
          </cell>
          <cell r="E152" t="str">
            <v>marianaelena.cairos</v>
          </cell>
          <cell r="F152" t="str">
            <v>marianaelena.cairos@professor.universidadviu.com</v>
          </cell>
          <cell r="G152" t="str">
            <v>Yes</v>
          </cell>
          <cell r="H152" t="str">
            <v>Yes</v>
          </cell>
          <cell r="I152" t="str">
            <v>Psicología</v>
          </cell>
          <cell r="J152" t="str">
            <v>Máster en Neuropsicología Clínica</v>
          </cell>
          <cell r="K152" t="str">
            <v>Máster en Psicología Clínica y de la Salud</v>
          </cell>
          <cell r="L152" t="str">
            <v>Licenciada en Psicología</v>
          </cell>
          <cell r="M152" t="str">
            <v>Labour</v>
          </cell>
          <cell r="N152" t="str">
            <v>Duque Moreno, María Aranzazu</v>
          </cell>
          <cell r="O152" t="str">
            <v>CSS</v>
          </cell>
          <cell r="P152">
            <v>100</v>
          </cell>
          <cell r="Q152" t="str">
            <v>50</v>
          </cell>
          <cell r="R152"/>
          <cell r="S152"/>
          <cell r="T152" t="str">
            <v>Dirección de título Máster Universitario &gt; 60 - 1 edición</v>
          </cell>
          <cell r="U152" t="str">
            <v>32</v>
          </cell>
          <cell r="V152">
            <v>6</v>
          </cell>
          <cell r="W152" t="str">
            <v>EDUCACIÓN</v>
          </cell>
          <cell r="X152">
            <v>3.1</v>
          </cell>
          <cell r="Y152">
            <v>0</v>
          </cell>
          <cell r="Z152">
            <v>6.8</v>
          </cell>
          <cell r="AA152"/>
          <cell r="AB152" t="str">
            <v>Active - signed</v>
          </cell>
          <cell r="AC152" t="str">
            <v>ACTIVO</v>
          </cell>
          <cell r="AD152"/>
          <cell r="AE152"/>
          <cell r="AF152"/>
          <cell r="AG152"/>
          <cell r="AH152"/>
          <cell r="AI152" t="str">
            <v>78629442D</v>
          </cell>
        </row>
        <row r="153">
          <cell r="A153" t="str">
            <v>50619239B</v>
          </cell>
          <cell r="B153" t="str">
            <v>Calle Ibáñez</v>
          </cell>
          <cell r="C153" t="str">
            <v>Ada Jianmei</v>
          </cell>
          <cell r="D153" t="str">
            <v>Calle Ibáñez, Ada Jianmei</v>
          </cell>
          <cell r="E153" t="str">
            <v>ada.calles@professional.universidadviu.com</v>
          </cell>
          <cell r="F153" t="str">
            <v>ada.calles@professional.universidadviu.com</v>
          </cell>
          <cell r="G153" t="str">
            <v>NO</v>
          </cell>
          <cell r="H153" t="str">
            <v>NO</v>
          </cell>
          <cell r="I153" t="str">
            <v>Máster Universitario en Bioinformática</v>
          </cell>
          <cell r="J153" t="str">
            <v/>
          </cell>
          <cell r="K153" t="str">
            <v/>
          </cell>
          <cell r="L153" t="str">
            <v/>
          </cell>
          <cell r="M153" t="str">
            <v>Professional</v>
          </cell>
          <cell r="N153"/>
          <cell r="O153" t="str">
            <v>CBS</v>
          </cell>
          <cell r="P153"/>
          <cell r="Q153" t="str">
            <v xml:space="preserve"> </v>
          </cell>
          <cell r="R153"/>
          <cell r="S153"/>
          <cell r="T153" t="str">
            <v>Sin reducción</v>
          </cell>
          <cell r="U153">
            <v>0</v>
          </cell>
          <cell r="V153"/>
          <cell r="W153"/>
          <cell r="X153">
            <v>0</v>
          </cell>
          <cell r="Y153">
            <v>0</v>
          </cell>
          <cell r="Z153">
            <v>0</v>
          </cell>
          <cell r="AA153"/>
          <cell r="AB153" t="str">
            <v>Concluded</v>
          </cell>
          <cell r="AC153" t="str">
            <v>NO ACTIVO</v>
          </cell>
          <cell r="AD153"/>
          <cell r="AE153"/>
          <cell r="AF153"/>
          <cell r="AG153" t="str">
            <v>CESE DE CONTRATO</v>
          </cell>
          <cell r="AH153"/>
          <cell r="AI153" t="str">
            <v>50619239B</v>
          </cell>
        </row>
        <row r="154">
          <cell r="A154" t="str">
            <v>77320887Q</v>
          </cell>
          <cell r="B154" t="str">
            <v>Camacho Ruiz</v>
          </cell>
          <cell r="C154" t="str">
            <v>Julio Ángel</v>
          </cell>
          <cell r="D154" t="str">
            <v>Camacho Ruiz, Julio Ángel</v>
          </cell>
          <cell r="E154" t="str">
            <v>julioangel.camacho</v>
          </cell>
          <cell r="F154" t="str">
            <v>julioangel.camacho@professional.universidadviu.com</v>
          </cell>
          <cell r="G154" t="str">
            <v>NO</v>
          </cell>
          <cell r="H154" t="str">
            <v>NO</v>
          </cell>
          <cell r="I154" t="str">
            <v>Máster Universitario en Análisis Crítico de las Desigualdades de Género e Intervención Integral en Violencia de Género</v>
          </cell>
          <cell r="J154" t="str">
            <v>Grado en Trabajo Social</v>
          </cell>
          <cell r="K154" t="str">
            <v/>
          </cell>
          <cell r="L154" t="str">
            <v/>
          </cell>
          <cell r="M154" t="str">
            <v>Professional</v>
          </cell>
          <cell r="N154" t="str">
            <v/>
          </cell>
          <cell r="O154" t="str">
            <v>CSS</v>
          </cell>
          <cell r="P154">
            <v>0</v>
          </cell>
          <cell r="Q154" t="str">
            <v xml:space="preserve"> </v>
          </cell>
          <cell r="R154"/>
          <cell r="S154"/>
          <cell r="T154" t="str">
            <v>Sin reducción</v>
          </cell>
          <cell r="U154">
            <v>0</v>
          </cell>
          <cell r="V154"/>
          <cell r="W154"/>
          <cell r="X154">
            <v>0</v>
          </cell>
          <cell r="Y154">
            <v>0</v>
          </cell>
          <cell r="Z154">
            <v>0</v>
          </cell>
          <cell r="AA154"/>
          <cell r="AB154" t="str">
            <v>Active - signed</v>
          </cell>
          <cell r="AC154" t="str">
            <v>ACTIVO</v>
          </cell>
          <cell r="AD154"/>
          <cell r="AE154"/>
          <cell r="AF154"/>
          <cell r="AG154"/>
          <cell r="AH154"/>
          <cell r="AI154" t="str">
            <v>77320887Q</v>
          </cell>
        </row>
        <row r="155">
          <cell r="A155" t="str">
            <v>52636572Z</v>
          </cell>
          <cell r="B155" t="str">
            <v>Cámara Navarro</v>
          </cell>
          <cell r="C155" t="str">
            <v>Nuria</v>
          </cell>
          <cell r="D155" t="str">
            <v>Cámara Navarro, Nuria</v>
          </cell>
          <cell r="E155" t="str">
            <v>nuria.camara</v>
          </cell>
          <cell r="F155" t="str">
            <v>nuria.camara@professional.universidadviu.com</v>
          </cell>
          <cell r="G155" t="str">
            <v>Yes</v>
          </cell>
          <cell r="H155" t="str">
            <v>NO</v>
          </cell>
          <cell r="I155" t="str">
            <v>Farmacia</v>
          </cell>
          <cell r="J155" t="str">
            <v>Certificado de aptitud pedagógica</v>
          </cell>
          <cell r="K155" t="str">
            <v>Licenciatura en Farmacia</v>
          </cell>
          <cell r="L155" t="str">
            <v/>
          </cell>
          <cell r="M155" t="str">
            <v>Professional</v>
          </cell>
          <cell r="N155" t="str">
            <v/>
          </cell>
          <cell r="O155" t="str">
            <v>CBS</v>
          </cell>
          <cell r="P155">
            <v>0</v>
          </cell>
          <cell r="Q155" t="str">
            <v xml:space="preserve"> </v>
          </cell>
          <cell r="R155"/>
          <cell r="S155"/>
          <cell r="T155" t="str">
            <v>Sin reducción</v>
          </cell>
          <cell r="U155">
            <v>0</v>
          </cell>
          <cell r="V155"/>
          <cell r="W155"/>
          <cell r="X155">
            <v>0</v>
          </cell>
          <cell r="Y155">
            <v>0</v>
          </cell>
          <cell r="Z155">
            <v>0</v>
          </cell>
          <cell r="AA155"/>
          <cell r="AB155" t="str">
            <v>Active - signed</v>
          </cell>
          <cell r="AC155" t="str">
            <v>ACTIVO</v>
          </cell>
          <cell r="AD155"/>
          <cell r="AE155"/>
          <cell r="AF155"/>
          <cell r="AG155"/>
          <cell r="AH155"/>
          <cell r="AI155" t="str">
            <v>52636572Z</v>
          </cell>
        </row>
        <row r="156">
          <cell r="A156" t="str">
            <v>52636573S</v>
          </cell>
          <cell r="B156" t="str">
            <v>Cámara Navarro</v>
          </cell>
          <cell r="C156" t="str">
            <v>Raquel</v>
          </cell>
          <cell r="D156" t="str">
            <v>Cámara Navarro, Raquel</v>
          </cell>
          <cell r="E156" t="str">
            <v>raquel.camara</v>
          </cell>
          <cell r="F156" t="str">
            <v>raquel.camara@professional.universidadviu.com</v>
          </cell>
          <cell r="G156" t="str">
            <v>Yes</v>
          </cell>
          <cell r="H156" t="str">
            <v>NO</v>
          </cell>
          <cell r="I156" t="str">
            <v>Farmacia</v>
          </cell>
          <cell r="J156"/>
          <cell r="K156" t="str">
            <v/>
          </cell>
          <cell r="L156" t="str">
            <v/>
          </cell>
          <cell r="M156" t="str">
            <v>Professional</v>
          </cell>
          <cell r="N156" t="str">
            <v/>
          </cell>
          <cell r="O156" t="str">
            <v>CBS</v>
          </cell>
          <cell r="P156">
            <v>0</v>
          </cell>
          <cell r="Q156" t="str">
            <v xml:space="preserve"> </v>
          </cell>
          <cell r="R156"/>
          <cell r="S156"/>
          <cell r="T156" t="str">
            <v>Sin reducción</v>
          </cell>
          <cell r="U156">
            <v>0</v>
          </cell>
          <cell r="V156"/>
          <cell r="W156"/>
          <cell r="X156">
            <v>0</v>
          </cell>
          <cell r="Y156">
            <v>0</v>
          </cell>
          <cell r="Z156">
            <v>0</v>
          </cell>
          <cell r="AA156"/>
          <cell r="AB156" t="str">
            <v>Active - signed</v>
          </cell>
          <cell r="AC156" t="str">
            <v>ACTIVO</v>
          </cell>
          <cell r="AD156"/>
          <cell r="AE156"/>
          <cell r="AF156"/>
          <cell r="AG156"/>
          <cell r="AH156"/>
          <cell r="AI156" t="str">
            <v>52636573S</v>
          </cell>
        </row>
        <row r="157">
          <cell r="A157" t="str">
            <v>09068319V</v>
          </cell>
          <cell r="B157" t="str">
            <v>Cambas Muñoz</v>
          </cell>
          <cell r="C157" t="str">
            <v>Cristina</v>
          </cell>
          <cell r="D157" t="str">
            <v>Cambas Muñoz, Cristina</v>
          </cell>
          <cell r="E157" t="str">
            <v>cristina.cambas</v>
          </cell>
          <cell r="F157" t="str">
            <v>cristina.cambas@professor.universidadviu.com</v>
          </cell>
          <cell r="G157" t="str">
            <v>NO</v>
          </cell>
          <cell r="H157" t="str">
            <v>NO</v>
          </cell>
          <cell r="I157" t="str">
            <v>Logopedia</v>
          </cell>
          <cell r="J157" t="str">
            <v>Técnica Superior en Interpretación de la Lengua de Signos</v>
          </cell>
          <cell r="K157" t="str">
            <v/>
          </cell>
          <cell r="L157" t="str">
            <v/>
          </cell>
          <cell r="M157" t="str">
            <v>Labour</v>
          </cell>
          <cell r="N157" t="str">
            <v>Cano Villagrasa, Alejandro</v>
          </cell>
          <cell r="O157" t="str">
            <v>CBS</v>
          </cell>
          <cell r="P157">
            <v>18</v>
          </cell>
          <cell r="Q157" t="str">
            <v>18</v>
          </cell>
          <cell r="R157"/>
          <cell r="S157"/>
          <cell r="T157" t="str">
            <v>Sin reducción</v>
          </cell>
          <cell r="U157">
            <v>0</v>
          </cell>
          <cell r="V157"/>
          <cell r="W157"/>
          <cell r="X157">
            <v>0</v>
          </cell>
          <cell r="Y157">
            <v>19</v>
          </cell>
          <cell r="Z157">
            <v>0</v>
          </cell>
          <cell r="AA157"/>
          <cell r="AB157" t="str">
            <v>Active - signed</v>
          </cell>
          <cell r="AC157" t="str">
            <v>ACTIVO</v>
          </cell>
          <cell r="AD157"/>
          <cell r="AE157"/>
          <cell r="AF157"/>
          <cell r="AG157"/>
          <cell r="AH157"/>
          <cell r="AI157" t="str">
            <v>09068319V</v>
          </cell>
        </row>
        <row r="158">
          <cell r="A158" t="str">
            <v>Y5755570H</v>
          </cell>
          <cell r="B158" t="str">
            <v>Campla Bolivar</v>
          </cell>
          <cell r="C158" t="str">
            <v>Xaviera Paz</v>
          </cell>
          <cell r="D158" t="str">
            <v>Campla Bolivar, Xaviera Paz</v>
          </cell>
          <cell r="E158" t="str">
            <v>xaviera.campla</v>
          </cell>
          <cell r="F158"/>
          <cell r="G158" t="str">
            <v>Yes</v>
          </cell>
          <cell r="H158" t="str">
            <v>NO</v>
          </cell>
          <cell r="I158" t="str">
            <v>Psicología</v>
          </cell>
          <cell r="J158" t="str">
            <v>Máster en Intervención Psicojurídica y Forense</v>
          </cell>
          <cell r="K158" t="str">
            <v>Psicología del Trabajo y de las Organizaciones, Jurídica-Forense y del Consumidor y Usuario</v>
          </cell>
          <cell r="L158" t="str">
            <v/>
          </cell>
          <cell r="M158" t="str">
            <v>Professional</v>
          </cell>
          <cell r="N158" t="str">
            <v/>
          </cell>
          <cell r="O158" t="str">
            <v>CSS</v>
          </cell>
          <cell r="P158">
            <v>0</v>
          </cell>
          <cell r="Q158" t="str">
            <v xml:space="preserve"> </v>
          </cell>
          <cell r="R158"/>
          <cell r="S158"/>
          <cell r="T158" t="str">
            <v>Sin reducción</v>
          </cell>
          <cell r="U158">
            <v>0</v>
          </cell>
          <cell r="V158"/>
          <cell r="W158"/>
          <cell r="X158">
            <v>0</v>
          </cell>
          <cell r="Y158">
            <v>0</v>
          </cell>
          <cell r="Z158">
            <v>0</v>
          </cell>
          <cell r="AA158"/>
          <cell r="AB158" t="str">
            <v>Concluded</v>
          </cell>
          <cell r="AC158" t="str">
            <v>NO ACTIVO</v>
          </cell>
          <cell r="AD158"/>
          <cell r="AE158"/>
          <cell r="AF158">
            <v>45002</v>
          </cell>
          <cell r="AG158" t="str">
            <v>CESE DE CONTRATO</v>
          </cell>
          <cell r="AH158"/>
          <cell r="AI158" t="str">
            <v>Y5755570H</v>
          </cell>
        </row>
        <row r="159">
          <cell r="A159" t="str">
            <v>BR81170106587</v>
          </cell>
          <cell r="B159" t="str">
            <v>Campos de Miranda</v>
          </cell>
          <cell r="C159" t="str">
            <v>Vanessa Helena</v>
          </cell>
          <cell r="D159" t="str">
            <v>Campos de Miranda, Vanessa Helena</v>
          </cell>
          <cell r="E159" t="str">
            <v>vcamposd@professional.universidadviu.com</v>
          </cell>
          <cell r="F159" t="str">
            <v>vcamposd@professional.universidadviu.com</v>
          </cell>
          <cell r="G159" t="str">
            <v>Yes</v>
          </cell>
          <cell r="H159" t="str">
            <v>NO</v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>Professional</v>
          </cell>
          <cell r="N159" t="str">
            <v/>
          </cell>
          <cell r="O159" t="str">
            <v>CSS</v>
          </cell>
          <cell r="P159">
            <v>0</v>
          </cell>
          <cell r="Q159" t="str">
            <v xml:space="preserve"> </v>
          </cell>
          <cell r="R159"/>
          <cell r="S159"/>
          <cell r="T159" t="str">
            <v>Sin reducción</v>
          </cell>
          <cell r="U159">
            <v>0</v>
          </cell>
          <cell r="V159"/>
          <cell r="W159"/>
          <cell r="X159">
            <v>0</v>
          </cell>
          <cell r="Y159">
            <v>0</v>
          </cell>
          <cell r="Z159">
            <v>0</v>
          </cell>
          <cell r="AA159"/>
          <cell r="AB159" t="str">
            <v>Active - signed</v>
          </cell>
          <cell r="AC159" t="str">
            <v>ACTIVO</v>
          </cell>
          <cell r="AD159"/>
          <cell r="AE159"/>
          <cell r="AF159"/>
          <cell r="AG159"/>
          <cell r="AH159"/>
          <cell r="AI159" t="str">
            <v>BR81170106587</v>
          </cell>
        </row>
        <row r="160">
          <cell r="A160" t="str">
            <v>47991833X</v>
          </cell>
          <cell r="B160" t="str">
            <v>Camprodon Boadas</v>
          </cell>
          <cell r="C160" t="str">
            <v>Patricia</v>
          </cell>
          <cell r="D160" t="str">
            <v>Camprodon Boadas, Patricia</v>
          </cell>
          <cell r="E160" t="str">
            <v>patricia.camprodon</v>
          </cell>
          <cell r="F160" t="str">
            <v>patricia.camprodon@professional.universidadviu.com</v>
          </cell>
          <cell r="G160" t="str">
            <v>Yes</v>
          </cell>
          <cell r="H160" t="str">
            <v>NO</v>
          </cell>
          <cell r="I160" t="str">
            <v>Psicología</v>
          </cell>
          <cell r="J160" t="str">
            <v>Master Universitario en Neuropsicología</v>
          </cell>
          <cell r="K160" t="str">
            <v>Doctorado Medicina e Investigación Translacional, Neurociencias clínicas y experimentales</v>
          </cell>
          <cell r="L160" t="str">
            <v/>
          </cell>
          <cell r="M160" t="str">
            <v>Professional</v>
          </cell>
          <cell r="N160" t="str">
            <v/>
          </cell>
          <cell r="O160" t="str">
            <v>CSS</v>
          </cell>
          <cell r="P160">
            <v>0</v>
          </cell>
          <cell r="Q160" t="str">
            <v xml:space="preserve"> </v>
          </cell>
          <cell r="R160"/>
          <cell r="S160"/>
          <cell r="T160" t="str">
            <v>Sin reducción</v>
          </cell>
          <cell r="U160">
            <v>0</v>
          </cell>
          <cell r="V160"/>
          <cell r="W160"/>
          <cell r="X160">
            <v>0</v>
          </cell>
          <cell r="Y160">
            <v>0</v>
          </cell>
          <cell r="Z160">
            <v>0</v>
          </cell>
          <cell r="AA160"/>
          <cell r="AB160" t="str">
            <v>Active - signed</v>
          </cell>
          <cell r="AC160" t="str">
            <v>ACTIVO</v>
          </cell>
          <cell r="AD160"/>
          <cell r="AE160"/>
          <cell r="AF160"/>
          <cell r="AG160"/>
          <cell r="AH160"/>
          <cell r="AI160" t="str">
            <v>47991833X</v>
          </cell>
        </row>
        <row r="161">
          <cell r="A161" t="str">
            <v>04633293N</v>
          </cell>
          <cell r="B161" t="str">
            <v>Cañas Cañas</v>
          </cell>
          <cell r="C161" t="str">
            <v>Rubén</v>
          </cell>
          <cell r="D161" t="str">
            <v>Cañas Cañas, Rubén</v>
          </cell>
          <cell r="E161" t="str">
            <v>ruben.canas</v>
          </cell>
          <cell r="F161" t="str">
            <v>ruben.canas@professional.universidadviu.com</v>
          </cell>
          <cell r="G161" t="str">
            <v>NO</v>
          </cell>
          <cell r="H161" t="str">
            <v>NO</v>
          </cell>
          <cell r="I161" t="str">
            <v>Biotecnología</v>
          </cell>
          <cell r="J161" t="str">
            <v>Máster oficial en Bioinformática</v>
          </cell>
          <cell r="K161" t="str">
            <v>Grado en Biotecnología</v>
          </cell>
          <cell r="L161" t="str">
            <v/>
          </cell>
          <cell r="M161" t="str">
            <v>Professional</v>
          </cell>
          <cell r="N161" t="str">
            <v/>
          </cell>
          <cell r="O161" t="str">
            <v>CBS</v>
          </cell>
          <cell r="P161">
            <v>0</v>
          </cell>
          <cell r="Q161" t="str">
            <v xml:space="preserve"> </v>
          </cell>
          <cell r="R161"/>
          <cell r="S161"/>
          <cell r="T161" t="str">
            <v>Sin reducción</v>
          </cell>
          <cell r="U161">
            <v>0</v>
          </cell>
          <cell r="V161"/>
          <cell r="W161"/>
          <cell r="X161">
            <v>0</v>
          </cell>
          <cell r="Y161">
            <v>0</v>
          </cell>
          <cell r="Z161">
            <v>0</v>
          </cell>
          <cell r="AA161"/>
          <cell r="AB161" t="str">
            <v>Active - signed</v>
          </cell>
          <cell r="AC161" t="str">
            <v>ACTIVO</v>
          </cell>
          <cell r="AD161"/>
          <cell r="AE161"/>
          <cell r="AF161"/>
          <cell r="AG161"/>
          <cell r="AH161"/>
          <cell r="AI161" t="str">
            <v>04633293N</v>
          </cell>
        </row>
        <row r="162">
          <cell r="A162" t="str">
            <v>20416314L</v>
          </cell>
          <cell r="B162" t="str">
            <v>Cano Climent</v>
          </cell>
          <cell r="C162" t="str">
            <v>Antoni</v>
          </cell>
          <cell r="D162" t="str">
            <v>Cano Climent, Antoni</v>
          </cell>
          <cell r="E162" t="e">
            <v>#VALUE!</v>
          </cell>
          <cell r="F162" t="str">
            <v>acanoc@professional.universidadviu.com</v>
          </cell>
          <cell r="G162" t="e">
            <v>#VALUE!</v>
          </cell>
          <cell r="H162" t="e">
            <v>#VALUE!</v>
          </cell>
          <cell r="I162" t="str">
            <v>Doctorado en Ciencias de la Salud</v>
          </cell>
          <cell r="J162" t="str">
            <v>Enfermero especialista en Ginecología y Obstetricia</v>
          </cell>
          <cell r="K162" t="str">
            <v>Diplomado en Enfermería</v>
          </cell>
          <cell r="L162" t="str">
            <v/>
          </cell>
          <cell r="M162" t="e">
            <v>#VALUE!</v>
          </cell>
          <cell r="N162"/>
          <cell r="O162" t="str">
            <v>CBS</v>
          </cell>
          <cell r="P162" t="str">
            <v xml:space="preserve"> </v>
          </cell>
          <cell r="Q162" t="b">
            <v>0</v>
          </cell>
          <cell r="R162"/>
          <cell r="S162"/>
          <cell r="T162" t="str">
            <v>Sin reducción</v>
          </cell>
          <cell r="U162">
            <v>0</v>
          </cell>
          <cell r="V162"/>
          <cell r="W162"/>
          <cell r="X162">
            <v>0</v>
          </cell>
          <cell r="Y162">
            <v>0</v>
          </cell>
          <cell r="Z162">
            <v>0</v>
          </cell>
          <cell r="AA162"/>
          <cell r="AB162" t="e">
            <v>#VALUE!</v>
          </cell>
          <cell r="AC162" t="str">
            <v>ACTIVO</v>
          </cell>
          <cell r="AD162"/>
          <cell r="AE162"/>
          <cell r="AF162"/>
          <cell r="AG162"/>
          <cell r="AH162"/>
          <cell r="AI162" t="str">
            <v>20416314L</v>
          </cell>
        </row>
        <row r="163">
          <cell r="A163" t="str">
            <v>78944558W</v>
          </cell>
          <cell r="B163" t="str">
            <v>Cano Escalera</v>
          </cell>
          <cell r="C163" t="str">
            <v>Guillermo</v>
          </cell>
          <cell r="D163" t="str">
            <v>Cano Escalera, Guillermo</v>
          </cell>
          <cell r="E163" t="str">
            <v>gcano@professor.universidadviu.com</v>
          </cell>
          <cell r="F163" t="str">
            <v>gcano@professor.universidadviu.com</v>
          </cell>
          <cell r="G163" t="str">
            <v>Yes</v>
          </cell>
          <cell r="H163" t="str">
            <v>Yes</v>
          </cell>
          <cell r="I163" t="str">
            <v>Fisioterapia</v>
          </cell>
          <cell r="J163" t="str">
            <v>Doctorado en Medicina y Cirugía</v>
          </cell>
          <cell r="K163" t="str">
            <v>Grado en Psicología</v>
          </cell>
          <cell r="L163" t="str">
            <v/>
          </cell>
          <cell r="M163" t="str">
            <v>Labour</v>
          </cell>
          <cell r="N163" t="str">
            <v>Rama Galdón, Encarnación</v>
          </cell>
          <cell r="O163" t="str">
            <v>CBS/CSS</v>
          </cell>
          <cell r="P163">
            <v>40</v>
          </cell>
          <cell r="Q163" t="str">
            <v>32</v>
          </cell>
          <cell r="R163"/>
          <cell r="S163"/>
          <cell r="T163" t="str">
            <v>Sin reducción</v>
          </cell>
          <cell r="U163">
            <v>0</v>
          </cell>
          <cell r="V163"/>
          <cell r="W163"/>
          <cell r="X163">
            <v>22.1</v>
          </cell>
          <cell r="Y163">
            <v>8.1</v>
          </cell>
          <cell r="Z163">
            <v>0</v>
          </cell>
          <cell r="AA163"/>
          <cell r="AB163" t="str">
            <v>Active - signed</v>
          </cell>
          <cell r="AC163" t="str">
            <v>ACTIVO</v>
          </cell>
          <cell r="AD163"/>
          <cell r="AE163"/>
          <cell r="AF163"/>
          <cell r="AG163"/>
          <cell r="AH163"/>
          <cell r="AI163" t="str">
            <v>78944558W</v>
          </cell>
        </row>
        <row r="164">
          <cell r="A164" t="str">
            <v>06281187W</v>
          </cell>
          <cell r="B164" t="str">
            <v>Cano López</v>
          </cell>
          <cell r="C164" t="str">
            <v>Irene</v>
          </cell>
          <cell r="D164" t="str">
            <v>Cano López, Irene</v>
          </cell>
          <cell r="E164" t="str">
            <v>irene.cano</v>
          </cell>
          <cell r="F164" t="str">
            <v>irene.cano@professor.universidadviu.com</v>
          </cell>
          <cell r="G164" t="str">
            <v>Yes</v>
          </cell>
          <cell r="H164" t="str">
            <v>Yes</v>
          </cell>
          <cell r="I164" t="str">
            <v>Psicología</v>
          </cell>
          <cell r="J164" t="str">
            <v>Doctorado en Neurociencias</v>
          </cell>
          <cell r="K164" t="str">
            <v>MU Neurociencias Básicas y Aplicadas</v>
          </cell>
          <cell r="L164" t="str">
            <v>Máster en Neuropsicología Clínica</v>
          </cell>
          <cell r="M164" t="str">
            <v>Labour</v>
          </cell>
          <cell r="N164"/>
          <cell r="O164" t="str">
            <v>CSS</v>
          </cell>
          <cell r="P164">
            <v>100</v>
          </cell>
          <cell r="Q164" t="str">
            <v>50</v>
          </cell>
          <cell r="R164"/>
          <cell r="S164" t="str">
            <v>2014-2019</v>
          </cell>
          <cell r="T164" t="str">
            <v>Sin reducción</v>
          </cell>
          <cell r="U164">
            <v>0</v>
          </cell>
          <cell r="V164"/>
          <cell r="W164"/>
          <cell r="X164">
            <v>0</v>
          </cell>
          <cell r="Y164">
            <v>0</v>
          </cell>
          <cell r="Z164">
            <v>0</v>
          </cell>
          <cell r="AA164"/>
          <cell r="AB164" t="str">
            <v>Concluded</v>
          </cell>
          <cell r="AC164" t="str">
            <v>NO ACTIVO</v>
          </cell>
          <cell r="AD164"/>
          <cell r="AE164"/>
          <cell r="AF164">
            <v>45202</v>
          </cell>
          <cell r="AG164" t="str">
            <v>CESE DE CONTRATO</v>
          </cell>
          <cell r="AH164"/>
          <cell r="AI164" t="str">
            <v>06281187W</v>
          </cell>
        </row>
        <row r="165">
          <cell r="A165" t="str">
            <v>45898034Q</v>
          </cell>
          <cell r="B165" t="str">
            <v>Cano Villagrasa</v>
          </cell>
          <cell r="C165" t="str">
            <v>Alejandro</v>
          </cell>
          <cell r="D165" t="str">
            <v>Cano Villagrasa, Alejandro</v>
          </cell>
          <cell r="E165" t="str">
            <v>alejandro.cano.v</v>
          </cell>
          <cell r="F165" t="str">
            <v>alejandro.cano.v@professor.universidadviu.com</v>
          </cell>
          <cell r="G165" t="str">
            <v>Yes</v>
          </cell>
          <cell r="H165" t="str">
            <v>Yes</v>
          </cell>
          <cell r="I165" t="str">
            <v>Logopedia</v>
          </cell>
          <cell r="J165" t="str">
            <v>Curso Terapias funcionales en la afasia</v>
          </cell>
          <cell r="K165" t="str">
            <v>Taller de rehabilitación integral del paciente laringuectomizado</v>
          </cell>
          <cell r="L165" t="str">
            <v>Curso Rehabilitación logopédica funcional y estética de las parálisis faciales</v>
          </cell>
          <cell r="M165" t="str">
            <v>Labour</v>
          </cell>
          <cell r="N165" t="str">
            <v>García Tejedor, Aurora</v>
          </cell>
          <cell r="O165" t="str">
            <v>CBS</v>
          </cell>
          <cell r="P165">
            <v>100</v>
          </cell>
          <cell r="Q165" t="str">
            <v>50</v>
          </cell>
          <cell r="R165"/>
          <cell r="S165"/>
          <cell r="T165" t="str">
            <v>Director/a grado</v>
          </cell>
          <cell r="U165" t="str">
            <v>38</v>
          </cell>
          <cell r="V165"/>
          <cell r="W165"/>
          <cell r="X165">
            <v>1.9</v>
          </cell>
          <cell r="Y165">
            <v>24</v>
          </cell>
          <cell r="Z165">
            <v>0</v>
          </cell>
          <cell r="AA165"/>
          <cell r="AB165" t="str">
            <v>Active - signed</v>
          </cell>
          <cell r="AC165" t="str">
            <v>ACTIVO</v>
          </cell>
          <cell r="AD165"/>
          <cell r="AE165"/>
          <cell r="AF165"/>
          <cell r="AG165"/>
          <cell r="AH165"/>
          <cell r="AI165" t="str">
            <v>45898034Q</v>
          </cell>
        </row>
        <row r="166">
          <cell r="A166" t="str">
            <v>75564693X</v>
          </cell>
          <cell r="B166" t="str">
            <v>Cantero García</v>
          </cell>
          <cell r="C166" t="str">
            <v>María Francisca</v>
          </cell>
          <cell r="D166" t="str">
            <v>Cantero García, María Francisca</v>
          </cell>
          <cell r="E166" t="str">
            <v>maria.cantero</v>
          </cell>
          <cell r="F166" t="str">
            <v>maria.cantero@professor.universidadviu.com</v>
          </cell>
          <cell r="G166" t="str">
            <v>Yes</v>
          </cell>
          <cell r="H166" t="str">
            <v>Yes</v>
          </cell>
          <cell r="I166" t="str">
            <v>Psicología</v>
          </cell>
          <cell r="J166" t="str">
            <v>Experta universitaria en parentalidad positiva y convivencia familiar</v>
          </cell>
          <cell r="K166" t="str">
            <v>Máster Universitario en Educación Social: Investigación y Desarrollo Profesional</v>
          </cell>
          <cell r="L166" t="str">
            <v>Licenciada en Pedagogía</v>
          </cell>
          <cell r="M166" t="str">
            <v>Labour</v>
          </cell>
          <cell r="N166"/>
          <cell r="O166" t="str">
            <v>CSS</v>
          </cell>
          <cell r="P166" t="str">
            <v>18,00</v>
          </cell>
          <cell r="Q166" t="b">
            <v>0</v>
          </cell>
          <cell r="R166"/>
          <cell r="S166"/>
          <cell r="T166" t="str">
            <v>Sin reducción</v>
          </cell>
          <cell r="U166">
            <v>0</v>
          </cell>
          <cell r="V166"/>
          <cell r="W166"/>
          <cell r="X166">
            <v>0</v>
          </cell>
          <cell r="Y166">
            <v>0</v>
          </cell>
          <cell r="Z166">
            <v>0</v>
          </cell>
          <cell r="AA166"/>
          <cell r="AB166" t="str">
            <v>Decoupling</v>
          </cell>
          <cell r="AC166" t="str">
            <v>NO ACTIVO</v>
          </cell>
          <cell r="AD166"/>
          <cell r="AE166"/>
          <cell r="AF166">
            <v>45478</v>
          </cell>
          <cell r="AG166" t="str">
            <v>CESE DE CONTRATO</v>
          </cell>
          <cell r="AH166"/>
          <cell r="AI166" t="str">
            <v>75564693X</v>
          </cell>
        </row>
        <row r="167">
          <cell r="A167" t="str">
            <v>30998859b</v>
          </cell>
          <cell r="B167" t="str">
            <v>Cantón Habas</v>
          </cell>
          <cell r="C167" t="str">
            <v>Vanesa</v>
          </cell>
          <cell r="D167" t="str">
            <v>Cantón Habas, Vanesa</v>
          </cell>
          <cell r="E167" t="str">
            <v>vanesa.canton</v>
          </cell>
          <cell r="F167" t="str">
            <v>vanesa.canton@professional.universidadviu.com</v>
          </cell>
          <cell r="G167" t="str">
            <v>Yes</v>
          </cell>
          <cell r="H167" t="str">
            <v>NO</v>
          </cell>
          <cell r="I167" t="str">
            <v>Enfermería</v>
          </cell>
          <cell r="J167" t="str">
            <v>Máster Universitario en Metodología de la Investigación en Ciencias de la Salud</v>
          </cell>
          <cell r="K167" t="str">
            <v/>
          </cell>
          <cell r="L167" t="str">
            <v/>
          </cell>
          <cell r="M167" t="str">
            <v>Professional</v>
          </cell>
          <cell r="N167" t="str">
            <v/>
          </cell>
          <cell r="O167" t="str">
            <v>CBS</v>
          </cell>
          <cell r="P167">
            <v>0</v>
          </cell>
          <cell r="Q167" t="str">
            <v xml:space="preserve"> </v>
          </cell>
          <cell r="R167"/>
          <cell r="S167"/>
          <cell r="T167" t="str">
            <v>Sin reducción</v>
          </cell>
          <cell r="U167">
            <v>0</v>
          </cell>
          <cell r="V167"/>
          <cell r="W167"/>
          <cell r="X167">
            <v>0</v>
          </cell>
          <cell r="Y167">
            <v>0</v>
          </cell>
          <cell r="Z167">
            <v>0</v>
          </cell>
          <cell r="AA167"/>
          <cell r="AB167" t="str">
            <v>Active - signed</v>
          </cell>
          <cell r="AC167" t="str">
            <v>ACTIVO</v>
          </cell>
          <cell r="AD167"/>
          <cell r="AE167"/>
          <cell r="AF167"/>
          <cell r="AG167"/>
          <cell r="AH167"/>
          <cell r="AI167" t="str">
            <v>30998859b</v>
          </cell>
        </row>
        <row r="168">
          <cell r="A168" t="str">
            <v>75876732P</v>
          </cell>
          <cell r="B168" t="str">
            <v>Caparrós González</v>
          </cell>
          <cell r="C168" t="str">
            <v>Rafael Arcangel</v>
          </cell>
          <cell r="D168" t="str">
            <v>Caparrós González, Rafael Arcangel</v>
          </cell>
          <cell r="E168" t="str">
            <v>rafael.caparros</v>
          </cell>
          <cell r="F168" t="str">
            <v>rafael.caparros@professional.universidadviu.com</v>
          </cell>
          <cell r="G168" t="str">
            <v>Yes</v>
          </cell>
          <cell r="H168" t="str">
            <v>Yes</v>
          </cell>
          <cell r="I168" t="str">
            <v>Psicología</v>
          </cell>
          <cell r="J168" t="str">
            <v>TO Enferfero especialista en Obstetrico-Ginecologica</v>
          </cell>
          <cell r="K168" t="str">
            <v>Máster Universitario en Diseños de Investigación y Aplicaciones en Psicología y Salud</v>
          </cell>
          <cell r="L168" t="str">
            <v>Diplomado/a en Enfermeria</v>
          </cell>
          <cell r="M168" t="str">
            <v>Professional</v>
          </cell>
          <cell r="N168" t="str">
            <v/>
          </cell>
          <cell r="O168" t="str">
            <v>CSS</v>
          </cell>
          <cell r="P168">
            <v>0</v>
          </cell>
          <cell r="Q168" t="str">
            <v xml:space="preserve"> </v>
          </cell>
          <cell r="R168"/>
          <cell r="S168"/>
          <cell r="T168" t="str">
            <v>Sin reducción</v>
          </cell>
          <cell r="U168">
            <v>0</v>
          </cell>
          <cell r="V168"/>
          <cell r="W168"/>
          <cell r="X168">
            <v>0</v>
          </cell>
          <cell r="Y168">
            <v>0</v>
          </cell>
          <cell r="Z168">
            <v>0</v>
          </cell>
          <cell r="AA168"/>
          <cell r="AB168" t="str">
            <v>Active - signed</v>
          </cell>
          <cell r="AC168" t="str">
            <v>ACTIVO</v>
          </cell>
          <cell r="AD168"/>
          <cell r="AE168"/>
          <cell r="AF168"/>
          <cell r="AG168"/>
          <cell r="AH168"/>
          <cell r="AI168" t="str">
            <v>75876732P</v>
          </cell>
        </row>
        <row r="169">
          <cell r="A169" t="str">
            <v>47547547S</v>
          </cell>
          <cell r="B169" t="str">
            <v>Carbajo García</v>
          </cell>
          <cell r="C169" t="str">
            <v>Maria Cristina</v>
          </cell>
          <cell r="D169" t="str">
            <v>Carbajo García, Maria Cristina</v>
          </cell>
          <cell r="E169" t="str">
            <v>mcarbajog@professional.universidadviu.com</v>
          </cell>
          <cell r="F169" t="str">
            <v>mcarbajog@professional.universidadviu.com</v>
          </cell>
          <cell r="G169" t="str">
            <v>Yes</v>
          </cell>
          <cell r="H169" t="str">
            <v>NO</v>
          </cell>
          <cell r="I169" t="str">
            <v>Doctorado en Biomedicina y Biotecnología</v>
          </cell>
          <cell r="J169" t="str">
            <v>Máster en Biotecnología de la Reproducción Humana Asistida</v>
          </cell>
          <cell r="K169" t="str">
            <v>Grado en Biomedicina Básica y Experimental</v>
          </cell>
          <cell r="L169" t="str">
            <v/>
          </cell>
          <cell r="M169" t="str">
            <v>Professional</v>
          </cell>
          <cell r="N169"/>
          <cell r="O169" t="str">
            <v>CBS</v>
          </cell>
          <cell r="P169">
            <v>0</v>
          </cell>
          <cell r="Q169" t="str">
            <v xml:space="preserve"> </v>
          </cell>
          <cell r="R169"/>
          <cell r="S169"/>
          <cell r="T169" t="str">
            <v>Sin reducción</v>
          </cell>
          <cell r="U169">
            <v>0</v>
          </cell>
          <cell r="V169"/>
          <cell r="W169"/>
          <cell r="X169">
            <v>0</v>
          </cell>
          <cell r="Y169">
            <v>0</v>
          </cell>
          <cell r="Z169">
            <v>0</v>
          </cell>
          <cell r="AA169"/>
          <cell r="AB169" t="str">
            <v>Active - signed</v>
          </cell>
          <cell r="AC169" t="str">
            <v>ACTIVO</v>
          </cell>
          <cell r="AD169"/>
          <cell r="AE169"/>
          <cell r="AF169"/>
          <cell r="AG169"/>
          <cell r="AH169"/>
          <cell r="AI169" t="str">
            <v>47547547S</v>
          </cell>
        </row>
        <row r="170">
          <cell r="A170" t="str">
            <v>23021253R</v>
          </cell>
          <cell r="B170" t="str">
            <v>Carbonell Bernal</v>
          </cell>
          <cell r="C170" t="str">
            <v>Noelia</v>
          </cell>
          <cell r="D170" t="str">
            <v>Carbonell Bernal, Noelia</v>
          </cell>
          <cell r="E170" t="e">
            <v>#VALUE!</v>
          </cell>
          <cell r="F170" t="str">
            <v>noelia.carbonell@professor.universidadviu.com</v>
          </cell>
          <cell r="G170" t="e">
            <v>#VALUE!</v>
          </cell>
          <cell r="H170" t="e">
            <v>#VALUE!</v>
          </cell>
          <cell r="I170" t="str">
            <v>Programa Oficial de Doctorado en Psicología</v>
          </cell>
          <cell r="J170" t="str">
            <v>Programa Oficial de Doctorado en Psicología</v>
          </cell>
          <cell r="K170" t="str">
            <v>Licenciada en Psicología</v>
          </cell>
          <cell r="L170" t="str">
            <v>Máster Universitario en Formación del Profesorado de Educación Secundaria Obligatoria, Bachillerato, Formación Profesional y Enseñanzas de Idiomas</v>
          </cell>
          <cell r="M170" t="e">
            <v>#VALUE!</v>
          </cell>
          <cell r="N170" t="str">
            <v>Consultar a Educación</v>
          </cell>
          <cell r="O170" t="str">
            <v>CSS</v>
          </cell>
          <cell r="P170" t="str">
            <v xml:space="preserve"> </v>
          </cell>
          <cell r="Q170" t="b">
            <v>0</v>
          </cell>
          <cell r="R170"/>
          <cell r="S170"/>
          <cell r="T170" t="str">
            <v>Sin reducción</v>
          </cell>
          <cell r="U170">
            <v>0</v>
          </cell>
          <cell r="V170">
            <v>32</v>
          </cell>
          <cell r="W170" t="str">
            <v>EDUCACIÓN</v>
          </cell>
          <cell r="X170">
            <v>0</v>
          </cell>
          <cell r="Y170">
            <v>0</v>
          </cell>
          <cell r="Z170">
            <v>0</v>
          </cell>
          <cell r="AA170"/>
          <cell r="AB170" t="e">
            <v>#VALUE!</v>
          </cell>
          <cell r="AC170" t="str">
            <v>BAJA TEMPORAL</v>
          </cell>
          <cell r="AD170">
            <v>45869</v>
          </cell>
          <cell r="AE170">
            <v>46234</v>
          </cell>
          <cell r="AF170"/>
          <cell r="AG170" t="str">
            <v>EXCEDENCIA</v>
          </cell>
          <cell r="AH170"/>
          <cell r="AI170" t="str">
            <v>23021253R</v>
          </cell>
        </row>
        <row r="171">
          <cell r="A171" t="str">
            <v>73657643M</v>
          </cell>
          <cell r="B171" t="str">
            <v>Cárcel Valle</v>
          </cell>
          <cell r="C171" t="str">
            <v>Lucía</v>
          </cell>
          <cell r="D171" t="str">
            <v>Cárcel Valle, Lucía</v>
          </cell>
          <cell r="E171" t="str">
            <v>lcarcelv@professional.universidadviu.com</v>
          </cell>
          <cell r="F171" t="str">
            <v>lcarcelv@professional.universidadviu.com</v>
          </cell>
          <cell r="G171" t="str">
            <v>Yes</v>
          </cell>
          <cell r="H171" t="str">
            <v>NO</v>
          </cell>
          <cell r="I171" t="str">
            <v>Doctor en Psicología</v>
          </cell>
          <cell r="J171" t="str">
            <v>Máster Universitario en Estudios Avanzados en Cerebro y Conducta</v>
          </cell>
          <cell r="K171" t="str">
            <v>Grado en Psicología</v>
          </cell>
          <cell r="L171" t="str">
            <v/>
          </cell>
          <cell r="M171" t="str">
            <v>Professional</v>
          </cell>
          <cell r="N171" t="str">
            <v/>
          </cell>
          <cell r="O171" t="str">
            <v>CSS</v>
          </cell>
          <cell r="P171">
            <v>0</v>
          </cell>
          <cell r="Q171" t="str">
            <v xml:space="preserve"> </v>
          </cell>
          <cell r="R171"/>
          <cell r="S171"/>
          <cell r="T171" t="str">
            <v>Sin reducción</v>
          </cell>
          <cell r="U171">
            <v>0</v>
          </cell>
          <cell r="V171"/>
          <cell r="W171"/>
          <cell r="X171">
            <v>0</v>
          </cell>
          <cell r="Y171">
            <v>0</v>
          </cell>
          <cell r="Z171">
            <v>0</v>
          </cell>
          <cell r="AA171"/>
          <cell r="AB171" t="str">
            <v>Active - signed</v>
          </cell>
          <cell r="AC171" t="str">
            <v>ACTIVO</v>
          </cell>
          <cell r="AD171"/>
          <cell r="AE171"/>
          <cell r="AF171"/>
          <cell r="AG171"/>
          <cell r="AH171"/>
          <cell r="AI171" t="str">
            <v>73657643M</v>
          </cell>
        </row>
        <row r="172">
          <cell r="A172" t="str">
            <v>53382011T</v>
          </cell>
          <cell r="B172" t="str">
            <v>Carda Diéguez</v>
          </cell>
          <cell r="C172" t="str">
            <v>Miguel</v>
          </cell>
          <cell r="D172" t="str">
            <v>Carda Diéguez, Miguel</v>
          </cell>
          <cell r="E172" t="str">
            <v>miguel.carda</v>
          </cell>
          <cell r="F172" t="str">
            <v>miguel.carda@professional.universidadviu.com</v>
          </cell>
          <cell r="G172" t="str">
            <v>Yes</v>
          </cell>
          <cell r="H172" t="str">
            <v>NO</v>
          </cell>
          <cell r="I172" t="str">
            <v>Biotecnología</v>
          </cell>
          <cell r="J172" t="str">
            <v>Máster Universitario en Investigación en Biología Molecular Cellular y Genética</v>
          </cell>
          <cell r="K172" t="str">
            <v>Licenciatura en Biología</v>
          </cell>
          <cell r="L172" t="str">
            <v/>
          </cell>
          <cell r="M172" t="str">
            <v>Professional</v>
          </cell>
          <cell r="N172" t="str">
            <v/>
          </cell>
          <cell r="O172" t="str">
            <v>CBS</v>
          </cell>
          <cell r="P172">
            <v>0</v>
          </cell>
          <cell r="Q172" t="str">
            <v xml:space="preserve"> </v>
          </cell>
          <cell r="R172"/>
          <cell r="S172"/>
          <cell r="T172" t="str">
            <v>Sin reducción</v>
          </cell>
          <cell r="U172">
            <v>0</v>
          </cell>
          <cell r="V172"/>
          <cell r="W172"/>
          <cell r="X172">
            <v>0</v>
          </cell>
          <cell r="Y172">
            <v>0</v>
          </cell>
          <cell r="Z172">
            <v>0</v>
          </cell>
          <cell r="AA172"/>
          <cell r="AB172" t="str">
            <v>Active - signed</v>
          </cell>
          <cell r="AC172" t="str">
            <v>ACTIVO</v>
          </cell>
          <cell r="AD172"/>
          <cell r="AE172"/>
          <cell r="AF172"/>
          <cell r="AG172"/>
          <cell r="AH172"/>
          <cell r="AI172" t="str">
            <v>53382011T</v>
          </cell>
        </row>
        <row r="173">
          <cell r="A173" t="str">
            <v>22562804B</v>
          </cell>
          <cell r="B173" t="str">
            <v>Cardona Serrate</v>
          </cell>
          <cell r="C173" t="str">
            <v>Fernando</v>
          </cell>
          <cell r="D173" t="str">
            <v>Cardona Serrate, Fernando</v>
          </cell>
          <cell r="E173" t="str">
            <v>fernando.cardona</v>
          </cell>
          <cell r="F173"/>
          <cell r="G173" t="str">
            <v>Yes</v>
          </cell>
          <cell r="H173" t="str">
            <v>Yes</v>
          </cell>
          <cell r="I173" t="str">
            <v>Doctorado en Departamento de Bioquímica y Biología molecular</v>
          </cell>
          <cell r="J173" t="str">
            <v>Doctorado en Departamento de Bioquímica y Biología molecular</v>
          </cell>
          <cell r="K173" t="str">
            <v>Licenciado en Bioquímica</v>
          </cell>
          <cell r="L173" t="str">
            <v>Licenciado en Ciencia y Tecnología de los alimentos</v>
          </cell>
          <cell r="M173" t="str">
            <v>Labour</v>
          </cell>
          <cell r="N173"/>
          <cell r="O173" t="str">
            <v>CBS</v>
          </cell>
          <cell r="P173" t="str">
            <v>18,00</v>
          </cell>
          <cell r="Q173" t="b">
            <v>0</v>
          </cell>
          <cell r="R173"/>
          <cell r="S173"/>
          <cell r="T173" t="str">
            <v>Sin reducción</v>
          </cell>
          <cell r="U173">
            <v>0</v>
          </cell>
          <cell r="V173"/>
          <cell r="W173"/>
          <cell r="X173">
            <v>0</v>
          </cell>
          <cell r="Y173">
            <v>0</v>
          </cell>
          <cell r="Z173">
            <v>0</v>
          </cell>
          <cell r="AA173"/>
          <cell r="AB173" t="str">
            <v>Concluded</v>
          </cell>
          <cell r="AC173" t="str">
            <v>NO ACTIVO</v>
          </cell>
          <cell r="AD173"/>
          <cell r="AE173"/>
          <cell r="AF173">
            <v>44985</v>
          </cell>
          <cell r="AG173" t="str">
            <v>CESE DE CONTRATO</v>
          </cell>
          <cell r="AH173"/>
          <cell r="AI173" t="str">
            <v>22562804B</v>
          </cell>
        </row>
        <row r="174">
          <cell r="A174" t="str">
            <v>49025305T</v>
          </cell>
          <cell r="B174" t="str">
            <v>Carmona Rincón</v>
          </cell>
          <cell r="C174" t="str">
            <v>Isaac</v>
          </cell>
          <cell r="D174" t="str">
            <v>Carmona Rincón, Isaac</v>
          </cell>
          <cell r="E174" t="str">
            <v>isaac.carmona</v>
          </cell>
          <cell r="F174" t="str">
            <v>isaac.carmona@professor.universidadviu.com</v>
          </cell>
          <cell r="G174" t="str">
            <v>Yes</v>
          </cell>
          <cell r="H174" t="str">
            <v>NO</v>
          </cell>
          <cell r="I174" t="str">
            <v>Máster Universitario en psicología de las organizaciones y del trabajo</v>
          </cell>
          <cell r="J174" t="str">
            <v>Máster Universitario en Terapias Psicológicas de Tercera generación</v>
          </cell>
          <cell r="K174" t="str">
            <v>Graduado en Psicología</v>
          </cell>
          <cell r="L174" t="str">
            <v>Doctorado en Diseño, Gestión y Evaluación de Políticas Públicas de Bienestar social</v>
          </cell>
          <cell r="M174" t="str">
            <v>Labour</v>
          </cell>
          <cell r="N174" t="str">
            <v>Hernández Saguar, Aida Esther</v>
          </cell>
          <cell r="O174" t="str">
            <v>CSS</v>
          </cell>
          <cell r="P174">
            <v>100</v>
          </cell>
          <cell r="Q174" t="str">
            <v>50</v>
          </cell>
          <cell r="R174"/>
          <cell r="S174"/>
          <cell r="T174" t="str">
            <v>Sin reducción</v>
          </cell>
          <cell r="U174">
            <v>0</v>
          </cell>
          <cell r="V174"/>
          <cell r="W174"/>
          <cell r="X174">
            <v>50</v>
          </cell>
          <cell r="Y174">
            <v>0</v>
          </cell>
          <cell r="Z174">
            <v>0</v>
          </cell>
          <cell r="AA174"/>
          <cell r="AB174" t="str">
            <v>Active - signed</v>
          </cell>
          <cell r="AC174" t="str">
            <v>ACTIVO</v>
          </cell>
          <cell r="AD174"/>
          <cell r="AE174"/>
          <cell r="AF174"/>
          <cell r="AG174"/>
          <cell r="AH174"/>
          <cell r="AI174" t="str">
            <v>49025305T</v>
          </cell>
        </row>
        <row r="175">
          <cell r="A175" t="str">
            <v>73582242K</v>
          </cell>
          <cell r="B175" t="str">
            <v>Carmona Vicente</v>
          </cell>
          <cell r="C175" t="str">
            <v>Noelia</v>
          </cell>
          <cell r="D175" t="str">
            <v>Carmona Vicente, Noelia</v>
          </cell>
          <cell r="E175" t="str">
            <v>noelia.carmona.v</v>
          </cell>
          <cell r="F175" t="str">
            <v>noelia.carmona.v@professional.universidadviu.com</v>
          </cell>
          <cell r="G175" t="str">
            <v>Yes</v>
          </cell>
          <cell r="H175" t="str">
            <v>NO</v>
          </cell>
          <cell r="I175" t="str">
            <v>Doctorado</v>
          </cell>
          <cell r="J175" t="str">
            <v/>
          </cell>
          <cell r="K175" t="str">
            <v/>
          </cell>
          <cell r="L175" t="str">
            <v/>
          </cell>
          <cell r="M175" t="str">
            <v>Professional</v>
          </cell>
          <cell r="N175" t="str">
            <v/>
          </cell>
          <cell r="O175" t="str">
            <v>CBS</v>
          </cell>
          <cell r="P175">
            <v>0</v>
          </cell>
          <cell r="Q175" t="str">
            <v xml:space="preserve"> </v>
          </cell>
          <cell r="R175"/>
          <cell r="S175"/>
          <cell r="T175" t="str">
            <v>Sin reducción</v>
          </cell>
          <cell r="U175">
            <v>0</v>
          </cell>
          <cell r="V175"/>
          <cell r="W175"/>
          <cell r="X175">
            <v>0</v>
          </cell>
          <cell r="Y175">
            <v>0</v>
          </cell>
          <cell r="Z175">
            <v>0</v>
          </cell>
          <cell r="AA175"/>
          <cell r="AB175" t="str">
            <v>Active - signed</v>
          </cell>
          <cell r="AC175" t="str">
            <v>ACTIVO</v>
          </cell>
          <cell r="AD175"/>
          <cell r="AE175"/>
          <cell r="AF175"/>
          <cell r="AG175"/>
          <cell r="AH175"/>
          <cell r="AI175" t="str">
            <v>73582242K</v>
          </cell>
        </row>
        <row r="176">
          <cell r="A176" t="str">
            <v>24389343M</v>
          </cell>
          <cell r="B176" t="str">
            <v>Carrascosa Martinez</v>
          </cell>
          <cell r="C176" t="str">
            <v>Esther</v>
          </cell>
          <cell r="D176" t="str">
            <v>Carrascosa Martinez, Esther</v>
          </cell>
          <cell r="E176" t="str">
            <v>ecarrascosam@professional.universidadviu.com</v>
          </cell>
          <cell r="F176" t="str">
            <v>ecarrascosam@professional.universidadviu.com</v>
          </cell>
          <cell r="G176" t="str">
            <v>Yes</v>
          </cell>
          <cell r="H176" t="str">
            <v>NO</v>
          </cell>
          <cell r="I176" t="str">
            <v>IMPLICACION DEL ESTRESS OXIDATIVO Y LA AUTOFAGIA EN UN MODELO EXPERIMENTAL DE ENCEFALOPATÍA DIABÉTICA</v>
          </cell>
          <cell r="J176" t="str">
            <v>Licenciada en Farmacia</v>
          </cell>
          <cell r="K176" t="str">
            <v/>
          </cell>
          <cell r="L176" t="str">
            <v/>
          </cell>
          <cell r="M176" t="str">
            <v>Professional</v>
          </cell>
          <cell r="N176"/>
          <cell r="O176" t="str">
            <v>CBS</v>
          </cell>
          <cell r="P176">
            <v>0</v>
          </cell>
          <cell r="Q176" t="str">
            <v xml:space="preserve"> </v>
          </cell>
          <cell r="R176"/>
          <cell r="S176"/>
          <cell r="T176" t="str">
            <v>Sin reducción</v>
          </cell>
          <cell r="U176">
            <v>0</v>
          </cell>
          <cell r="V176"/>
          <cell r="W176"/>
          <cell r="X176">
            <v>0</v>
          </cell>
          <cell r="Y176">
            <v>0</v>
          </cell>
          <cell r="Z176">
            <v>0</v>
          </cell>
          <cell r="AA176"/>
          <cell r="AB176" t="str">
            <v>Active - signed</v>
          </cell>
          <cell r="AC176" t="str">
            <v>ACTIVO</v>
          </cell>
          <cell r="AD176"/>
          <cell r="AE176"/>
          <cell r="AF176"/>
          <cell r="AG176"/>
          <cell r="AH176"/>
          <cell r="AI176" t="str">
            <v>24389343M</v>
          </cell>
        </row>
        <row r="177">
          <cell r="A177" t="str">
            <v>35012579R</v>
          </cell>
          <cell r="B177" t="str">
            <v>Carreras del Rincón</v>
          </cell>
          <cell r="C177" t="str">
            <v>Joan</v>
          </cell>
          <cell r="D177" t="str">
            <v>Carreras del Rincón, Joan</v>
          </cell>
          <cell r="E177" t="str">
            <v>joan.carreras</v>
          </cell>
          <cell r="F177" t="str">
            <v>joan.carreras@professional.universidadviu.com</v>
          </cell>
          <cell r="G177" t="str">
            <v>Yes</v>
          </cell>
          <cell r="H177" t="str">
            <v>Yes</v>
          </cell>
          <cell r="I177" t="str">
            <v>Master en mediación y gestión del conflicto</v>
          </cell>
          <cell r="J177" t="str">
            <v/>
          </cell>
          <cell r="K177" t="str">
            <v/>
          </cell>
          <cell r="L177" t="str">
            <v/>
          </cell>
          <cell r="M177" t="str">
            <v>Professional</v>
          </cell>
          <cell r="N177" t="str">
            <v/>
          </cell>
          <cell r="O177" t="str">
            <v>CSS</v>
          </cell>
          <cell r="P177">
            <v>0</v>
          </cell>
          <cell r="Q177" t="str">
            <v xml:space="preserve"> </v>
          </cell>
          <cell r="R177"/>
          <cell r="S177"/>
          <cell r="T177" t="str">
            <v>Sin reducción</v>
          </cell>
          <cell r="U177">
            <v>0</v>
          </cell>
          <cell r="V177"/>
          <cell r="W177"/>
          <cell r="X177">
            <v>0</v>
          </cell>
          <cell r="Y177">
            <v>0</v>
          </cell>
          <cell r="Z177">
            <v>0</v>
          </cell>
          <cell r="AA177"/>
          <cell r="AB177" t="str">
            <v>Active - signed</v>
          </cell>
          <cell r="AC177" t="str">
            <v>ACTIVO</v>
          </cell>
          <cell r="AD177"/>
          <cell r="AE177"/>
          <cell r="AF177"/>
          <cell r="AG177"/>
          <cell r="AH177"/>
          <cell r="AI177" t="str">
            <v>35012579R</v>
          </cell>
        </row>
        <row r="178">
          <cell r="A178" t="str">
            <v>47011961F</v>
          </cell>
          <cell r="B178" t="str">
            <v>Carrero Puerto</v>
          </cell>
          <cell r="C178" t="str">
            <v>María de los Ángeles</v>
          </cell>
          <cell r="D178" t="str">
            <v>Carrero Puerto, María de los Ángeles</v>
          </cell>
          <cell r="E178" t="str">
            <v>mariadelosangeles.carrero</v>
          </cell>
          <cell r="F178" t="str">
            <v>mariadelosangeles.carrero@professional.universidadviu.com</v>
          </cell>
          <cell r="G178" t="str">
            <v>NO</v>
          </cell>
          <cell r="H178" t="str">
            <v>NO</v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>Professional</v>
          </cell>
          <cell r="N178" t="str">
            <v/>
          </cell>
          <cell r="O178" t="str">
            <v>CSS</v>
          </cell>
          <cell r="P178">
            <v>0</v>
          </cell>
          <cell r="Q178" t="str">
            <v xml:space="preserve"> </v>
          </cell>
          <cell r="R178"/>
          <cell r="S178"/>
          <cell r="T178" t="str">
            <v>Sin reducción</v>
          </cell>
          <cell r="U178">
            <v>0</v>
          </cell>
          <cell r="V178"/>
          <cell r="W178"/>
          <cell r="X178">
            <v>0</v>
          </cell>
          <cell r="Y178">
            <v>0</v>
          </cell>
          <cell r="Z178">
            <v>0</v>
          </cell>
          <cell r="AA178"/>
          <cell r="AB178" t="str">
            <v>Active - signed</v>
          </cell>
          <cell r="AC178" t="str">
            <v>ACTIVO</v>
          </cell>
          <cell r="AD178"/>
          <cell r="AE178"/>
          <cell r="AF178"/>
          <cell r="AG178"/>
          <cell r="AH178"/>
          <cell r="AI178" t="str">
            <v>47011961F</v>
          </cell>
        </row>
        <row r="179">
          <cell r="A179" t="str">
            <v>26500888N</v>
          </cell>
          <cell r="B179" t="str">
            <v>Cartas Cejudo</v>
          </cell>
          <cell r="C179" t="str">
            <v>Paz</v>
          </cell>
          <cell r="D179" t="str">
            <v>Cartas Cejudo, Paz</v>
          </cell>
          <cell r="E179" t="str">
            <v>pcartasc@professional.universidadviu.com</v>
          </cell>
          <cell r="F179" t="str">
            <v>pcartasc@professional.universidadviu.com</v>
          </cell>
          <cell r="G179" t="str">
            <v>NO</v>
          </cell>
          <cell r="H179" t="str">
            <v>NO</v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>Professional</v>
          </cell>
          <cell r="N179"/>
          <cell r="O179" t="str">
            <v>CBS</v>
          </cell>
          <cell r="P179"/>
          <cell r="Q179" t="str">
            <v xml:space="preserve"> </v>
          </cell>
          <cell r="R179"/>
          <cell r="S179"/>
          <cell r="T179" t="str">
            <v>Sin reducción</v>
          </cell>
          <cell r="U179">
            <v>0</v>
          </cell>
          <cell r="V179"/>
          <cell r="W179"/>
          <cell r="X179">
            <v>0</v>
          </cell>
          <cell r="Y179">
            <v>0</v>
          </cell>
          <cell r="Z179">
            <v>0</v>
          </cell>
          <cell r="AA179"/>
          <cell r="AB179" t="str">
            <v>Active - signed</v>
          </cell>
          <cell r="AC179" t="str">
            <v>ACTIVO</v>
          </cell>
          <cell r="AD179"/>
          <cell r="AE179"/>
          <cell r="AF179"/>
          <cell r="AG179"/>
          <cell r="AH179"/>
          <cell r="AI179" t="str">
            <v>26500888N</v>
          </cell>
        </row>
        <row r="180">
          <cell r="A180" t="str">
            <v>54019792Z</v>
          </cell>
          <cell r="B180" t="str">
            <v>Casabó Vallés</v>
          </cell>
          <cell r="C180" t="str">
            <v>Germán</v>
          </cell>
          <cell r="D180" t="str">
            <v>Casabó Vallés, Germán</v>
          </cell>
          <cell r="E180" t="str">
            <v>german.casabo</v>
          </cell>
          <cell r="F180" t="str">
            <v>german.casabo@professional.universidadviu.com</v>
          </cell>
          <cell r="G180" t="str">
            <v>NO</v>
          </cell>
          <cell r="H180" t="str">
            <v>NO</v>
          </cell>
          <cell r="I180" t="str">
            <v>Grado en Biotecnología</v>
          </cell>
          <cell r="J180" t="str">
            <v>Máster universitario en Bioinformática</v>
          </cell>
          <cell r="K180" t="str">
            <v/>
          </cell>
          <cell r="L180" t="str">
            <v/>
          </cell>
          <cell r="M180" t="str">
            <v>Professional</v>
          </cell>
          <cell r="N180" t="str">
            <v/>
          </cell>
          <cell r="O180" t="str">
            <v>CBS</v>
          </cell>
          <cell r="P180">
            <v>0</v>
          </cell>
          <cell r="Q180" t="str">
            <v xml:space="preserve"> </v>
          </cell>
          <cell r="R180"/>
          <cell r="S180"/>
          <cell r="T180" t="str">
            <v>Sin reducción</v>
          </cell>
          <cell r="U180">
            <v>0</v>
          </cell>
          <cell r="V180"/>
          <cell r="W180"/>
          <cell r="X180">
            <v>0</v>
          </cell>
          <cell r="Y180">
            <v>0</v>
          </cell>
          <cell r="Z180">
            <v>0</v>
          </cell>
          <cell r="AA180"/>
          <cell r="AB180" t="str">
            <v>Active - signed</v>
          </cell>
          <cell r="AC180" t="str">
            <v>ACTIVO</v>
          </cell>
          <cell r="AD180"/>
          <cell r="AE180"/>
          <cell r="AF180"/>
          <cell r="AG180"/>
          <cell r="AH180"/>
          <cell r="AI180" t="str">
            <v>54019792Z</v>
          </cell>
        </row>
        <row r="181">
          <cell r="A181" t="str">
            <v>53092573V</v>
          </cell>
          <cell r="B181" t="str">
            <v>Casaña Mohedo</v>
          </cell>
          <cell r="C181" t="str">
            <v>Jorge</v>
          </cell>
          <cell r="D181" t="str">
            <v>Casaña Mohedo, Jorge</v>
          </cell>
          <cell r="E181" t="str">
            <v>jorge.casana</v>
          </cell>
          <cell r="F181" t="str">
            <v>jorge.casana@professor.universidadviu.com</v>
          </cell>
          <cell r="G181" t="str">
            <v>Yes</v>
          </cell>
          <cell r="H181" t="str">
            <v>Yes</v>
          </cell>
          <cell r="I181" t="str">
            <v>Programa Oficial de Doctorado en Enfermería Integral</v>
          </cell>
          <cell r="J181" t="str">
            <v>Programa Oficial de Doctorado en Enfermería Integral</v>
          </cell>
          <cell r="K181" t="str">
            <v>Diplomado/a en Enfermeria</v>
          </cell>
          <cell r="L181" t="str">
            <v>Máster Universitario en Educación n Salud Escolar</v>
          </cell>
          <cell r="M181" t="str">
            <v>Labour</v>
          </cell>
          <cell r="N181" t="str">
            <v>Mut Ronda, Salvador</v>
          </cell>
          <cell r="O181" t="str">
            <v>CBS</v>
          </cell>
          <cell r="P181">
            <v>100</v>
          </cell>
          <cell r="Q181" t="str">
            <v>50</v>
          </cell>
          <cell r="R181"/>
          <cell r="S181"/>
          <cell r="T181" t="str">
            <v>Responsable de Innovación</v>
          </cell>
          <cell r="U181" t="str">
            <v>6</v>
          </cell>
          <cell r="V181"/>
          <cell r="W181"/>
          <cell r="X181">
            <v>0</v>
          </cell>
          <cell r="Y181">
            <v>31</v>
          </cell>
          <cell r="Z181">
            <v>13.4</v>
          </cell>
          <cell r="AA181"/>
          <cell r="AB181" t="str">
            <v>Active - signed</v>
          </cell>
          <cell r="AC181" t="str">
            <v>ACTIVO</v>
          </cell>
          <cell r="AD181"/>
          <cell r="AE181"/>
          <cell r="AF181"/>
          <cell r="AG181"/>
          <cell r="AH181"/>
          <cell r="AI181" t="str">
            <v>53092573V</v>
          </cell>
        </row>
        <row r="182">
          <cell r="A182" t="str">
            <v>Y4488694M</v>
          </cell>
          <cell r="B182" t="str">
            <v>Cassetti</v>
          </cell>
          <cell r="C182" t="str">
            <v>Viola</v>
          </cell>
          <cell r="D182" t="str">
            <v>Cassetti, Viola</v>
          </cell>
          <cell r="E182" t="e">
            <v>#VALUE!</v>
          </cell>
          <cell r="F182" t="str">
            <v>viola.cassetti@professor.universidadviu.com</v>
          </cell>
          <cell r="G182" t="e">
            <v>#VALUE!</v>
          </cell>
          <cell r="H182" t="e">
            <v>#VALUE!</v>
          </cell>
          <cell r="I182" t="str">
            <v>Doctor of Philosophy</v>
          </cell>
          <cell r="J182" t="str">
            <v>Doctor of Philosophy</v>
          </cell>
          <cell r="K182" t="str">
            <v>Laurea in Scienze Antropologiche</v>
          </cell>
          <cell r="L182" t="str">
            <v>MA Development and Rights</v>
          </cell>
          <cell r="M182" t="e">
            <v>#VALUE!</v>
          </cell>
          <cell r="N182" t="str">
            <v>Pedelini Gassmann, Leda</v>
          </cell>
          <cell r="O182" t="str">
            <v>CBS</v>
          </cell>
          <cell r="P182" t="str">
            <v xml:space="preserve"> </v>
          </cell>
          <cell r="Q182" t="b">
            <v>0</v>
          </cell>
          <cell r="R182"/>
          <cell r="S182"/>
          <cell r="T182" t="str">
            <v>Sin reducción</v>
          </cell>
          <cell r="U182">
            <v>0</v>
          </cell>
          <cell r="V182"/>
          <cell r="W182"/>
          <cell r="X182">
            <v>0</v>
          </cell>
          <cell r="Y182">
            <v>0</v>
          </cell>
          <cell r="Z182">
            <v>0</v>
          </cell>
          <cell r="AA182"/>
          <cell r="AB182" t="e">
            <v>#VALUE!</v>
          </cell>
          <cell r="AC182" t="str">
            <v>ACTIVO</v>
          </cell>
          <cell r="AD182">
            <v>45689</v>
          </cell>
          <cell r="AE182">
            <v>46054</v>
          </cell>
          <cell r="AF182"/>
          <cell r="AG182" t="str">
            <v>EXCEDENCIA</v>
          </cell>
          <cell r="AH182" t="str">
            <v>¿de cuánto es la excedencia?</v>
          </cell>
          <cell r="AI182" t="str">
            <v>Y4488694M</v>
          </cell>
        </row>
        <row r="183">
          <cell r="A183" t="str">
            <v>73395688C</v>
          </cell>
          <cell r="B183" t="str">
            <v>Castañ Navarro</v>
          </cell>
          <cell r="C183" t="str">
            <v>Isabel</v>
          </cell>
          <cell r="D183" t="str">
            <v>Castañ Navarro, Isabel</v>
          </cell>
          <cell r="E183" t="str">
            <v>icastann@professor.universidadviu.com</v>
          </cell>
          <cell r="F183" t="str">
            <v>icastann@professor.universidadviu.com</v>
          </cell>
          <cell r="G183" t="str">
            <v>NO</v>
          </cell>
          <cell r="H183" t="str">
            <v>NO</v>
          </cell>
          <cell r="I183" t="str">
            <v>Diplomada en enfermería</v>
          </cell>
          <cell r="J183" t="str">
            <v>Grado en medicina</v>
          </cell>
          <cell r="K183" t="str">
            <v/>
          </cell>
          <cell r="L183" t="str">
            <v/>
          </cell>
          <cell r="M183" t="str">
            <v>Labour</v>
          </cell>
          <cell r="N183"/>
          <cell r="O183" t="str">
            <v>CBS</v>
          </cell>
          <cell r="P183">
            <v>100</v>
          </cell>
          <cell r="Q183" t="str">
            <v>50</v>
          </cell>
          <cell r="R183" t="str">
            <v>ampliación al 100% febrero</v>
          </cell>
          <cell r="S183"/>
          <cell r="T183" t="str">
            <v>Sin reducción</v>
          </cell>
          <cell r="U183">
            <v>0</v>
          </cell>
          <cell r="V183"/>
          <cell r="W183"/>
          <cell r="X183">
            <v>0</v>
          </cell>
          <cell r="Y183">
            <v>48.3</v>
          </cell>
          <cell r="Z183">
            <v>2.8</v>
          </cell>
          <cell r="AA183"/>
          <cell r="AB183" t="str">
            <v>Active - signed</v>
          </cell>
          <cell r="AC183" t="str">
            <v>ACTIVO</v>
          </cell>
          <cell r="AD183"/>
          <cell r="AE183"/>
          <cell r="AF183"/>
          <cell r="AG183"/>
          <cell r="AH183"/>
          <cell r="AI183" t="str">
            <v>73395688C</v>
          </cell>
        </row>
        <row r="184">
          <cell r="A184" t="str">
            <v>35579937H</v>
          </cell>
          <cell r="B184" t="str">
            <v>Castiñeira Reis</v>
          </cell>
          <cell r="C184" t="str">
            <v>Marta</v>
          </cell>
          <cell r="D184" t="str">
            <v>Castiñeira Reis, Marta</v>
          </cell>
          <cell r="E184" t="str">
            <v>mcastineirasr@professor.universidadviu.com</v>
          </cell>
          <cell r="F184" t="str">
            <v>mcastineirasr@professor.universidadviu.com</v>
          </cell>
          <cell r="G184" t="str">
            <v>Yes</v>
          </cell>
          <cell r="H184" t="str">
            <v>Yes</v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>Labour</v>
          </cell>
          <cell r="N184" t="str">
            <v>Tronchoni León, Jordi</v>
          </cell>
          <cell r="O184" t="str">
            <v>CBS</v>
          </cell>
          <cell r="P184">
            <v>40</v>
          </cell>
          <cell r="Q184" t="str">
            <v>32</v>
          </cell>
          <cell r="R184" t="str">
            <v>Laboralización febrero</v>
          </cell>
          <cell r="S184"/>
          <cell r="T184" t="str">
            <v>Sin reducción</v>
          </cell>
          <cell r="U184">
            <v>0</v>
          </cell>
          <cell r="V184"/>
          <cell r="W184"/>
          <cell r="X184">
            <v>0</v>
          </cell>
          <cell r="Y184">
            <v>12</v>
          </cell>
          <cell r="Z184">
            <v>20.100000000000001</v>
          </cell>
          <cell r="AA184"/>
          <cell r="AB184" t="str">
            <v>Active - signed</v>
          </cell>
          <cell r="AC184" t="str">
            <v>ACTIVO</v>
          </cell>
          <cell r="AD184"/>
          <cell r="AE184"/>
          <cell r="AF184"/>
          <cell r="AG184"/>
          <cell r="AH184"/>
          <cell r="AI184" t="str">
            <v>35579937H</v>
          </cell>
        </row>
        <row r="185">
          <cell r="A185">
            <v>252056807</v>
          </cell>
          <cell r="B185" t="str">
            <v>Castro Cañizares</v>
          </cell>
          <cell r="C185" t="str">
            <v>Danilka</v>
          </cell>
          <cell r="D185" t="str">
            <v>Castro Cañizares, Danilka</v>
          </cell>
          <cell r="E185" t="str">
            <v>danilka.castro</v>
          </cell>
          <cell r="F185" t="str">
            <v>danilka.castro@professional.universidadviu.com</v>
          </cell>
          <cell r="G185" t="str">
            <v>Yes</v>
          </cell>
          <cell r="H185" t="str">
            <v>NO</v>
          </cell>
          <cell r="I185" t="str">
            <v>Doctora en Ciencias Psicológicas</v>
          </cell>
          <cell r="J185" t="str">
            <v>Licenciada en Psicología</v>
          </cell>
          <cell r="K185" t="str">
            <v/>
          </cell>
          <cell r="L185" t="str">
            <v/>
          </cell>
          <cell r="M185" t="str">
            <v>Professional</v>
          </cell>
          <cell r="N185" t="str">
            <v/>
          </cell>
          <cell r="O185" t="str">
            <v>CSS</v>
          </cell>
          <cell r="P185">
            <v>0</v>
          </cell>
          <cell r="Q185" t="str">
            <v xml:space="preserve"> </v>
          </cell>
          <cell r="R185"/>
          <cell r="S185"/>
          <cell r="T185" t="str">
            <v>Sin reducción</v>
          </cell>
          <cell r="U185">
            <v>0</v>
          </cell>
          <cell r="V185"/>
          <cell r="W185"/>
          <cell r="X185">
            <v>0</v>
          </cell>
          <cell r="Y185">
            <v>0</v>
          </cell>
          <cell r="Z185">
            <v>0</v>
          </cell>
          <cell r="AA185"/>
          <cell r="AB185" t="str">
            <v>Active - signed</v>
          </cell>
          <cell r="AC185" t="str">
            <v>ACTIVO</v>
          </cell>
          <cell r="AD185"/>
          <cell r="AE185"/>
          <cell r="AF185"/>
          <cell r="AG185"/>
          <cell r="AH185"/>
          <cell r="AI185">
            <v>252056807</v>
          </cell>
        </row>
        <row r="186">
          <cell r="A186" t="str">
            <v>71464141J</v>
          </cell>
          <cell r="B186" t="str">
            <v>Castro Rubio</v>
          </cell>
          <cell r="C186" t="str">
            <v>Bárbara</v>
          </cell>
          <cell r="D186" t="str">
            <v>Castro Rubio, Bárbara</v>
          </cell>
          <cell r="E186" t="str">
            <v>bcastror@professor.universidadviu.com</v>
          </cell>
          <cell r="F186" t="str">
            <v>bcastror@professor.universidadviu.com</v>
          </cell>
          <cell r="G186" t="str">
            <v>Yes</v>
          </cell>
          <cell r="H186" t="str">
            <v>NO</v>
          </cell>
          <cell r="I186" t="str">
            <v>Máster Universitario en Psicología del Trabajo y de las Organizaciones, Psicología Jurídica-Forense e Intervención Social</v>
          </cell>
          <cell r="J186" t="str">
            <v>Grado en Psicología</v>
          </cell>
          <cell r="K186" t="str">
            <v/>
          </cell>
          <cell r="L186" t="str">
            <v/>
          </cell>
          <cell r="M186" t="str">
            <v>Labour</v>
          </cell>
          <cell r="N186" t="str">
            <v>Jiménez García-Escribano, Patricia</v>
          </cell>
          <cell r="O186" t="str">
            <v>CSS</v>
          </cell>
          <cell r="P186">
            <v>30</v>
          </cell>
          <cell r="Q186" t="str">
            <v>24</v>
          </cell>
          <cell r="R186" t="str">
            <v>Ampliación junio</v>
          </cell>
          <cell r="S186"/>
          <cell r="T186" t="str">
            <v>Sin reducción</v>
          </cell>
          <cell r="U186">
            <v>0</v>
          </cell>
          <cell r="V186"/>
          <cell r="W186"/>
          <cell r="X186">
            <v>46.2</v>
          </cell>
          <cell r="Y186">
            <v>0</v>
          </cell>
          <cell r="Z186">
            <v>0</v>
          </cell>
          <cell r="AA186"/>
          <cell r="AB186" t="str">
            <v>Active - signed</v>
          </cell>
          <cell r="AC186" t="str">
            <v>ACTIVO</v>
          </cell>
          <cell r="AD186"/>
          <cell r="AE186"/>
          <cell r="AF186"/>
          <cell r="AG186"/>
          <cell r="AH186"/>
          <cell r="AI186" t="str">
            <v>71464141J</v>
          </cell>
        </row>
        <row r="187">
          <cell r="A187" t="str">
            <v>30942534J</v>
          </cell>
          <cell r="B187" t="str">
            <v>Castro Sánchez</v>
          </cell>
          <cell r="C187" t="str">
            <v>Enrique</v>
          </cell>
          <cell r="D187" t="str">
            <v>Castro Sánchez, Enrique</v>
          </cell>
          <cell r="E187" t="str">
            <v>ecastros@professor.universidadviu.com</v>
          </cell>
          <cell r="F187" t="str">
            <v>ecastros@professor.universidadviu.com</v>
          </cell>
          <cell r="G187" t="str">
            <v>Yes</v>
          </cell>
          <cell r="H187" t="str">
            <v>NO</v>
          </cell>
          <cell r="I187" t="str">
            <v>Doctorado en Ciencias de la Salud</v>
          </cell>
          <cell r="J187" t="str">
            <v>Diplomado en Enfermería</v>
          </cell>
          <cell r="K187" t="str">
            <v>Doctorado en Ciencias de la Salud</v>
          </cell>
          <cell r="L187" t="str">
            <v>Máster en Salud Pública</v>
          </cell>
          <cell r="M187" t="str">
            <v>Labour</v>
          </cell>
          <cell r="N187" t="str">
            <v>Vila Candel, Rafael</v>
          </cell>
          <cell r="O187" t="str">
            <v>CBS</v>
          </cell>
          <cell r="P187" t="str">
            <v>18,00</v>
          </cell>
          <cell r="Q187" t="b">
            <v>0</v>
          </cell>
          <cell r="R187"/>
          <cell r="S187"/>
          <cell r="T187" t="str">
            <v>Sin reducción</v>
          </cell>
          <cell r="U187">
            <v>0</v>
          </cell>
          <cell r="V187"/>
          <cell r="W187"/>
          <cell r="X187">
            <v>0</v>
          </cell>
          <cell r="Y187">
            <v>0</v>
          </cell>
          <cell r="Z187">
            <v>0</v>
          </cell>
          <cell r="AA187"/>
          <cell r="AB187" t="str">
            <v>Concluded</v>
          </cell>
          <cell r="AC187" t="str">
            <v>ACTIVO</v>
          </cell>
          <cell r="AD187"/>
          <cell r="AE187"/>
          <cell r="AF187"/>
          <cell r="AG187"/>
          <cell r="AH187"/>
          <cell r="AI187" t="str">
            <v>30942534J</v>
          </cell>
        </row>
        <row r="188">
          <cell r="A188" t="str">
            <v>13428696P</v>
          </cell>
          <cell r="B188" t="str">
            <v>Castro Zavala</v>
          </cell>
          <cell r="C188" t="str">
            <v>Adriana</v>
          </cell>
          <cell r="D188" t="str">
            <v>Castro Zavala, Adriana</v>
          </cell>
          <cell r="E188" t="str">
            <v>acastroz@professional.universidadviu.com</v>
          </cell>
          <cell r="F188" t="str">
            <v>acastroz@professional.universidadviu.com</v>
          </cell>
          <cell r="G188" t="str">
            <v>Yes</v>
          </cell>
          <cell r="H188" t="str">
            <v>Yes</v>
          </cell>
          <cell r="I188" t="str">
            <v>Doctorado en Biomedicina</v>
          </cell>
          <cell r="J188" t="str">
            <v>Máster en Ciencias Biomédicas Básicas</v>
          </cell>
          <cell r="K188" t="str">
            <v>Química Farmacobióloga</v>
          </cell>
          <cell r="L188" t="str">
            <v/>
          </cell>
          <cell r="M188" t="str">
            <v>Professional</v>
          </cell>
          <cell r="N188"/>
          <cell r="O188" t="str">
            <v>CBS/CSS</v>
          </cell>
          <cell r="P188">
            <v>0</v>
          </cell>
          <cell r="Q188" t="str">
            <v xml:space="preserve"> </v>
          </cell>
          <cell r="R188"/>
          <cell r="S188"/>
          <cell r="T188" t="str">
            <v>Sin reducción</v>
          </cell>
          <cell r="U188">
            <v>0</v>
          </cell>
          <cell r="V188"/>
          <cell r="W188"/>
          <cell r="X188">
            <v>0</v>
          </cell>
          <cell r="Y188">
            <v>0</v>
          </cell>
          <cell r="Z188">
            <v>0</v>
          </cell>
          <cell r="AA188"/>
          <cell r="AB188" t="str">
            <v>Active - signed</v>
          </cell>
          <cell r="AC188" t="str">
            <v>ACTIVO</v>
          </cell>
          <cell r="AD188"/>
          <cell r="AE188"/>
          <cell r="AF188"/>
          <cell r="AG188"/>
          <cell r="AH188"/>
          <cell r="AI188" t="str">
            <v>13428696P</v>
          </cell>
        </row>
        <row r="189">
          <cell r="A189" t="str">
            <v>53751848C</v>
          </cell>
          <cell r="B189" t="str">
            <v>Catalán Aguilar</v>
          </cell>
          <cell r="C189" t="str">
            <v>Judit</v>
          </cell>
          <cell r="D189" t="str">
            <v>Catalán Aguilar, Judit</v>
          </cell>
          <cell r="E189" t="str">
            <v>jcatalana@professor.universidadviu.com</v>
          </cell>
          <cell r="F189" t="str">
            <v>jcatalana@professor.universidadviu.com</v>
          </cell>
          <cell r="G189" t="str">
            <v>Yes</v>
          </cell>
          <cell r="H189" t="str">
            <v>NO</v>
          </cell>
          <cell r="I189" t="str">
            <v>Doctorado en Neurociencias</v>
          </cell>
          <cell r="J189" t="str">
            <v>Máster en Psicología General Sanitaria</v>
          </cell>
          <cell r="K189" t="str">
            <v>Máster en Neuropsicología Clínica</v>
          </cell>
          <cell r="L189" t="str">
            <v/>
          </cell>
          <cell r="M189" t="str">
            <v>Labour</v>
          </cell>
          <cell r="N189" t="str">
            <v>Rama Galdón, Encarnación</v>
          </cell>
          <cell r="O189" t="str">
            <v>CSS</v>
          </cell>
          <cell r="P189">
            <v>100</v>
          </cell>
          <cell r="Q189" t="str">
            <v>50</v>
          </cell>
          <cell r="R189"/>
          <cell r="S189"/>
          <cell r="T189" t="str">
            <v>Sin reducción</v>
          </cell>
          <cell r="U189">
            <v>0</v>
          </cell>
          <cell r="V189"/>
          <cell r="W189"/>
          <cell r="X189">
            <v>41.5</v>
          </cell>
          <cell r="Y189">
            <v>0</v>
          </cell>
          <cell r="Z189">
            <v>0</v>
          </cell>
          <cell r="AA189"/>
          <cell r="AB189" t="str">
            <v>Active - signed</v>
          </cell>
          <cell r="AC189" t="str">
            <v>ACTIVO</v>
          </cell>
          <cell r="AD189"/>
          <cell r="AE189"/>
          <cell r="AF189"/>
          <cell r="AG189"/>
          <cell r="AH189"/>
          <cell r="AI189" t="str">
            <v>53751848C</v>
          </cell>
        </row>
        <row r="190">
          <cell r="A190" t="str">
            <v>73393629P</v>
          </cell>
          <cell r="B190" t="str">
            <v>Catalán Prades</v>
          </cell>
          <cell r="C190" t="str">
            <v>Laura</v>
          </cell>
          <cell r="D190" t="str">
            <v>Catalán Prades, Laura</v>
          </cell>
          <cell r="E190" t="str">
            <v>laura.catalan</v>
          </cell>
          <cell r="F190" t="str">
            <v>laura.catalan@professional.universidadviu.com</v>
          </cell>
          <cell r="G190" t="str">
            <v>Yes</v>
          </cell>
          <cell r="H190" t="str">
            <v>NO</v>
          </cell>
          <cell r="I190" t="str">
            <v>Farmacia</v>
          </cell>
          <cell r="J190" t="str">
            <v>Especialista en Ortopedia</v>
          </cell>
          <cell r="K190" t="str">
            <v>Biomedicina i Farmàcia</v>
          </cell>
          <cell r="L190" t="str">
            <v>Diplomado en Sanidad</v>
          </cell>
          <cell r="M190" t="str">
            <v>Professional</v>
          </cell>
          <cell r="N190" t="str">
            <v/>
          </cell>
          <cell r="O190" t="str">
            <v>CBS</v>
          </cell>
          <cell r="P190">
            <v>0</v>
          </cell>
          <cell r="Q190" t="str">
            <v xml:space="preserve"> </v>
          </cell>
          <cell r="R190"/>
          <cell r="S190"/>
          <cell r="T190" t="str">
            <v>Sin reducción</v>
          </cell>
          <cell r="U190">
            <v>0</v>
          </cell>
          <cell r="V190"/>
          <cell r="W190"/>
          <cell r="X190">
            <v>0</v>
          </cell>
          <cell r="Y190">
            <v>0</v>
          </cell>
          <cell r="Z190">
            <v>0</v>
          </cell>
          <cell r="AA190"/>
          <cell r="AB190" t="str">
            <v>Active - signed</v>
          </cell>
          <cell r="AC190" t="str">
            <v>ACTIVO</v>
          </cell>
          <cell r="AD190"/>
          <cell r="AE190"/>
          <cell r="AF190"/>
          <cell r="AG190"/>
          <cell r="AH190"/>
          <cell r="AI190" t="str">
            <v>73393629P</v>
          </cell>
        </row>
        <row r="191">
          <cell r="A191" t="str">
            <v>20909398Y</v>
          </cell>
          <cell r="B191" t="str">
            <v>Caudet Pastor</v>
          </cell>
          <cell r="C191" t="str">
            <v>Carlos</v>
          </cell>
          <cell r="D191" t="str">
            <v>Caudet Pastor, Carlos</v>
          </cell>
          <cell r="E191" t="str">
            <v>ccaudetp@professional.universidadviu.com</v>
          </cell>
          <cell r="F191" t="str">
            <v>ccaudetp@professional.universidadviu.com</v>
          </cell>
          <cell r="G191" t="str">
            <v>NO</v>
          </cell>
          <cell r="H191" t="str">
            <v>NO</v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>Professional</v>
          </cell>
          <cell r="N191"/>
          <cell r="O191" t="str">
            <v>CSS</v>
          </cell>
          <cell r="P191">
            <v>0</v>
          </cell>
          <cell r="Q191" t="str">
            <v xml:space="preserve"> </v>
          </cell>
          <cell r="R191"/>
          <cell r="S191"/>
          <cell r="T191" t="str">
            <v>Sin reducción</v>
          </cell>
          <cell r="U191">
            <v>0</v>
          </cell>
          <cell r="V191"/>
          <cell r="W191"/>
          <cell r="X191">
            <v>0</v>
          </cell>
          <cell r="Y191">
            <v>0</v>
          </cell>
          <cell r="Z191">
            <v>0</v>
          </cell>
          <cell r="AA191"/>
          <cell r="AB191" t="str">
            <v>Active - signed</v>
          </cell>
          <cell r="AC191" t="str">
            <v>ACTIVO</v>
          </cell>
          <cell r="AD191"/>
          <cell r="AE191"/>
          <cell r="AF191"/>
          <cell r="AG191"/>
          <cell r="AH191"/>
          <cell r="AI191" t="str">
            <v>20909398Y</v>
          </cell>
        </row>
        <row r="192">
          <cell r="A192" t="str">
            <v>74663272M</v>
          </cell>
          <cell r="B192" t="str">
            <v>Caurcel Cara</v>
          </cell>
          <cell r="C192" t="str">
            <v>María Jesús</v>
          </cell>
          <cell r="D192" t="str">
            <v>Caurcel Cara, María Jesús</v>
          </cell>
          <cell r="E192" t="str">
            <v>mcaurcelc@professional.universidadviu.com</v>
          </cell>
          <cell r="F192" t="str">
            <v>mcaurcelc@professional.universidadviu.com</v>
          </cell>
          <cell r="G192" t="str">
            <v>Yes</v>
          </cell>
          <cell r="H192" t="str">
            <v>Yes</v>
          </cell>
          <cell r="I192" t="str">
            <v>Doctora en Psicología Evolutiva y de la Educación</v>
          </cell>
          <cell r="J192" t="str">
            <v>DIPLOMATURA DE MAESTRO ESPECILIDAD EDUCACIÓN FÍSICA</v>
          </cell>
          <cell r="K192" t="str">
            <v/>
          </cell>
          <cell r="L192" t="str">
            <v/>
          </cell>
          <cell r="M192" t="str">
            <v>Professional</v>
          </cell>
          <cell r="N192"/>
          <cell r="O192" t="str">
            <v>CSS</v>
          </cell>
          <cell r="P192">
            <v>0</v>
          </cell>
          <cell r="Q192" t="str">
            <v xml:space="preserve"> </v>
          </cell>
          <cell r="R192"/>
          <cell r="S192"/>
          <cell r="T192" t="str">
            <v>Sin reducción</v>
          </cell>
          <cell r="U192">
            <v>0</v>
          </cell>
          <cell r="V192"/>
          <cell r="W192"/>
          <cell r="X192">
            <v>0</v>
          </cell>
          <cell r="Y192">
            <v>0</v>
          </cell>
          <cell r="Z192">
            <v>0</v>
          </cell>
          <cell r="AA192"/>
          <cell r="AB192" t="str">
            <v>Active - signed</v>
          </cell>
          <cell r="AC192" t="str">
            <v>ACTIVO</v>
          </cell>
          <cell r="AD192"/>
          <cell r="AE192"/>
          <cell r="AF192"/>
          <cell r="AG192"/>
          <cell r="AH192"/>
          <cell r="AI192" t="str">
            <v>74663272M</v>
          </cell>
        </row>
        <row r="193">
          <cell r="A193" t="str">
            <v>22692021Z</v>
          </cell>
          <cell r="B193" t="str">
            <v>Ceita Builelo</v>
          </cell>
          <cell r="C193" t="str">
            <v>Maria Luisa</v>
          </cell>
          <cell r="D193" t="str">
            <v>Ceita Builelo, Maria Luisa</v>
          </cell>
          <cell r="E193" t="str">
            <v>marialuisa.ceita</v>
          </cell>
          <cell r="F193" t="str">
            <v>marialuisa.ceita@professor.universidadviu.com</v>
          </cell>
          <cell r="G193" t="str">
            <v>Yes</v>
          </cell>
          <cell r="H193" t="str">
            <v>NO</v>
          </cell>
          <cell r="I193" t="str">
            <v>Programa Oficial de Doctorado en Química Orgánica</v>
          </cell>
          <cell r="J193" t="str">
            <v>Programa Oficial de Doctorado en Química Orgánica</v>
          </cell>
          <cell r="K193" t="str">
            <v>Dietética</v>
          </cell>
          <cell r="L193" t="str">
            <v>Licenciado en Ciencias Químicas</v>
          </cell>
          <cell r="M193" t="str">
            <v>Labour</v>
          </cell>
          <cell r="N193" t="str">
            <v>Consultar a Facultad de Educación</v>
          </cell>
          <cell r="O193" t="str">
            <v>CBS</v>
          </cell>
          <cell r="P193">
            <v>100</v>
          </cell>
          <cell r="Q193" t="str">
            <v>50</v>
          </cell>
          <cell r="R193"/>
          <cell r="S193"/>
          <cell r="T193" t="str">
            <v>Sin reducción</v>
          </cell>
          <cell r="U193">
            <v>0</v>
          </cell>
          <cell r="V193">
            <v>44</v>
          </cell>
          <cell r="W193" t="str">
            <v>EDUCACIÓN</v>
          </cell>
          <cell r="X193">
            <v>0</v>
          </cell>
          <cell r="Y193">
            <v>5</v>
          </cell>
          <cell r="Z193">
            <v>0</v>
          </cell>
          <cell r="AA193"/>
          <cell r="AB193" t="str">
            <v>Active - signed</v>
          </cell>
          <cell r="AC193" t="str">
            <v>ACTIVO</v>
          </cell>
          <cell r="AD193"/>
          <cell r="AE193"/>
          <cell r="AF193"/>
          <cell r="AG193"/>
          <cell r="AH193"/>
          <cell r="AI193" t="str">
            <v>22692021Z</v>
          </cell>
        </row>
        <row r="194">
          <cell r="A194" t="str">
            <v>04628016W</v>
          </cell>
          <cell r="B194" t="str">
            <v>Cejalvo Herraiz</v>
          </cell>
          <cell r="C194" t="str">
            <v>Elena</v>
          </cell>
          <cell r="D194" t="str">
            <v>Cejalvo Herraiz, Elena</v>
          </cell>
          <cell r="E194" t="str">
            <v>elena.cejalvo</v>
          </cell>
          <cell r="F194" t="str">
            <v>elena.cejalvo@professor.universidadviu.com</v>
          </cell>
          <cell r="G194" t="str">
            <v>Yes</v>
          </cell>
          <cell r="H194" t="str">
            <v>NO</v>
          </cell>
          <cell r="I194" t="str">
            <v>Máster universitario en intervención psicologica en ambitos sociales</v>
          </cell>
          <cell r="J194" t="str">
            <v/>
          </cell>
          <cell r="K194" t="str">
            <v/>
          </cell>
          <cell r="L194" t="str">
            <v/>
          </cell>
          <cell r="M194" t="str">
            <v>Labour</v>
          </cell>
          <cell r="N194" t="str">
            <v>Jiménez García-Escribano, Patricia</v>
          </cell>
          <cell r="O194" t="str">
            <v>CSS</v>
          </cell>
          <cell r="P194">
            <v>100</v>
          </cell>
          <cell r="Q194" t="str">
            <v>50</v>
          </cell>
          <cell r="R194"/>
          <cell r="S194"/>
          <cell r="T194" t="str">
            <v>Sin reducción</v>
          </cell>
          <cell r="U194">
            <v>0</v>
          </cell>
          <cell r="V194"/>
          <cell r="W194"/>
          <cell r="X194">
            <v>45.4</v>
          </cell>
          <cell r="Y194">
            <v>0</v>
          </cell>
          <cell r="Z194">
            <v>0</v>
          </cell>
          <cell r="AA194"/>
          <cell r="AB194" t="str">
            <v>Active - signed</v>
          </cell>
          <cell r="AC194" t="str">
            <v>ACTIVO</v>
          </cell>
          <cell r="AD194"/>
          <cell r="AE194"/>
          <cell r="AF194"/>
          <cell r="AG194"/>
          <cell r="AH194"/>
          <cell r="AI194" t="str">
            <v>04628016W</v>
          </cell>
        </row>
        <row r="195">
          <cell r="A195" t="str">
            <v>73104668L</v>
          </cell>
          <cell r="B195" t="str">
            <v>Centelles González</v>
          </cell>
          <cell r="C195" t="str">
            <v>Olga</v>
          </cell>
          <cell r="D195" t="str">
            <v>Centelles González, Olga</v>
          </cell>
          <cell r="E195" t="str">
            <v>olga.centelles</v>
          </cell>
          <cell r="F195" t="str">
            <v>olga.centelles@professional.universidadviu.com</v>
          </cell>
          <cell r="G195" t="str">
            <v>Yes</v>
          </cell>
          <cell r="H195" t="str">
            <v>NO</v>
          </cell>
          <cell r="I195" t="str">
            <v>Psicología</v>
          </cell>
          <cell r="J195" t="str">
            <v>Máster Universitario en Psicología General Sanitaria</v>
          </cell>
          <cell r="K195" t="str">
            <v>Doble Grado en Psicología y Criminología y Seguridad</v>
          </cell>
          <cell r="L195" t="str">
            <v/>
          </cell>
          <cell r="M195" t="str">
            <v>Professional</v>
          </cell>
          <cell r="N195" t="str">
            <v/>
          </cell>
          <cell r="O195" t="str">
            <v>CSS</v>
          </cell>
          <cell r="P195">
            <v>0</v>
          </cell>
          <cell r="Q195" t="str">
            <v xml:space="preserve"> </v>
          </cell>
          <cell r="R195"/>
          <cell r="S195"/>
          <cell r="T195" t="str">
            <v>Sin reducción</v>
          </cell>
          <cell r="U195">
            <v>0</v>
          </cell>
          <cell r="V195"/>
          <cell r="W195"/>
          <cell r="X195">
            <v>0</v>
          </cell>
          <cell r="Y195">
            <v>0</v>
          </cell>
          <cell r="Z195">
            <v>0</v>
          </cell>
          <cell r="AA195"/>
          <cell r="AB195" t="str">
            <v>Active - signed</v>
          </cell>
          <cell r="AC195" t="str">
            <v>ACTIVO</v>
          </cell>
          <cell r="AD195"/>
          <cell r="AE195"/>
          <cell r="AF195"/>
          <cell r="AG195"/>
          <cell r="AH195"/>
          <cell r="AI195" t="str">
            <v>73104668L</v>
          </cell>
        </row>
        <row r="196">
          <cell r="A196" t="str">
            <v>73396677C</v>
          </cell>
          <cell r="B196" t="str">
            <v>Cerdá Blasco</v>
          </cell>
          <cell r="C196" t="str">
            <v>María Eugenia</v>
          </cell>
          <cell r="D196" t="str">
            <v>Cerdá Blasco, María Eugenia</v>
          </cell>
          <cell r="E196" t="str">
            <v>mariaeugenia.cerda</v>
          </cell>
          <cell r="F196" t="str">
            <v>mariaeugenia.cerda@professional.universidadviu.com</v>
          </cell>
          <cell r="G196" t="str">
            <v>NO</v>
          </cell>
          <cell r="H196" t="str">
            <v>NO</v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>Professional</v>
          </cell>
          <cell r="N196" t="str">
            <v/>
          </cell>
          <cell r="O196" t="str">
            <v>CBS</v>
          </cell>
          <cell r="P196">
            <v>0</v>
          </cell>
          <cell r="Q196" t="str">
            <v xml:space="preserve"> </v>
          </cell>
          <cell r="R196"/>
          <cell r="S196"/>
          <cell r="T196" t="str">
            <v>Sin reducción</v>
          </cell>
          <cell r="U196">
            <v>0</v>
          </cell>
          <cell r="V196"/>
          <cell r="W196"/>
          <cell r="X196">
            <v>0</v>
          </cell>
          <cell r="Y196">
            <v>0</v>
          </cell>
          <cell r="Z196">
            <v>0</v>
          </cell>
          <cell r="AA196"/>
          <cell r="AB196" t="str">
            <v>Active - signed</v>
          </cell>
          <cell r="AC196" t="str">
            <v>ACTIVO</v>
          </cell>
          <cell r="AD196"/>
          <cell r="AE196"/>
          <cell r="AF196"/>
          <cell r="AG196"/>
          <cell r="AH196"/>
          <cell r="AI196" t="str">
            <v>73396677C</v>
          </cell>
        </row>
        <row r="197">
          <cell r="A197" t="str">
            <v>53376381M</v>
          </cell>
          <cell r="B197" t="str">
            <v>Cervera Vidal</v>
          </cell>
          <cell r="C197" t="str">
            <v>Raimundo</v>
          </cell>
          <cell r="D197" t="str">
            <v>Cervera Vidal, Raimundo</v>
          </cell>
          <cell r="E197" t="str">
            <v>raimundo.cervera</v>
          </cell>
          <cell r="F197" t="str">
            <v>raimundo.cervera@professional.universidadviu.com</v>
          </cell>
          <cell r="G197" t="str">
            <v>Yes</v>
          </cell>
          <cell r="H197" t="str">
            <v>NO</v>
          </cell>
          <cell r="I197" t="str">
            <v>Biotecnología</v>
          </cell>
          <cell r="J197" t="str">
            <v>Programa de Doctorado en Biomedicina y Biotecnología</v>
          </cell>
          <cell r="K197" t="str">
            <v>Máster Universitario en Investigación Biomédica</v>
          </cell>
          <cell r="L197" t="str">
            <v/>
          </cell>
          <cell r="M197" t="str">
            <v>Professional</v>
          </cell>
          <cell r="N197" t="str">
            <v/>
          </cell>
          <cell r="O197" t="str">
            <v>CBS</v>
          </cell>
          <cell r="P197">
            <v>0</v>
          </cell>
          <cell r="Q197" t="str">
            <v xml:space="preserve"> </v>
          </cell>
          <cell r="R197"/>
          <cell r="S197"/>
          <cell r="T197" t="str">
            <v>Sin reducción</v>
          </cell>
          <cell r="U197">
            <v>0</v>
          </cell>
          <cell r="V197"/>
          <cell r="W197"/>
          <cell r="X197">
            <v>0</v>
          </cell>
          <cell r="Y197">
            <v>0</v>
          </cell>
          <cell r="Z197">
            <v>0</v>
          </cell>
          <cell r="AA197"/>
          <cell r="AB197" t="str">
            <v>Active - signed</v>
          </cell>
          <cell r="AC197" t="str">
            <v>ACTIVO</v>
          </cell>
          <cell r="AD197"/>
          <cell r="AE197"/>
          <cell r="AF197"/>
          <cell r="AG197"/>
          <cell r="AH197"/>
          <cell r="AI197" t="str">
            <v>53376381M</v>
          </cell>
        </row>
        <row r="198">
          <cell r="A198" t="str">
            <v>CL128267018</v>
          </cell>
          <cell r="B198" t="str">
            <v>Céspedes Rubio</v>
          </cell>
          <cell r="C198" t="str">
            <v>Claudia Lorena</v>
          </cell>
          <cell r="D198" t="str">
            <v>Céspedes Rubio, Claudia Lorena</v>
          </cell>
          <cell r="E198" t="str">
            <v>claudialorena.cespedes</v>
          </cell>
          <cell r="F198" t="str">
            <v>claudialorena.cespedes@professional.universidadviu.com</v>
          </cell>
          <cell r="G198" t="str">
            <v>Yes</v>
          </cell>
          <cell r="H198" t="str">
            <v>NO</v>
          </cell>
          <cell r="I198" t="str">
            <v>Programa de Doctorad de Educación y Sociedad</v>
          </cell>
          <cell r="J198" t="str">
            <v>Profesor de historia y geografía</v>
          </cell>
          <cell r="K198" t="str">
            <v/>
          </cell>
          <cell r="L198" t="str">
            <v/>
          </cell>
          <cell r="M198" t="str">
            <v>Professional</v>
          </cell>
          <cell r="N198" t="str">
            <v/>
          </cell>
          <cell r="O198" t="str">
            <v>CSS</v>
          </cell>
          <cell r="P198">
            <v>0</v>
          </cell>
          <cell r="Q198" t="str">
            <v xml:space="preserve"> </v>
          </cell>
          <cell r="R198"/>
          <cell r="S198"/>
          <cell r="T198" t="str">
            <v>Sin reducción</v>
          </cell>
          <cell r="U198">
            <v>0</v>
          </cell>
          <cell r="V198"/>
          <cell r="W198"/>
          <cell r="X198">
            <v>0</v>
          </cell>
          <cell r="Y198">
            <v>0</v>
          </cell>
          <cell r="Z198">
            <v>0</v>
          </cell>
          <cell r="AA198"/>
          <cell r="AB198" t="str">
            <v>Active - signed</v>
          </cell>
          <cell r="AC198" t="str">
            <v>ACTIVO</v>
          </cell>
          <cell r="AD198"/>
          <cell r="AE198"/>
          <cell r="AF198"/>
          <cell r="AG198"/>
          <cell r="AH198"/>
          <cell r="AI198" t="str">
            <v>CL128267018</v>
          </cell>
        </row>
        <row r="199">
          <cell r="A199" t="str">
            <v>52939624H</v>
          </cell>
          <cell r="B199" t="str">
            <v>Cespón González</v>
          </cell>
          <cell r="C199" t="str">
            <v>Jesús</v>
          </cell>
          <cell r="D199" t="str">
            <v>Cespón González, Jesús</v>
          </cell>
          <cell r="E199" t="str">
            <v>jesus.cespon@professional.universidadviu.com</v>
          </cell>
          <cell r="F199" t="str">
            <v>jesus.cespon@professional.universidadviu.com</v>
          </cell>
          <cell r="G199" t="str">
            <v>Yes</v>
          </cell>
          <cell r="H199" t="str">
            <v>Yes</v>
          </cell>
          <cell r="I199" t="str">
            <v>Doctorado en Neurociencia</v>
          </cell>
          <cell r="J199" t="str">
            <v>Máster en Neurociencia</v>
          </cell>
          <cell r="K199" t="str">
            <v>Licenciado en Psicología</v>
          </cell>
          <cell r="L199" t="str">
            <v/>
          </cell>
          <cell r="M199" t="str">
            <v>Professional</v>
          </cell>
          <cell r="N199" t="str">
            <v/>
          </cell>
          <cell r="O199" t="str">
            <v>CSS</v>
          </cell>
          <cell r="P199">
            <v>0</v>
          </cell>
          <cell r="Q199" t="str">
            <v xml:space="preserve"> </v>
          </cell>
          <cell r="R199"/>
          <cell r="S199"/>
          <cell r="T199" t="str">
            <v>Sin reducción</v>
          </cell>
          <cell r="U199">
            <v>0</v>
          </cell>
          <cell r="V199"/>
          <cell r="W199"/>
          <cell r="X199">
            <v>0</v>
          </cell>
          <cell r="Y199">
            <v>0</v>
          </cell>
          <cell r="Z199">
            <v>0</v>
          </cell>
          <cell r="AA199"/>
          <cell r="AB199" t="str">
            <v>Active - signed</v>
          </cell>
          <cell r="AC199" t="str">
            <v>ACTIVO</v>
          </cell>
          <cell r="AD199"/>
          <cell r="AE199"/>
          <cell r="AF199"/>
          <cell r="AG199"/>
          <cell r="AH199"/>
          <cell r="AI199" t="str">
            <v>52939624H</v>
          </cell>
        </row>
        <row r="200">
          <cell r="A200" t="str">
            <v>71071987D</v>
          </cell>
          <cell r="B200" t="str">
            <v>Chagas Lima</v>
          </cell>
          <cell r="C200" t="str">
            <v>Vívian</v>
          </cell>
          <cell r="D200" t="str">
            <v>Chagas Lima, Vívian</v>
          </cell>
          <cell r="E200" t="str">
            <v>vchagasl@professor.universidadviu.com</v>
          </cell>
          <cell r="F200" t="str">
            <v>vchagasl@professor.universidadviu.com</v>
          </cell>
          <cell r="G200" t="str">
            <v>Yes</v>
          </cell>
          <cell r="H200" t="str">
            <v>NO</v>
          </cell>
          <cell r="I200" t="str">
            <v>Doctorado en Parasitología Humana y Animal</v>
          </cell>
          <cell r="J200" t="str">
            <v>Doctorado en Parasitología Humana y Animal</v>
          </cell>
          <cell r="K200" t="str">
            <v>Máster en Enfermedades Tropicales</v>
          </cell>
          <cell r="L200" t="str">
            <v>Licenciatura en Biología</v>
          </cell>
          <cell r="M200" t="str">
            <v>Labour</v>
          </cell>
          <cell r="N200" t="str">
            <v>Pedelini Gassmann, Leda</v>
          </cell>
          <cell r="O200" t="str">
            <v>CBS/CSS</v>
          </cell>
          <cell r="P200">
            <v>100</v>
          </cell>
          <cell r="Q200" t="str">
            <v>50</v>
          </cell>
          <cell r="R200"/>
          <cell r="S200"/>
          <cell r="T200" t="str">
            <v>Sin reducción</v>
          </cell>
          <cell r="U200">
            <v>0</v>
          </cell>
          <cell r="V200"/>
          <cell r="W200"/>
          <cell r="X200">
            <v>0</v>
          </cell>
          <cell r="Y200">
            <v>48.7</v>
          </cell>
          <cell r="Z200">
            <v>0</v>
          </cell>
          <cell r="AA200"/>
          <cell r="AB200" t="str">
            <v>Active - signed</v>
          </cell>
          <cell r="AC200" t="str">
            <v>ACTIVO</v>
          </cell>
          <cell r="AD200"/>
          <cell r="AE200"/>
          <cell r="AF200"/>
          <cell r="AG200"/>
          <cell r="AH200"/>
          <cell r="AI200" t="str">
            <v>71071987D</v>
          </cell>
        </row>
        <row r="201">
          <cell r="A201" t="str">
            <v>Z2629093Z</v>
          </cell>
          <cell r="B201" t="str">
            <v>Chaveco Castillo</v>
          </cell>
          <cell r="C201" t="str">
            <v>Ailién</v>
          </cell>
          <cell r="D201" t="str">
            <v>Chaveco Castillo, Ailién</v>
          </cell>
          <cell r="E201" t="str">
            <v>achavecoc@professor.universidadviu.com</v>
          </cell>
          <cell r="F201" t="str">
            <v>achavecoc@professor.universidadviu.com</v>
          </cell>
          <cell r="G201" t="str">
            <v>Yes</v>
          </cell>
          <cell r="H201" t="str">
            <v>NO</v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>Labour</v>
          </cell>
          <cell r="N201"/>
          <cell r="O201" t="str">
            <v>CSS</v>
          </cell>
          <cell r="P201">
            <v>50</v>
          </cell>
          <cell r="Q201" t="str">
            <v>38</v>
          </cell>
          <cell r="R201" t="str">
            <v>Ampli Educación?</v>
          </cell>
          <cell r="S201"/>
          <cell r="T201" t="str">
            <v>Sin reducción</v>
          </cell>
          <cell r="U201">
            <v>0</v>
          </cell>
          <cell r="V201"/>
          <cell r="W201" t="str">
            <v>Educación</v>
          </cell>
          <cell r="X201">
            <v>27.9</v>
          </cell>
          <cell r="Y201">
            <v>0</v>
          </cell>
          <cell r="Z201">
            <v>0</v>
          </cell>
          <cell r="AA201"/>
          <cell r="AB201" t="str">
            <v>Active - signed</v>
          </cell>
          <cell r="AC201" t="str">
            <v>ACTIVO</v>
          </cell>
          <cell r="AD201"/>
          <cell r="AE201"/>
          <cell r="AF201"/>
          <cell r="AG201"/>
          <cell r="AH201"/>
          <cell r="AI201" t="str">
            <v>Z2629093Z</v>
          </cell>
        </row>
        <row r="202">
          <cell r="A202" t="str">
            <v>16020256C</v>
          </cell>
          <cell r="B202" t="str">
            <v>Chaves Martínez</v>
          </cell>
          <cell r="C202" t="str">
            <v>Felipe Javier</v>
          </cell>
          <cell r="D202" t="str">
            <v>Chaves Martínez, Felipe Javier</v>
          </cell>
          <cell r="E202" t="str">
            <v>felipejavier.chaves</v>
          </cell>
          <cell r="F202" t="str">
            <v>felipejavier.chaves@professional.universidadviu.com</v>
          </cell>
          <cell r="G202" t="str">
            <v>Yes</v>
          </cell>
          <cell r="H202" t="str">
            <v>NO</v>
          </cell>
          <cell r="I202" t="str">
            <v>Biología y Genética</v>
          </cell>
          <cell r="J202" t="str">
            <v>Programa Genética Molecular y Evolutiva</v>
          </cell>
          <cell r="K202" t="str">
            <v/>
          </cell>
          <cell r="L202" t="str">
            <v/>
          </cell>
          <cell r="M202" t="str">
            <v>Professional</v>
          </cell>
          <cell r="N202" t="str">
            <v/>
          </cell>
          <cell r="O202" t="str">
            <v>CBS</v>
          </cell>
          <cell r="P202">
            <v>0</v>
          </cell>
          <cell r="Q202" t="str">
            <v xml:space="preserve"> </v>
          </cell>
          <cell r="R202"/>
          <cell r="S202"/>
          <cell r="T202" t="str">
            <v>Sin reducción</v>
          </cell>
          <cell r="U202">
            <v>0</v>
          </cell>
          <cell r="V202"/>
          <cell r="W202"/>
          <cell r="X202">
            <v>0</v>
          </cell>
          <cell r="Y202">
            <v>0</v>
          </cell>
          <cell r="Z202">
            <v>0</v>
          </cell>
          <cell r="AA202"/>
          <cell r="AB202" t="str">
            <v>Active - signed</v>
          </cell>
          <cell r="AC202" t="str">
            <v>ACTIVO</v>
          </cell>
          <cell r="AD202"/>
          <cell r="AE202"/>
          <cell r="AF202"/>
          <cell r="AG202"/>
          <cell r="AH202"/>
          <cell r="AI202" t="str">
            <v>16020256C</v>
          </cell>
        </row>
        <row r="203">
          <cell r="A203" t="str">
            <v>18981770P</v>
          </cell>
          <cell r="B203" t="str">
            <v>Chesa Carda</v>
          </cell>
          <cell r="C203" t="str">
            <v>Lourdes</v>
          </cell>
          <cell r="D203" t="str">
            <v>Chesa Carda, Lourdes</v>
          </cell>
          <cell r="E203" t="str">
            <v>lourdes.chesa</v>
          </cell>
          <cell r="F203" t="str">
            <v>lourdes.chesa@professor.universidadviu.com</v>
          </cell>
          <cell r="G203" t="str">
            <v>NO</v>
          </cell>
          <cell r="H203" t="str">
            <v>NO</v>
          </cell>
          <cell r="I203" t="str">
            <v>Licenciatura en Bellas Artes</v>
          </cell>
          <cell r="J203" t="str">
            <v/>
          </cell>
          <cell r="K203" t="str">
            <v/>
          </cell>
          <cell r="L203" t="str">
            <v/>
          </cell>
          <cell r="M203" t="str">
            <v>Labour</v>
          </cell>
          <cell r="N203" t="str">
            <v>Gómez Martínez, Sandra</v>
          </cell>
          <cell r="O203" t="str">
            <v>CSS</v>
          </cell>
          <cell r="P203">
            <v>30</v>
          </cell>
          <cell r="Q203" t="str">
            <v>24</v>
          </cell>
          <cell r="R203"/>
          <cell r="S203"/>
          <cell r="T203" t="str">
            <v>Sin reducción</v>
          </cell>
          <cell r="U203">
            <v>0</v>
          </cell>
          <cell r="V203">
            <v>18</v>
          </cell>
          <cell r="W203" t="str">
            <v>EDUCACIÓN</v>
          </cell>
          <cell r="X203">
            <v>0</v>
          </cell>
          <cell r="Y203">
            <v>0</v>
          </cell>
          <cell r="Z203">
            <v>0</v>
          </cell>
          <cell r="AA203"/>
          <cell r="AB203" t="str">
            <v>Active - IT leave</v>
          </cell>
          <cell r="AC203" t="str">
            <v>ACTIVO</v>
          </cell>
          <cell r="AD203">
            <v>45414</v>
          </cell>
          <cell r="AE203">
            <v>45915</v>
          </cell>
          <cell r="AF203"/>
          <cell r="AG203" t="str">
            <v>ENFERMEDAD</v>
          </cell>
          <cell r="AH203"/>
          <cell r="AI203" t="str">
            <v>18981770P</v>
          </cell>
        </row>
        <row r="204">
          <cell r="A204" t="str">
            <v>CIMV850218MMCHCR06</v>
          </cell>
          <cell r="B204" t="str">
            <v>Chico Muciño</v>
          </cell>
          <cell r="C204" t="str">
            <v>Verónica</v>
          </cell>
          <cell r="D204" t="str">
            <v>Chico Muciño, Verónica</v>
          </cell>
          <cell r="E204" t="str">
            <v>vchicom@professional.universidadviu.com</v>
          </cell>
          <cell r="F204" t="str">
            <v>vchicom@professional.universidadviu.com</v>
          </cell>
          <cell r="G204" t="str">
            <v>NO</v>
          </cell>
          <cell r="H204" t="str">
            <v>NO</v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>Professional</v>
          </cell>
          <cell r="N204" t="str">
            <v/>
          </cell>
          <cell r="O204" t="str">
            <v>CSS</v>
          </cell>
          <cell r="P204">
            <v>0</v>
          </cell>
          <cell r="Q204" t="str">
            <v xml:space="preserve"> </v>
          </cell>
          <cell r="R204"/>
          <cell r="S204"/>
          <cell r="T204" t="str">
            <v>Sin reducción</v>
          </cell>
          <cell r="U204">
            <v>0</v>
          </cell>
          <cell r="V204"/>
          <cell r="W204"/>
          <cell r="X204">
            <v>0</v>
          </cell>
          <cell r="Y204">
            <v>0</v>
          </cell>
          <cell r="Z204">
            <v>0</v>
          </cell>
          <cell r="AA204"/>
          <cell r="AB204" t="str">
            <v>Active - signed</v>
          </cell>
          <cell r="AC204" t="str">
            <v>ACTIVO</v>
          </cell>
          <cell r="AD204"/>
          <cell r="AE204"/>
          <cell r="AF204"/>
          <cell r="AG204"/>
          <cell r="AH204"/>
          <cell r="AI204" t="str">
            <v>CIMV850218MMCHCR06</v>
          </cell>
        </row>
        <row r="205">
          <cell r="A205" t="str">
            <v>Y3607923L</v>
          </cell>
          <cell r="B205" t="str">
            <v>Chino Vilca</v>
          </cell>
          <cell r="C205" t="str">
            <v>Brenda Nadia</v>
          </cell>
          <cell r="D205" t="str">
            <v>Chino Vilca, Brenda Nadia</v>
          </cell>
          <cell r="E205" t="str">
            <v>bchinov@professional.universidadviu.com</v>
          </cell>
          <cell r="F205" t="str">
            <v>bchinov@professional.universidadviu.com</v>
          </cell>
          <cell r="G205" t="str">
            <v>Yes</v>
          </cell>
          <cell r="H205" t="str">
            <v>NO</v>
          </cell>
          <cell r="I205" t="str">
            <v>Doctorado en Neurociencias</v>
          </cell>
          <cell r="J205" t="str">
            <v>Máster Universitario en Intervención Educativa y Psicologíca</v>
          </cell>
          <cell r="K205" t="str">
            <v>Título profesional de Psicológa</v>
          </cell>
          <cell r="L205" t="str">
            <v/>
          </cell>
          <cell r="M205" t="str">
            <v>Professional</v>
          </cell>
          <cell r="N205" t="str">
            <v/>
          </cell>
          <cell r="O205" t="str">
            <v>CSS</v>
          </cell>
          <cell r="P205">
            <v>0</v>
          </cell>
          <cell r="Q205" t="str">
            <v xml:space="preserve"> </v>
          </cell>
          <cell r="R205"/>
          <cell r="S205"/>
          <cell r="T205" t="str">
            <v>Sin reducción</v>
          </cell>
          <cell r="U205">
            <v>0</v>
          </cell>
          <cell r="V205"/>
          <cell r="W205"/>
          <cell r="X205">
            <v>0</v>
          </cell>
          <cell r="Y205">
            <v>0</v>
          </cell>
          <cell r="Z205">
            <v>0</v>
          </cell>
          <cell r="AA205"/>
          <cell r="AB205" t="str">
            <v>Concluded</v>
          </cell>
          <cell r="AC205" t="str">
            <v>NO ACTIVO</v>
          </cell>
          <cell r="AD205"/>
          <cell r="AE205"/>
          <cell r="AF205"/>
          <cell r="AG205" t="str">
            <v>CESE DE CONTRATO</v>
          </cell>
          <cell r="AH205" t="str">
            <v>No sabemos fecha fin</v>
          </cell>
          <cell r="AI205" t="str">
            <v>Y3607923L</v>
          </cell>
        </row>
        <row r="206">
          <cell r="A206" t="str">
            <v>48307366Y</v>
          </cell>
          <cell r="B206" t="str">
            <v>Chorén Rodríguez</v>
          </cell>
          <cell r="C206" t="str">
            <v>Susana</v>
          </cell>
          <cell r="D206" t="str">
            <v>Chorén Rodríguez, Susana</v>
          </cell>
          <cell r="E206" t="str">
            <v>susana.choren</v>
          </cell>
          <cell r="F206" t="str">
            <v>susana.choren@professor.universidadviu.com</v>
          </cell>
          <cell r="G206" t="str">
            <v>Yes</v>
          </cell>
          <cell r="H206" t="str">
            <v>NO</v>
          </cell>
          <cell r="I206" t="str">
            <v>Doctorado</v>
          </cell>
          <cell r="J206" t="str">
            <v>Doctorado</v>
          </cell>
          <cell r="K206" t="str">
            <v>Licenciado en Pedagogía</v>
          </cell>
          <cell r="L206" t="str">
            <v/>
          </cell>
          <cell r="M206" t="str">
            <v>Labour</v>
          </cell>
          <cell r="N206" t="str">
            <v>Consultar a Facultad de Educación</v>
          </cell>
          <cell r="O206" t="str">
            <v>CSS</v>
          </cell>
          <cell r="P206">
            <v>100</v>
          </cell>
          <cell r="Q206" t="str">
            <v>50</v>
          </cell>
          <cell r="R206"/>
          <cell r="S206"/>
          <cell r="T206" t="str">
            <v>Sin reducción</v>
          </cell>
          <cell r="U206">
            <v>0</v>
          </cell>
          <cell r="V206">
            <v>40</v>
          </cell>
          <cell r="W206" t="str">
            <v>EDUCACIÓN</v>
          </cell>
          <cell r="X206">
            <v>0</v>
          </cell>
          <cell r="Y206">
            <v>0</v>
          </cell>
          <cell r="Z206">
            <v>10.199999999999999</v>
          </cell>
          <cell r="AA206"/>
          <cell r="AB206" t="str">
            <v>Active - signed</v>
          </cell>
          <cell r="AC206" t="str">
            <v>ACTIVO</v>
          </cell>
          <cell r="AD206"/>
          <cell r="AE206"/>
          <cell r="AF206"/>
          <cell r="AG206"/>
          <cell r="AH206"/>
          <cell r="AI206" t="str">
            <v>48307366Y</v>
          </cell>
        </row>
        <row r="207">
          <cell r="A207" t="str">
            <v>29215517C</v>
          </cell>
          <cell r="B207" t="str">
            <v>Climent Rubio</v>
          </cell>
          <cell r="C207" t="str">
            <v>Andrés</v>
          </cell>
          <cell r="D207" t="str">
            <v>Climent Rubio, Andrés</v>
          </cell>
          <cell r="E207" t="str">
            <v>andres.climent</v>
          </cell>
          <cell r="F207" t="str">
            <v>andres.climent@professional.universidadviu.com</v>
          </cell>
          <cell r="G207" t="str">
            <v>NO</v>
          </cell>
          <cell r="H207" t="str">
            <v>NO</v>
          </cell>
          <cell r="I207" t="str">
            <v>Enfermería</v>
          </cell>
          <cell r="J207" t="str">
            <v/>
          </cell>
          <cell r="K207" t="str">
            <v/>
          </cell>
          <cell r="L207" t="str">
            <v/>
          </cell>
          <cell r="M207" t="str">
            <v>Professional</v>
          </cell>
          <cell r="N207" t="str">
            <v/>
          </cell>
          <cell r="O207" t="str">
            <v>CBS</v>
          </cell>
          <cell r="P207">
            <v>0</v>
          </cell>
          <cell r="Q207" t="str">
            <v xml:space="preserve"> </v>
          </cell>
          <cell r="R207"/>
          <cell r="S207"/>
          <cell r="T207" t="str">
            <v>Sin reducción</v>
          </cell>
          <cell r="U207">
            <v>0</v>
          </cell>
          <cell r="V207"/>
          <cell r="W207"/>
          <cell r="X207">
            <v>0</v>
          </cell>
          <cell r="Y207">
            <v>0</v>
          </cell>
          <cell r="Z207">
            <v>0</v>
          </cell>
          <cell r="AA207"/>
          <cell r="AB207" t="str">
            <v>Active - signed</v>
          </cell>
          <cell r="AC207" t="str">
            <v>ACTIVO</v>
          </cell>
          <cell r="AD207"/>
          <cell r="AE207"/>
          <cell r="AF207"/>
          <cell r="AG207"/>
          <cell r="AH207"/>
          <cell r="AI207" t="str">
            <v>29215517C</v>
          </cell>
        </row>
        <row r="208">
          <cell r="A208" t="str">
            <v>72038379X</v>
          </cell>
          <cell r="B208" t="str">
            <v>Cobo Sánchez</v>
          </cell>
          <cell r="C208" t="str">
            <v>José Luis</v>
          </cell>
          <cell r="D208" t="str">
            <v>Cobo Sánchez, José Luis</v>
          </cell>
          <cell r="E208" t="str">
            <v>joseluis.cobo</v>
          </cell>
          <cell r="F208" t="str">
            <v>joseluis.cobo@professional.universidadviu.com</v>
          </cell>
          <cell r="G208" t="str">
            <v>Yes</v>
          </cell>
          <cell r="H208" t="str">
            <v>Yes</v>
          </cell>
          <cell r="I208" t="str">
            <v>Enfermería</v>
          </cell>
          <cell r="J208" t="str">
            <v>Máster en Dirección y Administración de Empresas (MBA) - Especialidad en Gestión Sanitaria</v>
          </cell>
          <cell r="K208" t="str">
            <v>Máster Universitario en Ciencias de la Enfermería</v>
          </cell>
          <cell r="L208" t="str">
            <v/>
          </cell>
          <cell r="M208" t="str">
            <v>Professional</v>
          </cell>
          <cell r="N208" t="str">
            <v/>
          </cell>
          <cell r="O208" t="str">
            <v>CBS</v>
          </cell>
          <cell r="P208">
            <v>0</v>
          </cell>
          <cell r="Q208" t="str">
            <v xml:space="preserve"> </v>
          </cell>
          <cell r="R208"/>
          <cell r="S208"/>
          <cell r="T208" t="str">
            <v>Sin reducción</v>
          </cell>
          <cell r="U208">
            <v>0</v>
          </cell>
          <cell r="V208"/>
          <cell r="W208"/>
          <cell r="X208">
            <v>0</v>
          </cell>
          <cell r="Y208">
            <v>0</v>
          </cell>
          <cell r="Z208">
            <v>0</v>
          </cell>
          <cell r="AA208"/>
          <cell r="AB208" t="str">
            <v>Active - signed</v>
          </cell>
          <cell r="AC208" t="str">
            <v>ACTIVO</v>
          </cell>
          <cell r="AD208"/>
          <cell r="AE208"/>
          <cell r="AF208"/>
          <cell r="AG208"/>
          <cell r="AH208"/>
          <cell r="AI208" t="str">
            <v>72038379X</v>
          </cell>
        </row>
        <row r="209">
          <cell r="A209" t="str">
            <v>50871102R</v>
          </cell>
          <cell r="B209" t="str">
            <v>Cobos Jiménez</v>
          </cell>
          <cell r="C209" t="str">
            <v>Estrella</v>
          </cell>
          <cell r="D209" t="str">
            <v>Cobos Jiménez, Estrella</v>
          </cell>
          <cell r="E209" t="str">
            <v>estrella.cobos</v>
          </cell>
          <cell r="F209" t="str">
            <v>estrella.cobos@professor.universidadviu.com</v>
          </cell>
          <cell r="G209" t="str">
            <v>Yes</v>
          </cell>
          <cell r="H209" t="str">
            <v>NO</v>
          </cell>
          <cell r="I209" t="str">
            <v>Programa de doctorado DOCTOR POR LA UNIVERSIDAD COMPLUTENSE DE MADRID</v>
          </cell>
          <cell r="J209" t="str">
            <v>Programa de doctorado DOCTOR POR LA UNIVERSIDAD COMPLUTENSE DE MADRID</v>
          </cell>
          <cell r="K209" t="str">
            <v>Licenciado en Psicología</v>
          </cell>
          <cell r="L209" t="str">
            <v/>
          </cell>
          <cell r="M209" t="str">
            <v>Labour</v>
          </cell>
          <cell r="N209"/>
          <cell r="O209" t="str">
            <v>CSS</v>
          </cell>
          <cell r="P209">
            <v>100</v>
          </cell>
          <cell r="Q209" t="str">
            <v>50</v>
          </cell>
          <cell r="R209"/>
          <cell r="S209"/>
          <cell r="T209" t="str">
            <v>Sin reducción</v>
          </cell>
          <cell r="U209">
            <v>0</v>
          </cell>
          <cell r="V209"/>
          <cell r="W209"/>
          <cell r="X209">
            <v>0</v>
          </cell>
          <cell r="Y209">
            <v>0</v>
          </cell>
          <cell r="Z209">
            <v>0</v>
          </cell>
          <cell r="AA209"/>
          <cell r="AB209" t="str">
            <v>Concluded</v>
          </cell>
          <cell r="AC209" t="str">
            <v>NO ACTIVO</v>
          </cell>
          <cell r="AD209"/>
          <cell r="AE209"/>
          <cell r="AF209">
            <v>45170</v>
          </cell>
          <cell r="AG209" t="str">
            <v>CESE DE CONTRATO</v>
          </cell>
          <cell r="AH209"/>
          <cell r="AI209" t="str">
            <v>50871102R</v>
          </cell>
        </row>
        <row r="210">
          <cell r="A210" t="str">
            <v>AR20323522635</v>
          </cell>
          <cell r="B210" t="str">
            <v>Cócola Coria</v>
          </cell>
          <cell r="C210" t="str">
            <v>Facundo Nicolás</v>
          </cell>
          <cell r="D210" t="str">
            <v>Cócola Coria, Facundo Nicolás</v>
          </cell>
          <cell r="E210" t="str">
            <v>facundonicolas.cocola</v>
          </cell>
          <cell r="F210" t="str">
            <v>facundonicolas.cocola@professional.universidadviu.com</v>
          </cell>
          <cell r="G210" t="str">
            <v>Yes</v>
          </cell>
          <cell r="H210" t="str">
            <v>NO</v>
          </cell>
          <cell r="I210" t="str">
            <v>Psicología</v>
          </cell>
          <cell r="J210" t="str">
            <v>Diplomado en terapia Sistémica</v>
          </cell>
          <cell r="K210" t="str">
            <v>Doctorado en psicología con mención sistémica, cognitiva y en neurociencias</v>
          </cell>
          <cell r="L210" t="str">
            <v/>
          </cell>
          <cell r="M210" t="str">
            <v>Professional</v>
          </cell>
          <cell r="N210" t="str">
            <v/>
          </cell>
          <cell r="O210" t="str">
            <v>CSS</v>
          </cell>
          <cell r="P210">
            <v>0</v>
          </cell>
          <cell r="Q210" t="str">
            <v xml:space="preserve"> </v>
          </cell>
          <cell r="R210"/>
          <cell r="S210"/>
          <cell r="T210" t="str">
            <v>Sin reducción</v>
          </cell>
          <cell r="U210">
            <v>0</v>
          </cell>
          <cell r="V210"/>
          <cell r="W210"/>
          <cell r="X210">
            <v>0</v>
          </cell>
          <cell r="Y210">
            <v>0</v>
          </cell>
          <cell r="Z210">
            <v>0</v>
          </cell>
          <cell r="AA210"/>
          <cell r="AB210" t="str">
            <v>Active - signed</v>
          </cell>
          <cell r="AC210" t="str">
            <v>ACTIVO</v>
          </cell>
          <cell r="AD210"/>
          <cell r="AE210"/>
          <cell r="AF210"/>
          <cell r="AG210"/>
          <cell r="AH210"/>
          <cell r="AI210" t="str">
            <v>AR20323522635</v>
          </cell>
        </row>
        <row r="211">
          <cell r="A211" t="str">
            <v>74517327H</v>
          </cell>
          <cell r="B211" t="str">
            <v>Collado Ruano</v>
          </cell>
          <cell r="C211" t="str">
            <v>Javier</v>
          </cell>
          <cell r="D211" t="str">
            <v>Collado Ruano, Javier</v>
          </cell>
          <cell r="E211" t="str">
            <v>javier.collado</v>
          </cell>
          <cell r="F211" t="str">
            <v>javier.collado@professional.universidadviu.com</v>
          </cell>
          <cell r="G211" t="str">
            <v>Yes</v>
          </cell>
          <cell r="H211" t="str">
            <v>Yes</v>
          </cell>
          <cell r="I211" t="str">
            <v>Programa de Doctorado en Filosofía</v>
          </cell>
          <cell r="J211" t="str">
            <v>Máster Universitario en Profesorado de Educación Secundaria Obligatoria y Bachillerato, Formación Profesional y Enseñanzas de Idiomas en la Especialidad de Ciencias Sociales: Geografía e Historia</v>
          </cell>
          <cell r="K211" t="str">
            <v>Licenciado en Historia</v>
          </cell>
          <cell r="L211" t="str">
            <v/>
          </cell>
          <cell r="M211" t="str">
            <v>Professional</v>
          </cell>
          <cell r="N211" t="str">
            <v/>
          </cell>
          <cell r="O211" t="str">
            <v>CSS</v>
          </cell>
          <cell r="P211">
            <v>0</v>
          </cell>
          <cell r="Q211" t="str">
            <v xml:space="preserve"> </v>
          </cell>
          <cell r="R211"/>
          <cell r="S211"/>
          <cell r="T211" t="str">
            <v>Sin reducción</v>
          </cell>
          <cell r="U211">
            <v>0</v>
          </cell>
          <cell r="V211"/>
          <cell r="W211"/>
          <cell r="X211">
            <v>0</v>
          </cell>
          <cell r="Y211">
            <v>0</v>
          </cell>
          <cell r="Z211">
            <v>0</v>
          </cell>
          <cell r="AA211"/>
          <cell r="AB211" t="str">
            <v>Active - signed</v>
          </cell>
          <cell r="AC211" t="str">
            <v>ACTIVO</v>
          </cell>
          <cell r="AD211"/>
          <cell r="AE211"/>
          <cell r="AF211"/>
          <cell r="AG211"/>
          <cell r="AH211"/>
          <cell r="AI211" t="str">
            <v>74517327H</v>
          </cell>
        </row>
        <row r="212">
          <cell r="A212" t="str">
            <v>22588069E</v>
          </cell>
          <cell r="B212" t="str">
            <v>Collado Tortosa</v>
          </cell>
          <cell r="C212" t="str">
            <v>Maria</v>
          </cell>
          <cell r="D212" t="str">
            <v>Collado Tortosa, Maria</v>
          </cell>
          <cell r="E212" t="str">
            <v>mcollado@professor.universidadviu.com</v>
          </cell>
          <cell r="F212" t="str">
            <v>mcollado@professor.universidadviu.com</v>
          </cell>
          <cell r="G212" t="str">
            <v>NO</v>
          </cell>
          <cell r="H212" t="str">
            <v>NO</v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>Labour</v>
          </cell>
          <cell r="N212"/>
          <cell r="O212" t="str">
            <v>CSS</v>
          </cell>
          <cell r="P212">
            <v>100</v>
          </cell>
          <cell r="Q212" t="str">
            <v>50</v>
          </cell>
          <cell r="R212"/>
          <cell r="S212"/>
          <cell r="T212" t="str">
            <v>Sin reducción</v>
          </cell>
          <cell r="U212">
            <v>0</v>
          </cell>
          <cell r="V212"/>
          <cell r="W212"/>
          <cell r="X212">
            <v>35.200000000000003</v>
          </cell>
          <cell r="Y212">
            <v>0</v>
          </cell>
          <cell r="Z212">
            <v>0</v>
          </cell>
          <cell r="AA212"/>
          <cell r="AB212" t="str">
            <v>Active - signed</v>
          </cell>
          <cell r="AC212" t="str">
            <v>BAJA TEMPORAL</v>
          </cell>
          <cell r="AD212">
            <v>46034</v>
          </cell>
          <cell r="AE212">
            <v>46085</v>
          </cell>
          <cell r="AF212"/>
          <cell r="AG212" t="str">
            <v>ENFERMEDAD</v>
          </cell>
          <cell r="AH212" t="str">
            <v>no sabemos fecha fin</v>
          </cell>
          <cell r="AI212" t="str">
            <v>22588069E</v>
          </cell>
        </row>
        <row r="213">
          <cell r="A213" t="str">
            <v>16070081G</v>
          </cell>
          <cell r="B213" t="str">
            <v>Collantes Mora</v>
          </cell>
          <cell r="C213" t="str">
            <v>Ana</v>
          </cell>
          <cell r="D213" t="str">
            <v>Collantes Mora, Ana</v>
          </cell>
          <cell r="E213" t="str">
            <v>acollantesm@professional.universidadviu.com</v>
          </cell>
          <cell r="F213" t="str">
            <v>acollantesm@professional.universidadviu.com</v>
          </cell>
          <cell r="G213" t="str">
            <v>NO</v>
          </cell>
          <cell r="H213" t="str">
            <v>NO</v>
          </cell>
          <cell r="I213" t="str">
            <v>Licenciada Psicopedagogia</v>
          </cell>
          <cell r="J213" t="str">
            <v>Licenciada en Psicología</v>
          </cell>
          <cell r="K213" t="str">
            <v/>
          </cell>
          <cell r="L213" t="str">
            <v/>
          </cell>
          <cell r="M213" t="str">
            <v>Professional</v>
          </cell>
          <cell r="N213" t="str">
            <v/>
          </cell>
          <cell r="O213" t="str">
            <v>CSS</v>
          </cell>
          <cell r="P213">
            <v>0</v>
          </cell>
          <cell r="Q213" t="str">
            <v xml:space="preserve"> </v>
          </cell>
          <cell r="R213"/>
          <cell r="S213"/>
          <cell r="T213" t="str">
            <v>Sin reducción</v>
          </cell>
          <cell r="U213">
            <v>0</v>
          </cell>
          <cell r="V213"/>
          <cell r="W213"/>
          <cell r="X213">
            <v>0</v>
          </cell>
          <cell r="Y213">
            <v>0</v>
          </cell>
          <cell r="Z213">
            <v>0</v>
          </cell>
          <cell r="AA213"/>
          <cell r="AB213" t="str">
            <v>Active - signed</v>
          </cell>
          <cell r="AC213" t="str">
            <v>ACTIVO</v>
          </cell>
          <cell r="AD213"/>
          <cell r="AE213"/>
          <cell r="AF213"/>
          <cell r="AG213"/>
          <cell r="AH213"/>
          <cell r="AI213" t="str">
            <v>16070081G</v>
          </cell>
        </row>
        <row r="214">
          <cell r="A214">
            <v>56042003713</v>
          </cell>
          <cell r="B214" t="str">
            <v>Colunga Santos</v>
          </cell>
          <cell r="C214" t="str">
            <v>Silvia</v>
          </cell>
          <cell r="D214" t="str">
            <v>Colunga Santos, Silvia</v>
          </cell>
          <cell r="E214" t="str">
            <v>silvia.colunga@professional.universidadviu.com</v>
          </cell>
          <cell r="F214" t="str">
            <v>silvia.colunga@professional.universidadviu.com</v>
          </cell>
          <cell r="G214" t="str">
            <v>NO</v>
          </cell>
          <cell r="H214" t="str">
            <v>NO</v>
          </cell>
          <cell r="I214" t="str">
            <v>Psicología</v>
          </cell>
          <cell r="J214" t="str">
            <v>Máster en Trabajo Social</v>
          </cell>
          <cell r="K214" t="str">
            <v>Ciencias Pedagógicas</v>
          </cell>
          <cell r="L214" t="str">
            <v/>
          </cell>
          <cell r="M214" t="str">
            <v>Professional</v>
          </cell>
          <cell r="N214" t="str">
            <v/>
          </cell>
          <cell r="O214" t="str">
            <v>CSS</v>
          </cell>
          <cell r="P214">
            <v>0</v>
          </cell>
          <cell r="Q214" t="str">
            <v xml:space="preserve"> </v>
          </cell>
          <cell r="R214"/>
          <cell r="S214"/>
          <cell r="T214" t="str">
            <v>Sin reducción</v>
          </cell>
          <cell r="U214">
            <v>0</v>
          </cell>
          <cell r="V214"/>
          <cell r="W214"/>
          <cell r="X214">
            <v>0</v>
          </cell>
          <cell r="Y214">
            <v>0</v>
          </cell>
          <cell r="Z214">
            <v>0</v>
          </cell>
          <cell r="AA214"/>
          <cell r="AB214" t="str">
            <v>Active - signed</v>
          </cell>
          <cell r="AC214" t="str">
            <v>ACTIVO</v>
          </cell>
          <cell r="AD214"/>
          <cell r="AE214"/>
          <cell r="AF214"/>
          <cell r="AG214"/>
          <cell r="AH214"/>
          <cell r="AI214">
            <v>56042003713</v>
          </cell>
        </row>
        <row r="215">
          <cell r="A215" t="str">
            <v>47449708H</v>
          </cell>
          <cell r="B215" t="str">
            <v>Combadiera Gallardo</v>
          </cell>
          <cell r="C215" t="str">
            <v>Lorena</v>
          </cell>
          <cell r="D215" t="str">
            <v>Combadiera Gallardo, Lorena</v>
          </cell>
          <cell r="E215" t="str">
            <v>lcombadierag@professional.universidadviu.com</v>
          </cell>
          <cell r="F215" t="str">
            <v>lcombadierag@professional.universidadviu.com</v>
          </cell>
          <cell r="G215" t="str">
            <v>NO</v>
          </cell>
          <cell r="H215" t="str">
            <v>NO</v>
          </cell>
          <cell r="I215" t="str">
            <v>Máster en psicología General Sanitaria</v>
          </cell>
          <cell r="J215" t="str">
            <v>Grado en psicología</v>
          </cell>
          <cell r="K215" t="str">
            <v/>
          </cell>
          <cell r="L215" t="str">
            <v/>
          </cell>
          <cell r="M215" t="str">
            <v>Professional</v>
          </cell>
          <cell r="N215"/>
          <cell r="O215" t="str">
            <v>CSS</v>
          </cell>
          <cell r="P215">
            <v>0</v>
          </cell>
          <cell r="Q215" t="str">
            <v xml:space="preserve"> </v>
          </cell>
          <cell r="R215"/>
          <cell r="S215"/>
          <cell r="T215" t="str">
            <v>Sin reducción</v>
          </cell>
          <cell r="U215">
            <v>0</v>
          </cell>
          <cell r="V215"/>
          <cell r="W215"/>
          <cell r="X215">
            <v>0</v>
          </cell>
          <cell r="Y215">
            <v>0</v>
          </cell>
          <cell r="Z215">
            <v>0</v>
          </cell>
          <cell r="AA215"/>
          <cell r="AB215" t="str">
            <v>Active - signed</v>
          </cell>
          <cell r="AC215" t="str">
            <v>ACTIVO</v>
          </cell>
          <cell r="AD215"/>
          <cell r="AE215"/>
          <cell r="AF215"/>
          <cell r="AG215"/>
          <cell r="AH215"/>
          <cell r="AI215" t="str">
            <v>47449708H</v>
          </cell>
        </row>
        <row r="216">
          <cell r="A216" t="str">
            <v>48406760V</v>
          </cell>
          <cell r="B216" t="str">
            <v>Comes Fayos</v>
          </cell>
          <cell r="C216" t="str">
            <v>Javier</v>
          </cell>
          <cell r="D216" t="str">
            <v>Comes Fayos, Javier</v>
          </cell>
          <cell r="E216" t="str">
            <v>javier.comes</v>
          </cell>
          <cell r="F216" t="str">
            <v>javier.comes@professor.universidadviu.com</v>
          </cell>
          <cell r="G216" t="str">
            <v>Yes</v>
          </cell>
          <cell r="H216" t="str">
            <v>Yes</v>
          </cell>
          <cell r="I216" t="str">
            <v>Psicología</v>
          </cell>
          <cell r="J216" t="str">
            <v>Máster en Neurocriminología</v>
          </cell>
          <cell r="K216" t="str">
            <v>Postgrado en Adicción al juego y otras adicciones comportamentales</v>
          </cell>
          <cell r="L216" t="str">
            <v>Postgrado en Adicción al juego y otras adicciones comportamentales</v>
          </cell>
          <cell r="M216" t="str">
            <v>Labour</v>
          </cell>
          <cell r="N216" t="str">
            <v>Rama Galdón, Encarnación</v>
          </cell>
          <cell r="O216" t="str">
            <v>CSS</v>
          </cell>
          <cell r="P216">
            <v>100</v>
          </cell>
          <cell r="Q216" t="str">
            <v>50</v>
          </cell>
          <cell r="R216"/>
          <cell r="S216"/>
          <cell r="T216" t="str">
            <v>Sin reducción</v>
          </cell>
          <cell r="U216">
            <v>0</v>
          </cell>
          <cell r="V216"/>
          <cell r="W216"/>
          <cell r="X216">
            <v>46.3</v>
          </cell>
          <cell r="Y216">
            <v>0</v>
          </cell>
          <cell r="Z216">
            <v>0</v>
          </cell>
          <cell r="AA216"/>
          <cell r="AB216" t="str">
            <v>Active - signed</v>
          </cell>
          <cell r="AC216" t="str">
            <v>ACTIVO</v>
          </cell>
          <cell r="AD216"/>
          <cell r="AE216"/>
          <cell r="AF216"/>
          <cell r="AG216"/>
          <cell r="AH216"/>
          <cell r="AI216" t="str">
            <v>48406760V</v>
          </cell>
        </row>
        <row r="217">
          <cell r="A217" t="str">
            <v>29216755Q</v>
          </cell>
          <cell r="B217" t="str">
            <v>Compañ Bertomeu</v>
          </cell>
          <cell r="C217" t="str">
            <v>Álvaro</v>
          </cell>
          <cell r="D217" t="str">
            <v>Compañ Bertomeu, Álvaro</v>
          </cell>
          <cell r="E217" t="str">
            <v>alvaro.compan@professional.universidadviu.com</v>
          </cell>
          <cell r="F217" t="str">
            <v>alvaro.compan@professional.universidadviu.com</v>
          </cell>
          <cell r="G217" t="str">
            <v>NO</v>
          </cell>
          <cell r="H217" t="str">
            <v>NO</v>
          </cell>
          <cell r="I217" t="str">
            <v>Nutrición y Dietética</v>
          </cell>
          <cell r="J217" t="str">
            <v>Grado en Farmacia</v>
          </cell>
          <cell r="K217" t="str">
            <v>Grado en Nutrición Humana y Dietética</v>
          </cell>
          <cell r="L217" t="str">
            <v/>
          </cell>
          <cell r="M217" t="str">
            <v>Labour</v>
          </cell>
          <cell r="N217" t="str">
            <v>Mut Ronda, Salvador</v>
          </cell>
          <cell r="O217" t="str">
            <v>CBS</v>
          </cell>
          <cell r="P217">
            <v>18</v>
          </cell>
          <cell r="Q217" t="str">
            <v>18</v>
          </cell>
          <cell r="R217" t="str">
            <v>Laboralización marzo</v>
          </cell>
          <cell r="S217"/>
          <cell r="T217" t="str">
            <v>Sin reducción</v>
          </cell>
          <cell r="U217">
            <v>0</v>
          </cell>
          <cell r="V217"/>
          <cell r="W217"/>
          <cell r="X217">
            <v>0</v>
          </cell>
          <cell r="Y217">
            <v>14.9</v>
          </cell>
          <cell r="Z217">
            <v>7.4</v>
          </cell>
          <cell r="AA217"/>
          <cell r="AB217" t="str">
            <v>Active - signed</v>
          </cell>
          <cell r="AC217" t="str">
            <v>ACTIVO</v>
          </cell>
          <cell r="AD217"/>
          <cell r="AE217"/>
          <cell r="AF217"/>
          <cell r="AG217"/>
          <cell r="AH217" t="str">
            <v>PTE. LABORALIZACIÓN/ PROPUESTA LABORAL</v>
          </cell>
          <cell r="AI217" t="str">
            <v>29216755Q</v>
          </cell>
        </row>
        <row r="218">
          <cell r="A218" t="str">
            <v>53770789D</v>
          </cell>
          <cell r="B218" t="str">
            <v>Conejero Gascón</v>
          </cell>
          <cell r="C218" t="str">
            <v>Daniel</v>
          </cell>
          <cell r="D218" t="str">
            <v>Conejero Gascón, Daniel</v>
          </cell>
          <cell r="E218" t="str">
            <v>dconejerog@professional.universidadviu.com</v>
          </cell>
          <cell r="F218" t="str">
            <v>dconejerog@professional.universidadviu.com</v>
          </cell>
          <cell r="G218" t="str">
            <v>NO</v>
          </cell>
          <cell r="H218" t="str">
            <v>NO</v>
          </cell>
          <cell r="I218" t="str">
            <v>Máster Universitario en Psicología General Sanitaria</v>
          </cell>
          <cell r="J218" t="str">
            <v>Grado Psicología</v>
          </cell>
          <cell r="K218" t="str">
            <v/>
          </cell>
          <cell r="L218" t="str">
            <v/>
          </cell>
          <cell r="M218" t="str">
            <v>Professional</v>
          </cell>
          <cell r="N218"/>
          <cell r="O218" t="str">
            <v>CSS</v>
          </cell>
          <cell r="P218">
            <v>0</v>
          </cell>
          <cell r="Q218" t="str">
            <v xml:space="preserve"> </v>
          </cell>
          <cell r="R218"/>
          <cell r="S218"/>
          <cell r="T218" t="str">
            <v>Sin reducción</v>
          </cell>
          <cell r="U218">
            <v>0</v>
          </cell>
          <cell r="V218"/>
          <cell r="W218"/>
          <cell r="X218">
            <v>0</v>
          </cell>
          <cell r="Y218">
            <v>0</v>
          </cell>
          <cell r="Z218">
            <v>0</v>
          </cell>
          <cell r="AA218"/>
          <cell r="AB218" t="str">
            <v>Active - signed</v>
          </cell>
          <cell r="AC218" t="str">
            <v>ACTIVO</v>
          </cell>
          <cell r="AD218"/>
          <cell r="AE218"/>
          <cell r="AF218"/>
          <cell r="AG218"/>
          <cell r="AH218"/>
          <cell r="AI218" t="str">
            <v>53770789D</v>
          </cell>
        </row>
        <row r="219">
          <cell r="A219" t="str">
            <v>02411266S</v>
          </cell>
          <cell r="B219" t="str">
            <v>Corchén Nelli</v>
          </cell>
          <cell r="C219" t="str">
            <v>Federico</v>
          </cell>
          <cell r="D219" t="str">
            <v>Corchén Nelli, Federico</v>
          </cell>
          <cell r="E219" t="str">
            <v>fcorchenn@professional.universidadviu.com</v>
          </cell>
          <cell r="F219" t="str">
            <v>fcorchenn@professional.universidadviu.com</v>
          </cell>
          <cell r="G219" t="str">
            <v>NO</v>
          </cell>
          <cell r="H219" t="str">
            <v>NO</v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>Professional</v>
          </cell>
          <cell r="N219"/>
          <cell r="O219" t="str">
            <v>CSS</v>
          </cell>
          <cell r="P219">
            <v>0</v>
          </cell>
          <cell r="Q219" t="str">
            <v xml:space="preserve"> </v>
          </cell>
          <cell r="R219"/>
          <cell r="S219"/>
          <cell r="T219" t="str">
            <v>Sin reducción</v>
          </cell>
          <cell r="U219">
            <v>0</v>
          </cell>
          <cell r="V219"/>
          <cell r="W219"/>
          <cell r="X219">
            <v>0</v>
          </cell>
          <cell r="Y219">
            <v>0</v>
          </cell>
          <cell r="Z219">
            <v>0</v>
          </cell>
          <cell r="AA219"/>
          <cell r="AB219" t="str">
            <v>Active - signed</v>
          </cell>
          <cell r="AC219" t="str">
            <v>ACTIVO</v>
          </cell>
          <cell r="AD219"/>
          <cell r="AE219"/>
          <cell r="AF219"/>
          <cell r="AG219"/>
          <cell r="AH219"/>
          <cell r="AI219" t="str">
            <v>02411266S</v>
          </cell>
        </row>
        <row r="220">
          <cell r="A220" t="str">
            <v>44553026W</v>
          </cell>
          <cell r="B220" t="str">
            <v>Corchón Arreche</v>
          </cell>
          <cell r="C220" t="str">
            <v>Silvia</v>
          </cell>
          <cell r="D220" t="str">
            <v>Corchón Arreche, Silvia</v>
          </cell>
          <cell r="E220" t="str">
            <v>scorchona@professional.universidadviu.com</v>
          </cell>
          <cell r="F220" t="str">
            <v>scorchona@professional.universidadviu.com</v>
          </cell>
          <cell r="G220" t="str">
            <v>Yes</v>
          </cell>
          <cell r="H220" t="str">
            <v>NO</v>
          </cell>
          <cell r="I220" t="str">
            <v>PhD Nursing</v>
          </cell>
          <cell r="J220" t="str">
            <v>Master MSc Nursing Research</v>
          </cell>
          <cell r="K220" t="str">
            <v>Diplomada Enfermería</v>
          </cell>
          <cell r="L220" t="str">
            <v/>
          </cell>
          <cell r="M220" t="str">
            <v>Professional</v>
          </cell>
          <cell r="N220" t="str">
            <v/>
          </cell>
          <cell r="O220" t="str">
            <v>CBS</v>
          </cell>
          <cell r="P220">
            <v>0</v>
          </cell>
          <cell r="Q220" t="str">
            <v xml:space="preserve"> </v>
          </cell>
          <cell r="R220"/>
          <cell r="S220"/>
          <cell r="T220" t="str">
            <v>Sin reducción</v>
          </cell>
          <cell r="U220">
            <v>0</v>
          </cell>
          <cell r="V220"/>
          <cell r="W220"/>
          <cell r="X220">
            <v>0</v>
          </cell>
          <cell r="Y220">
            <v>0</v>
          </cell>
          <cell r="Z220">
            <v>0</v>
          </cell>
          <cell r="AA220"/>
          <cell r="AB220" t="str">
            <v>Active - signed</v>
          </cell>
          <cell r="AC220" t="str">
            <v>ACTIVO</v>
          </cell>
          <cell r="AD220"/>
          <cell r="AE220"/>
          <cell r="AF220"/>
          <cell r="AG220"/>
          <cell r="AH220"/>
          <cell r="AI220" t="str">
            <v>44553026W</v>
          </cell>
        </row>
        <row r="221">
          <cell r="A221" t="str">
            <v>X6242623D</v>
          </cell>
          <cell r="B221" t="str">
            <v>Corradi</v>
          </cell>
          <cell r="C221" t="str">
            <v>Guido Bartolomé</v>
          </cell>
          <cell r="D221" t="str">
            <v>Corradi, Guido Bartolomé</v>
          </cell>
          <cell r="E221" t="str">
            <v>gcorradi@professional.universidadviu.com</v>
          </cell>
          <cell r="F221" t="str">
            <v>gcorradi@professional.universidadviu.com</v>
          </cell>
          <cell r="G221" t="str">
            <v>Yes</v>
          </cell>
          <cell r="H221" t="str">
            <v>Yes</v>
          </cell>
          <cell r="I221" t="str">
            <v>Evolucion y Cognicion</v>
          </cell>
          <cell r="J221" t="str">
            <v>Master en Cognició i Evolució Humana</v>
          </cell>
          <cell r="K221" t="str">
            <v>Licenciatura en Psicología</v>
          </cell>
          <cell r="L221" t="str">
            <v/>
          </cell>
          <cell r="M221" t="str">
            <v>Professional</v>
          </cell>
          <cell r="N221" t="str">
            <v/>
          </cell>
          <cell r="O221" t="str">
            <v>CSS</v>
          </cell>
          <cell r="P221">
            <v>0</v>
          </cell>
          <cell r="Q221" t="str">
            <v xml:space="preserve"> </v>
          </cell>
          <cell r="R221"/>
          <cell r="S221"/>
          <cell r="T221" t="str">
            <v>Sin reducción</v>
          </cell>
          <cell r="U221">
            <v>0</v>
          </cell>
          <cell r="V221"/>
          <cell r="W221"/>
          <cell r="X221">
            <v>0</v>
          </cell>
          <cell r="Y221">
            <v>0</v>
          </cell>
          <cell r="Z221">
            <v>0</v>
          </cell>
          <cell r="AA221"/>
          <cell r="AB221" t="str">
            <v>Active - signed</v>
          </cell>
          <cell r="AC221" t="str">
            <v>ACTIVO</v>
          </cell>
          <cell r="AD221"/>
          <cell r="AE221"/>
          <cell r="AF221"/>
          <cell r="AG221"/>
          <cell r="AH221"/>
          <cell r="AI221" t="str">
            <v>X6242623D</v>
          </cell>
        </row>
        <row r="222">
          <cell r="A222" t="str">
            <v>85090742B</v>
          </cell>
          <cell r="B222" t="str">
            <v>Corral Martínez</v>
          </cell>
          <cell r="C222" t="str">
            <v>Marta</v>
          </cell>
          <cell r="D222" t="str">
            <v>Corral Martínez, Marta</v>
          </cell>
          <cell r="E222" t="str">
            <v>marta.corral</v>
          </cell>
          <cell r="F222" t="str">
            <v>marta.corral@professor.universidadviu.com</v>
          </cell>
          <cell r="G222" t="str">
            <v>Yes</v>
          </cell>
          <cell r="H222" t="str">
            <v>Yes</v>
          </cell>
          <cell r="I222" t="str">
            <v>Doctorado</v>
          </cell>
          <cell r="J222" t="str">
            <v>Doctorado</v>
          </cell>
          <cell r="K222" t="str">
            <v>Licenciada en Psicología</v>
          </cell>
          <cell r="L222" t="str">
            <v/>
          </cell>
          <cell r="M222" t="str">
            <v>Labour</v>
          </cell>
          <cell r="N222" t="str">
            <v>Hernández Saguar, Aida Esther</v>
          </cell>
          <cell r="O222" t="str">
            <v>CSS</v>
          </cell>
          <cell r="P222">
            <v>100</v>
          </cell>
          <cell r="Q222" t="str">
            <v>50</v>
          </cell>
          <cell r="R222"/>
          <cell r="S222"/>
          <cell r="T222" t="str">
            <v>Sin reducción</v>
          </cell>
          <cell r="U222">
            <v>0</v>
          </cell>
          <cell r="V222">
            <v>12</v>
          </cell>
          <cell r="W222" t="str">
            <v>EDUCACIÓN</v>
          </cell>
          <cell r="X222">
            <v>23</v>
          </cell>
          <cell r="Y222">
            <v>6</v>
          </cell>
          <cell r="Z222">
            <v>0</v>
          </cell>
          <cell r="AA222"/>
          <cell r="AB222" t="str">
            <v>Active - signed</v>
          </cell>
          <cell r="AC222" t="str">
            <v>ACTIVO</v>
          </cell>
          <cell r="AD222"/>
          <cell r="AE222">
            <v>46064</v>
          </cell>
          <cell r="AF222"/>
          <cell r="AG222" t="str">
            <v>ENFERMEDAD</v>
          </cell>
          <cell r="AH222" t="str">
            <v>puede alargarse</v>
          </cell>
          <cell r="AI222" t="str">
            <v>85090742B</v>
          </cell>
        </row>
        <row r="223">
          <cell r="A223" t="str">
            <v>26899359P</v>
          </cell>
          <cell r="B223" t="str">
            <v>Corrales Quispiricra</v>
          </cell>
          <cell r="C223" t="str">
            <v>Carmen</v>
          </cell>
          <cell r="D223" t="str">
            <v>Corrales Quispiricra, Carmen</v>
          </cell>
          <cell r="E223" t="str">
            <v>carmen.corrales.q</v>
          </cell>
          <cell r="F223" t="str">
            <v>carmen.corrales.q@professor.universidadviu.com</v>
          </cell>
          <cell r="G223" t="str">
            <v>NO</v>
          </cell>
          <cell r="H223" t="str">
            <v>NO</v>
          </cell>
          <cell r="I223" t="str">
            <v>Logopedia</v>
          </cell>
          <cell r="J223" t="str">
            <v>Máster en Logopedia Clínica en Daño Neurológico</v>
          </cell>
          <cell r="K223" t="str">
            <v>Máster Universitario en Especialización e Intervención Logopédica</v>
          </cell>
          <cell r="L223" t="str">
            <v/>
          </cell>
          <cell r="M223" t="str">
            <v>Labour</v>
          </cell>
          <cell r="N223"/>
          <cell r="O223" t="str">
            <v>CBS</v>
          </cell>
          <cell r="P223" t="str">
            <v>18,00</v>
          </cell>
          <cell r="Q223" t="b">
            <v>0</v>
          </cell>
          <cell r="R223"/>
          <cell r="S223"/>
          <cell r="T223" t="str">
            <v>Sin reducción</v>
          </cell>
          <cell r="U223">
            <v>0</v>
          </cell>
          <cell r="V223"/>
          <cell r="W223"/>
          <cell r="X223">
            <v>0</v>
          </cell>
          <cell r="Y223">
            <v>0</v>
          </cell>
          <cell r="Z223">
            <v>0</v>
          </cell>
          <cell r="AA223"/>
          <cell r="AB223" t="str">
            <v>Concluded</v>
          </cell>
          <cell r="AC223" t="str">
            <v>NO ACTIVO</v>
          </cell>
          <cell r="AD223"/>
          <cell r="AE223"/>
          <cell r="AF223">
            <v>45117</v>
          </cell>
          <cell r="AG223" t="str">
            <v>CESE DE CONTRATO</v>
          </cell>
          <cell r="AH223"/>
          <cell r="AI223" t="str">
            <v>26899359P</v>
          </cell>
        </row>
        <row r="224">
          <cell r="A224" t="str">
            <v>33465241B</v>
          </cell>
          <cell r="B224" t="str">
            <v>Cortés Vergaz</v>
          </cell>
          <cell r="C224" t="str">
            <v>Raquel</v>
          </cell>
          <cell r="D224" t="str">
            <v>Cortés Vergaz, Raquel</v>
          </cell>
          <cell r="E224" t="str">
            <v>raquel.cortes</v>
          </cell>
          <cell r="F224" t="str">
            <v>raquel.cortes@professional.universidadviu.com</v>
          </cell>
          <cell r="G224" t="str">
            <v>Yes</v>
          </cell>
          <cell r="H224" t="str">
            <v>NO</v>
          </cell>
          <cell r="I224" t="str">
            <v>Biología y Genética</v>
          </cell>
          <cell r="J224" t="str">
            <v>Programa de Bioquímica Clínica-Médica e Inmunología</v>
          </cell>
          <cell r="K224" t="str">
            <v/>
          </cell>
          <cell r="L224" t="str">
            <v/>
          </cell>
          <cell r="M224" t="str">
            <v>Professional</v>
          </cell>
          <cell r="N224" t="str">
            <v/>
          </cell>
          <cell r="O224" t="str">
            <v>CBS</v>
          </cell>
          <cell r="P224">
            <v>0</v>
          </cell>
          <cell r="Q224" t="str">
            <v xml:space="preserve"> </v>
          </cell>
          <cell r="R224"/>
          <cell r="S224"/>
          <cell r="T224" t="str">
            <v>Sin reducción</v>
          </cell>
          <cell r="U224">
            <v>0</v>
          </cell>
          <cell r="V224"/>
          <cell r="W224"/>
          <cell r="X224">
            <v>0</v>
          </cell>
          <cell r="Y224">
            <v>0</v>
          </cell>
          <cell r="Z224">
            <v>0</v>
          </cell>
          <cell r="AA224"/>
          <cell r="AB224" t="str">
            <v>Active - signed</v>
          </cell>
          <cell r="AC224" t="str">
            <v>ACTIVO</v>
          </cell>
          <cell r="AD224"/>
          <cell r="AE224"/>
          <cell r="AF224"/>
          <cell r="AG224"/>
          <cell r="AH224"/>
          <cell r="AI224" t="str">
            <v>33465241B</v>
          </cell>
        </row>
        <row r="225">
          <cell r="A225" t="str">
            <v>32714349T</v>
          </cell>
          <cell r="B225" t="str">
            <v>Cortizas Vázquez</v>
          </cell>
          <cell r="C225" t="str">
            <v>Marta</v>
          </cell>
          <cell r="D225" t="str">
            <v>Cortizas Vázquez, Marta</v>
          </cell>
          <cell r="E225" t="str">
            <v>mcortizasv@professional.universidadviu.com</v>
          </cell>
          <cell r="F225" t="str">
            <v>mcortizasv@professional.universidadviu.com</v>
          </cell>
          <cell r="G225" t="str">
            <v>NO</v>
          </cell>
          <cell r="H225" t="str">
            <v>NO</v>
          </cell>
          <cell r="I225" t="str">
            <v>Máster Universitario en Psicología General Sanitaria</v>
          </cell>
          <cell r="J225" t="str">
            <v>Licenciatura en Psicología</v>
          </cell>
          <cell r="K225" t="str">
            <v/>
          </cell>
          <cell r="L225" t="str">
            <v/>
          </cell>
          <cell r="M225" t="str">
            <v>Professional</v>
          </cell>
          <cell r="N225"/>
          <cell r="O225" t="str">
            <v>CSS</v>
          </cell>
          <cell r="P225">
            <v>0</v>
          </cell>
          <cell r="Q225" t="str">
            <v xml:space="preserve"> </v>
          </cell>
          <cell r="R225"/>
          <cell r="S225"/>
          <cell r="T225" t="str">
            <v>Sin reducción</v>
          </cell>
          <cell r="U225">
            <v>0</v>
          </cell>
          <cell r="V225"/>
          <cell r="W225"/>
          <cell r="X225">
            <v>0</v>
          </cell>
          <cell r="Y225">
            <v>0</v>
          </cell>
          <cell r="Z225">
            <v>0</v>
          </cell>
          <cell r="AA225"/>
          <cell r="AB225" t="str">
            <v>Concluded</v>
          </cell>
          <cell r="AC225" t="str">
            <v>ACTIVO</v>
          </cell>
          <cell r="AD225"/>
          <cell r="AE225"/>
          <cell r="AF225"/>
          <cell r="AG225"/>
          <cell r="AH225"/>
          <cell r="AI225" t="str">
            <v>32714349T</v>
          </cell>
        </row>
        <row r="226">
          <cell r="A226" t="str">
            <v>73208048Z</v>
          </cell>
          <cell r="B226" t="str">
            <v>Cregenzán Royo</v>
          </cell>
          <cell r="C226" t="str">
            <v>Olga</v>
          </cell>
          <cell r="D226" t="str">
            <v>Cregenzán Royo, Olga</v>
          </cell>
          <cell r="E226" t="str">
            <v>ocregenzanr@professional.universidadviu.com</v>
          </cell>
          <cell r="F226" t="str">
            <v>ocregenzanr@professional.universidadviu.com</v>
          </cell>
          <cell r="G226" t="str">
            <v>Yes</v>
          </cell>
          <cell r="H226" t="str">
            <v>NO</v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>Professional</v>
          </cell>
          <cell r="N226"/>
          <cell r="O226" t="str">
            <v>CSS</v>
          </cell>
          <cell r="P226">
            <v>0</v>
          </cell>
          <cell r="Q226" t="str">
            <v xml:space="preserve"> </v>
          </cell>
          <cell r="R226"/>
          <cell r="S226"/>
          <cell r="T226" t="str">
            <v>Sin reducción</v>
          </cell>
          <cell r="U226">
            <v>0</v>
          </cell>
          <cell r="V226"/>
          <cell r="W226"/>
          <cell r="X226">
            <v>0</v>
          </cell>
          <cell r="Y226">
            <v>0</v>
          </cell>
          <cell r="Z226">
            <v>0</v>
          </cell>
          <cell r="AA226"/>
          <cell r="AB226" t="str">
            <v>Active - signed</v>
          </cell>
          <cell r="AC226" t="str">
            <v>ACTIVO</v>
          </cell>
          <cell r="AD226"/>
          <cell r="AE226"/>
          <cell r="AF226"/>
          <cell r="AG226"/>
          <cell r="AH226"/>
          <cell r="AI226" t="str">
            <v>73208048Z</v>
          </cell>
        </row>
        <row r="227">
          <cell r="A227" t="str">
            <v>20247065G</v>
          </cell>
          <cell r="B227" t="str">
            <v>Crespo Delgado</v>
          </cell>
          <cell r="C227" t="str">
            <v>Elena</v>
          </cell>
          <cell r="D227" t="str">
            <v>Crespo Delgado, Elena</v>
          </cell>
          <cell r="E227" t="str">
            <v>elena.crespo.d</v>
          </cell>
          <cell r="F227" t="str">
            <v>elena.crespo.d@professional.universidadviu.com</v>
          </cell>
          <cell r="G227" t="str">
            <v>Yes</v>
          </cell>
          <cell r="H227" t="str">
            <v>NO</v>
          </cell>
          <cell r="I227" t="str">
            <v>Psicología</v>
          </cell>
          <cell r="J227" t="str">
            <v>Mater en Terapia de Conducta</v>
          </cell>
          <cell r="K227" t="str">
            <v>Doctorado en Psicologia</v>
          </cell>
          <cell r="L227" t="str">
            <v/>
          </cell>
          <cell r="M227" t="str">
            <v>Professional</v>
          </cell>
          <cell r="N227" t="str">
            <v/>
          </cell>
          <cell r="O227" t="str">
            <v>CSS</v>
          </cell>
          <cell r="P227">
            <v>0</v>
          </cell>
          <cell r="Q227" t="str">
            <v xml:space="preserve"> </v>
          </cell>
          <cell r="R227"/>
          <cell r="S227"/>
          <cell r="T227" t="str">
            <v>Sin reducción</v>
          </cell>
          <cell r="U227">
            <v>0</v>
          </cell>
          <cell r="V227"/>
          <cell r="W227"/>
          <cell r="X227">
            <v>0</v>
          </cell>
          <cell r="Y227">
            <v>0</v>
          </cell>
          <cell r="Z227">
            <v>0</v>
          </cell>
          <cell r="AA227"/>
          <cell r="AB227" t="str">
            <v>Active - signed</v>
          </cell>
          <cell r="AC227" t="str">
            <v>ACTIVO</v>
          </cell>
          <cell r="AD227"/>
          <cell r="AE227"/>
          <cell r="AF227"/>
          <cell r="AG227"/>
          <cell r="AH227"/>
          <cell r="AI227" t="str">
            <v>20247065G</v>
          </cell>
        </row>
        <row r="228">
          <cell r="A228" t="str">
            <v>07860358Q</v>
          </cell>
          <cell r="B228" t="str">
            <v>Criado del Valle</v>
          </cell>
          <cell r="C228" t="str">
            <v>Carlos Hugo</v>
          </cell>
          <cell r="D228" t="str">
            <v>Criado del Valle, Carlos Hugo</v>
          </cell>
          <cell r="E228" t="str">
            <v>ccriadod@professional.universidadviu.com</v>
          </cell>
          <cell r="F228" t="str">
            <v>ccriadod@professional.universidadviu.com</v>
          </cell>
          <cell r="G228" t="str">
            <v>Yes</v>
          </cell>
          <cell r="H228" t="str">
            <v>NO</v>
          </cell>
          <cell r="I228" t="str">
            <v>Licenciado en Filosofía y Letras</v>
          </cell>
          <cell r="J228" t="str">
            <v>doctor en Psicología</v>
          </cell>
          <cell r="K228" t="str">
            <v/>
          </cell>
          <cell r="L228" t="str">
            <v/>
          </cell>
          <cell r="M228" t="str">
            <v>Professional</v>
          </cell>
          <cell r="N228" t="str">
            <v/>
          </cell>
          <cell r="O228" t="str">
            <v>CSS</v>
          </cell>
          <cell r="P228">
            <v>0</v>
          </cell>
          <cell r="Q228" t="str">
            <v xml:space="preserve"> </v>
          </cell>
          <cell r="R228"/>
          <cell r="S228"/>
          <cell r="T228" t="str">
            <v>Sin reducción</v>
          </cell>
          <cell r="U228">
            <v>0</v>
          </cell>
          <cell r="V228"/>
          <cell r="W228"/>
          <cell r="X228">
            <v>0</v>
          </cell>
          <cell r="Y228">
            <v>0</v>
          </cell>
          <cell r="Z228">
            <v>0</v>
          </cell>
          <cell r="AA228"/>
          <cell r="AB228" t="str">
            <v>Active - signed</v>
          </cell>
          <cell r="AC228" t="str">
            <v>ACTIVO</v>
          </cell>
          <cell r="AD228"/>
          <cell r="AE228"/>
          <cell r="AF228"/>
          <cell r="AG228"/>
          <cell r="AH228"/>
          <cell r="AI228" t="str">
            <v>07860358Q</v>
          </cell>
        </row>
        <row r="229">
          <cell r="A229" t="str">
            <v>43930610N</v>
          </cell>
          <cell r="B229" t="str">
            <v>Cruz Ortiz</v>
          </cell>
          <cell r="C229" t="str">
            <v>Valeria</v>
          </cell>
          <cell r="D229" t="str">
            <v>Cruz Ortiz, Valeria</v>
          </cell>
          <cell r="E229" t="str">
            <v>vcruzo@professional.universidadviu.com</v>
          </cell>
          <cell r="F229" t="str">
            <v>vcruzo@professional.universidadviu.com</v>
          </cell>
          <cell r="G229" t="str">
            <v>NO</v>
          </cell>
          <cell r="H229" t="str">
            <v>NO</v>
          </cell>
          <cell r="I229" t="str">
            <v>Psicólogo</v>
          </cell>
          <cell r="J229" t="str">
            <v/>
          </cell>
          <cell r="K229" t="str">
            <v/>
          </cell>
          <cell r="L229" t="str">
            <v/>
          </cell>
          <cell r="M229" t="str">
            <v>Professional</v>
          </cell>
          <cell r="N229"/>
          <cell r="O229" t="str">
            <v>CSS</v>
          </cell>
          <cell r="P229"/>
          <cell r="Q229" t="str">
            <v xml:space="preserve"> </v>
          </cell>
          <cell r="R229"/>
          <cell r="S229"/>
          <cell r="T229" t="str">
            <v>Sin reducción</v>
          </cell>
          <cell r="U229">
            <v>0</v>
          </cell>
          <cell r="V229"/>
          <cell r="W229"/>
          <cell r="X229">
            <v>0</v>
          </cell>
          <cell r="Y229">
            <v>0</v>
          </cell>
          <cell r="Z229">
            <v>0</v>
          </cell>
          <cell r="AA229"/>
          <cell r="AB229" t="str">
            <v>Active - signed</v>
          </cell>
          <cell r="AC229" t="str">
            <v>ACTIVO</v>
          </cell>
          <cell r="AD229"/>
          <cell r="AE229"/>
          <cell r="AF229"/>
          <cell r="AG229"/>
          <cell r="AH229"/>
          <cell r="AI229" t="str">
            <v>43930610N</v>
          </cell>
        </row>
        <row r="230">
          <cell r="A230" t="str">
            <v>47548816L</v>
          </cell>
          <cell r="B230" t="str">
            <v>Cruz Ramos</v>
          </cell>
          <cell r="C230" t="str">
            <v>María Consuelo</v>
          </cell>
          <cell r="D230" t="str">
            <v>Cruz Ramos, María Consuelo</v>
          </cell>
          <cell r="E230" t="str">
            <v>mcruzr@professional.universidadviu.com</v>
          </cell>
          <cell r="F230" t="str">
            <v>mcruzr@professional.universidadviu.com</v>
          </cell>
          <cell r="G230" t="str">
            <v>NO</v>
          </cell>
          <cell r="H230" t="str">
            <v>NO</v>
          </cell>
          <cell r="I230" t="str">
            <v>Grado en Psicología</v>
          </cell>
          <cell r="J230" t="str">
            <v/>
          </cell>
          <cell r="K230" t="str">
            <v/>
          </cell>
          <cell r="L230" t="str">
            <v/>
          </cell>
          <cell r="M230" t="str">
            <v>Professional</v>
          </cell>
          <cell r="N230" t="str">
            <v/>
          </cell>
          <cell r="O230" t="str">
            <v>CSS</v>
          </cell>
          <cell r="P230">
            <v>0</v>
          </cell>
          <cell r="Q230" t="str">
            <v xml:space="preserve"> </v>
          </cell>
          <cell r="R230"/>
          <cell r="S230"/>
          <cell r="T230" t="str">
            <v>Sin reducción</v>
          </cell>
          <cell r="U230">
            <v>0</v>
          </cell>
          <cell r="V230"/>
          <cell r="W230"/>
          <cell r="X230">
            <v>0</v>
          </cell>
          <cell r="Y230">
            <v>0</v>
          </cell>
          <cell r="Z230">
            <v>0</v>
          </cell>
          <cell r="AA230"/>
          <cell r="AB230" t="str">
            <v>Active - signed</v>
          </cell>
          <cell r="AC230" t="str">
            <v>ACTIVO</v>
          </cell>
          <cell r="AD230"/>
          <cell r="AE230"/>
          <cell r="AF230"/>
          <cell r="AG230"/>
          <cell r="AH230"/>
          <cell r="AI230" t="str">
            <v>47548816L</v>
          </cell>
        </row>
        <row r="231">
          <cell r="A231" t="str">
            <v>44650485X</v>
          </cell>
          <cell r="B231" t="str">
            <v>Cuenca Gil</v>
          </cell>
          <cell r="C231" t="str">
            <v>Rocío</v>
          </cell>
          <cell r="D231" t="str">
            <v>Cuenca Gil, Rocío</v>
          </cell>
          <cell r="E231" t="str">
            <v>rocio.cuenca@professional.universidadviu.com</v>
          </cell>
          <cell r="F231" t="str">
            <v>rocio.cuenca@professional.universidadviu.com</v>
          </cell>
          <cell r="G231" t="str">
            <v>NO</v>
          </cell>
          <cell r="H231" t="str">
            <v>NO</v>
          </cell>
          <cell r="I231" t="str">
            <v>Máster Universitario en Psicología General Sanitaria</v>
          </cell>
          <cell r="J231" t="str">
            <v>Licenciatura en Psicología</v>
          </cell>
          <cell r="K231" t="str">
            <v/>
          </cell>
          <cell r="L231" t="str">
            <v/>
          </cell>
          <cell r="M231" t="str">
            <v>Professional</v>
          </cell>
          <cell r="N231"/>
          <cell r="O231" t="str">
            <v>CSS</v>
          </cell>
          <cell r="P231">
            <v>0</v>
          </cell>
          <cell r="Q231" t="str">
            <v xml:space="preserve"> </v>
          </cell>
          <cell r="R231"/>
          <cell r="S231"/>
          <cell r="T231" t="str">
            <v>Sin reducción</v>
          </cell>
          <cell r="U231">
            <v>0</v>
          </cell>
          <cell r="V231"/>
          <cell r="W231"/>
          <cell r="X231">
            <v>0</v>
          </cell>
          <cell r="Y231">
            <v>0</v>
          </cell>
          <cell r="Z231">
            <v>0</v>
          </cell>
          <cell r="AA231"/>
          <cell r="AB231" t="str">
            <v>Active - signed</v>
          </cell>
          <cell r="AC231" t="str">
            <v>ACTIVO</v>
          </cell>
          <cell r="AD231"/>
          <cell r="AE231"/>
          <cell r="AF231"/>
          <cell r="AG231"/>
          <cell r="AH231"/>
          <cell r="AI231" t="str">
            <v>44650485X</v>
          </cell>
        </row>
        <row r="232">
          <cell r="A232" t="str">
            <v>71680086B</v>
          </cell>
          <cell r="B232" t="str">
            <v>Cuesta Díaz</v>
          </cell>
          <cell r="C232" t="str">
            <v>Carlos Manuel</v>
          </cell>
          <cell r="D232" t="str">
            <v>Cuesta Díaz, Carlos Manuel</v>
          </cell>
          <cell r="E232" t="str">
            <v>carlosmanuel.cuesta</v>
          </cell>
          <cell r="F232" t="str">
            <v>carlosmanuel.cuesta@professional.universidadviu.com</v>
          </cell>
          <cell r="G232" t="str">
            <v>Yes</v>
          </cell>
          <cell r="H232" t="str">
            <v>NO</v>
          </cell>
          <cell r="I232" t="str">
            <v>Biología y Genética</v>
          </cell>
          <cell r="J232" t="str">
            <v>Doctorado en biotecnologia</v>
          </cell>
          <cell r="K232" t="str">
            <v>MÁSTER UNIVERSITARIO EN BIOTECNOLOGÍA BIOMÉDICA</v>
          </cell>
          <cell r="L232" t="str">
            <v/>
          </cell>
          <cell r="M232" t="str">
            <v>Professional</v>
          </cell>
          <cell r="N232" t="str">
            <v/>
          </cell>
          <cell r="O232" t="str">
            <v>CBS</v>
          </cell>
          <cell r="P232">
            <v>0</v>
          </cell>
          <cell r="Q232" t="str">
            <v xml:space="preserve"> </v>
          </cell>
          <cell r="R232"/>
          <cell r="S232"/>
          <cell r="T232" t="str">
            <v>Sin reducción</v>
          </cell>
          <cell r="U232">
            <v>0</v>
          </cell>
          <cell r="V232"/>
          <cell r="W232"/>
          <cell r="X232">
            <v>0</v>
          </cell>
          <cell r="Y232">
            <v>0</v>
          </cell>
          <cell r="Z232">
            <v>0</v>
          </cell>
          <cell r="AA232"/>
          <cell r="AB232" t="str">
            <v>Active - signed</v>
          </cell>
          <cell r="AC232" t="str">
            <v>ACTIVO</v>
          </cell>
          <cell r="AD232"/>
          <cell r="AE232"/>
          <cell r="AF232"/>
          <cell r="AG232"/>
          <cell r="AH232"/>
          <cell r="AI232" t="str">
            <v>71680086B</v>
          </cell>
        </row>
        <row r="233">
          <cell r="A233" t="str">
            <v>Y2968399X</v>
          </cell>
          <cell r="B233" t="str">
            <v>Cuevas López</v>
          </cell>
          <cell r="C233" t="str">
            <v>Paula Cecilia</v>
          </cell>
          <cell r="D233" t="str">
            <v>Cuevas López, Paula Cecilia</v>
          </cell>
          <cell r="E233" t="str">
            <v>pcuevasl@professional.universidadviu.com</v>
          </cell>
          <cell r="F233" t="str">
            <v>pcuevasl@professional.universidadviu.com</v>
          </cell>
          <cell r="G233" t="str">
            <v>Yes</v>
          </cell>
          <cell r="H233" t="str">
            <v>NO</v>
          </cell>
          <cell r="I233" t="str">
            <v>Doctorado en Ciencia del Comportamiento</v>
          </cell>
          <cell r="J233" t="str">
            <v>Máster en Ciencia del Comportamiento</v>
          </cell>
          <cell r="K233" t="str">
            <v>Licenciatura en Psicología</v>
          </cell>
          <cell r="L233" t="str">
            <v/>
          </cell>
          <cell r="M233" t="str">
            <v>Professional</v>
          </cell>
          <cell r="N233" t="str">
            <v/>
          </cell>
          <cell r="O233" t="str">
            <v>CSS</v>
          </cell>
          <cell r="P233">
            <v>0</v>
          </cell>
          <cell r="Q233" t="str">
            <v xml:space="preserve"> </v>
          </cell>
          <cell r="R233"/>
          <cell r="S233"/>
          <cell r="T233" t="str">
            <v>Sin reducción</v>
          </cell>
          <cell r="U233">
            <v>0</v>
          </cell>
          <cell r="V233"/>
          <cell r="W233"/>
          <cell r="X233">
            <v>0</v>
          </cell>
          <cell r="Y233">
            <v>0</v>
          </cell>
          <cell r="Z233">
            <v>0</v>
          </cell>
          <cell r="AA233"/>
          <cell r="AB233" t="str">
            <v>Active - signed</v>
          </cell>
          <cell r="AC233" t="str">
            <v>ACTIVO</v>
          </cell>
          <cell r="AD233"/>
          <cell r="AE233"/>
          <cell r="AF233"/>
          <cell r="AG233"/>
          <cell r="AH233"/>
          <cell r="AI233" t="str">
            <v>Y2968399X</v>
          </cell>
        </row>
        <row r="234">
          <cell r="A234" t="str">
            <v>49002255L</v>
          </cell>
          <cell r="B234" t="str">
            <v>Cuevas Pérez</v>
          </cell>
          <cell r="C234" t="str">
            <v>Denise</v>
          </cell>
          <cell r="D234" t="str">
            <v>Cuevas Pérez, Denise</v>
          </cell>
          <cell r="E234" t="str">
            <v>dcuevasp@professional.universidadviu.com</v>
          </cell>
          <cell r="F234" t="str">
            <v>dcuevasp@professional.universidadviu.com</v>
          </cell>
          <cell r="G234" t="str">
            <v>Yes</v>
          </cell>
          <cell r="H234" t="str">
            <v>NO</v>
          </cell>
          <cell r="I234" t="str">
            <v>Doctorado en Ciencias de la Salud</v>
          </cell>
          <cell r="J234" t="str">
            <v>Máster Universitario en Técnicas avanzadas en Fisioterapia y Mujer</v>
          </cell>
          <cell r="K234" t="str">
            <v>Diplomada en Fisioterapia</v>
          </cell>
          <cell r="L234" t="str">
            <v/>
          </cell>
          <cell r="M234" t="str">
            <v>Professional</v>
          </cell>
          <cell r="N234" t="str">
            <v/>
          </cell>
          <cell r="O234" t="str">
            <v>CBS</v>
          </cell>
          <cell r="P234">
            <v>0</v>
          </cell>
          <cell r="Q234" t="str">
            <v xml:space="preserve"> </v>
          </cell>
          <cell r="R234"/>
          <cell r="S234"/>
          <cell r="T234" t="str">
            <v>Sin reducción</v>
          </cell>
          <cell r="U234">
            <v>0</v>
          </cell>
          <cell r="V234"/>
          <cell r="W234"/>
          <cell r="X234">
            <v>0</v>
          </cell>
          <cell r="Y234">
            <v>0</v>
          </cell>
          <cell r="Z234">
            <v>0</v>
          </cell>
          <cell r="AA234"/>
          <cell r="AB234" t="str">
            <v>Active - signed</v>
          </cell>
          <cell r="AC234" t="str">
            <v>ACTIVO</v>
          </cell>
          <cell r="AD234"/>
          <cell r="AE234"/>
          <cell r="AF234"/>
          <cell r="AG234"/>
          <cell r="AH234"/>
          <cell r="AI234" t="str">
            <v>49002255L</v>
          </cell>
        </row>
        <row r="235">
          <cell r="A235" t="str">
            <v>44866003H</v>
          </cell>
          <cell r="B235" t="str">
            <v>Cuevas Tena</v>
          </cell>
          <cell r="C235" t="str">
            <v>María</v>
          </cell>
          <cell r="D235" t="str">
            <v>Cuevas Tena, María</v>
          </cell>
          <cell r="E235" t="str">
            <v>maria.cuevas</v>
          </cell>
          <cell r="F235" t="str">
            <v>maria.cuevas@professional.universidadviu.com</v>
          </cell>
          <cell r="G235" t="str">
            <v>Yes</v>
          </cell>
          <cell r="H235" t="str">
            <v>NO</v>
          </cell>
          <cell r="I235" t="str">
            <v>Nutrición y Dietética</v>
          </cell>
          <cell r="J235" t="str">
            <v>Máster universitario en Calidad y Seguridad alimentaria</v>
          </cell>
          <cell r="K235" t="str">
            <v>Doctorado</v>
          </cell>
          <cell r="L235" t="str">
            <v/>
          </cell>
          <cell r="M235" t="str">
            <v>Professional</v>
          </cell>
          <cell r="N235" t="str">
            <v/>
          </cell>
          <cell r="O235" t="str">
            <v>CBS</v>
          </cell>
          <cell r="P235">
            <v>0</v>
          </cell>
          <cell r="Q235" t="str">
            <v xml:space="preserve"> </v>
          </cell>
          <cell r="R235"/>
          <cell r="S235"/>
          <cell r="T235" t="str">
            <v>Sin reducción</v>
          </cell>
          <cell r="U235">
            <v>0</v>
          </cell>
          <cell r="V235"/>
          <cell r="W235"/>
          <cell r="X235">
            <v>0</v>
          </cell>
          <cell r="Y235">
            <v>0</v>
          </cell>
          <cell r="Z235">
            <v>0</v>
          </cell>
          <cell r="AA235"/>
          <cell r="AB235" t="str">
            <v>Active - signed</v>
          </cell>
          <cell r="AC235" t="str">
            <v>ACTIVO</v>
          </cell>
          <cell r="AD235"/>
          <cell r="AE235"/>
          <cell r="AF235"/>
          <cell r="AG235"/>
          <cell r="AH235"/>
          <cell r="AI235" t="str">
            <v>44866003H</v>
          </cell>
        </row>
        <row r="236">
          <cell r="A236" t="str">
            <v>26748331K</v>
          </cell>
          <cell r="B236" t="str">
            <v>Cutanda Pérez</v>
          </cell>
          <cell r="C236" t="str">
            <v>Diana</v>
          </cell>
          <cell r="D236" t="str">
            <v>Cutanda Pérez, Diana</v>
          </cell>
          <cell r="E236" t="str">
            <v>diana.cutanda</v>
          </cell>
          <cell r="F236" t="str">
            <v>diana.cutanda@professor.universidadviu.com</v>
          </cell>
          <cell r="G236" t="str">
            <v>Yes</v>
          </cell>
          <cell r="H236" t="str">
            <v>NO</v>
          </cell>
          <cell r="I236" t="str">
            <v>Programa de Doctorado en Psicología</v>
          </cell>
          <cell r="J236" t="str">
            <v>Programa de Doctorado en Psicología</v>
          </cell>
          <cell r="K236" t="str">
            <v>Licenciado en Criminología</v>
          </cell>
          <cell r="L236" t="str">
            <v/>
          </cell>
          <cell r="M236" t="str">
            <v>Labour</v>
          </cell>
          <cell r="N236" t="str">
            <v>Ródenas González, Francisco</v>
          </cell>
          <cell r="O236" t="str">
            <v>CSS</v>
          </cell>
          <cell r="P236">
            <v>100</v>
          </cell>
          <cell r="Q236" t="str">
            <v>50</v>
          </cell>
          <cell r="R236"/>
          <cell r="S236"/>
          <cell r="T236" t="str">
            <v>Subdirector/Coordinador de Máster</v>
          </cell>
          <cell r="U236">
            <v>32</v>
          </cell>
          <cell r="V236"/>
          <cell r="W236"/>
          <cell r="X236">
            <v>11.8</v>
          </cell>
          <cell r="Y236">
            <v>0</v>
          </cell>
          <cell r="Z236">
            <v>0</v>
          </cell>
          <cell r="AA236"/>
          <cell r="AB236" t="str">
            <v>Active - signed</v>
          </cell>
          <cell r="AC236" t="str">
            <v>ACTIVO</v>
          </cell>
          <cell r="AD236"/>
          <cell r="AE236"/>
          <cell r="AF236"/>
          <cell r="AG236"/>
          <cell r="AH236"/>
          <cell r="AI236" t="str">
            <v>26748331K</v>
          </cell>
        </row>
        <row r="237">
          <cell r="A237" t="str">
            <v>MXDACA730622610</v>
          </cell>
          <cell r="B237" t="str">
            <v>Da Silva Rodrigues</v>
          </cell>
          <cell r="C237" t="str">
            <v>Charles</v>
          </cell>
          <cell r="D237" t="str">
            <v>Da Silva Rodrigues, Charles</v>
          </cell>
          <cell r="E237" t="str">
            <v>charles.dasilva</v>
          </cell>
          <cell r="F237" t="str">
            <v>charles.dasilva@professional.universidadviu.com</v>
          </cell>
          <cell r="G237" t="str">
            <v>Yes</v>
          </cell>
          <cell r="H237" t="str">
            <v>NO</v>
          </cell>
          <cell r="I237" t="str">
            <v>Graduado de Maestro en Psicología de la lengua y logopedia</v>
          </cell>
          <cell r="J237" t="str">
            <v>Licenciatura en Psicología</v>
          </cell>
          <cell r="K237" t="str">
            <v>Doctorado Departamento de Psicolgía y Antropología</v>
          </cell>
          <cell r="L237" t="str">
            <v/>
          </cell>
          <cell r="M237" t="str">
            <v>Professional</v>
          </cell>
          <cell r="N237"/>
          <cell r="O237" t="str">
            <v>CSS</v>
          </cell>
          <cell r="P237">
            <v>0</v>
          </cell>
          <cell r="Q237" t="str">
            <v xml:space="preserve"> </v>
          </cell>
          <cell r="R237"/>
          <cell r="S237"/>
          <cell r="T237" t="str">
            <v>Sin reducción</v>
          </cell>
          <cell r="U237">
            <v>0</v>
          </cell>
          <cell r="V237"/>
          <cell r="W237"/>
          <cell r="X237">
            <v>0</v>
          </cell>
          <cell r="Y237">
            <v>0</v>
          </cell>
          <cell r="Z237">
            <v>0</v>
          </cell>
          <cell r="AA237"/>
          <cell r="AB237" t="str">
            <v>Active - signed</v>
          </cell>
          <cell r="AC237" t="str">
            <v>ACTIVO</v>
          </cell>
          <cell r="AD237"/>
          <cell r="AE237"/>
          <cell r="AF237"/>
          <cell r="AG237"/>
          <cell r="AH237"/>
          <cell r="AI237" t="str">
            <v>MXDACA730622610</v>
          </cell>
        </row>
        <row r="238">
          <cell r="A238" t="str">
            <v>Y5081045Z</v>
          </cell>
          <cell r="B238" t="str">
            <v>Da Silveira</v>
          </cell>
          <cell r="C238" t="str">
            <v>Suellyn Valdirene</v>
          </cell>
          <cell r="D238" t="str">
            <v>Da Silveira, Suellyn Valdirene</v>
          </cell>
          <cell r="E238" t="str">
            <v>suellynvaldirene.dasilveira</v>
          </cell>
          <cell r="F238" t="str">
            <v>suellynvaldirene.dasilveira@professional.universidadviu.com</v>
          </cell>
          <cell r="G238" t="str">
            <v>NO</v>
          </cell>
          <cell r="H238" t="str">
            <v>NO</v>
          </cell>
          <cell r="I238" t="str">
            <v>Enfermería</v>
          </cell>
          <cell r="J238" t="str">
            <v>Master Universitario en Ciencias de la Enfermeria</v>
          </cell>
          <cell r="K238" t="str">
            <v/>
          </cell>
          <cell r="L238" t="str">
            <v/>
          </cell>
          <cell r="M238" t="str">
            <v>Professional</v>
          </cell>
          <cell r="N238" t="str">
            <v/>
          </cell>
          <cell r="O238" t="str">
            <v>CBS</v>
          </cell>
          <cell r="P238">
            <v>0</v>
          </cell>
          <cell r="Q238" t="str">
            <v xml:space="preserve"> </v>
          </cell>
          <cell r="R238"/>
          <cell r="S238"/>
          <cell r="T238" t="str">
            <v>Sin reducción</v>
          </cell>
          <cell r="U238">
            <v>0</v>
          </cell>
          <cell r="V238"/>
          <cell r="W238"/>
          <cell r="X238">
            <v>0</v>
          </cell>
          <cell r="Y238">
            <v>0</v>
          </cell>
          <cell r="Z238">
            <v>0</v>
          </cell>
          <cell r="AA238"/>
          <cell r="AB238" t="str">
            <v>Active - signed</v>
          </cell>
          <cell r="AC238" t="str">
            <v>ACTIVO</v>
          </cell>
          <cell r="AD238"/>
          <cell r="AE238"/>
          <cell r="AF238"/>
          <cell r="AG238"/>
          <cell r="AH238"/>
          <cell r="AI238" t="str">
            <v>Y5081045Z</v>
          </cell>
        </row>
        <row r="239">
          <cell r="A239" t="str">
            <v>23316946Y</v>
          </cell>
          <cell r="B239" t="str">
            <v>Dasí Molina</v>
          </cell>
          <cell r="C239" t="str">
            <v>María</v>
          </cell>
          <cell r="D239" t="str">
            <v>Dasí Molina, María</v>
          </cell>
          <cell r="E239" t="str">
            <v>mdasim@professor.universidadviu.com</v>
          </cell>
          <cell r="F239" t="str">
            <v>mdasim@professor.universidadviu.com</v>
          </cell>
          <cell r="G239" t="str">
            <v>NO</v>
          </cell>
          <cell r="H239" t="str">
            <v>NO</v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>Labour</v>
          </cell>
          <cell r="N239" t="str">
            <v>Cano Villagrasa, Alejandro</v>
          </cell>
          <cell r="O239" t="str">
            <v>CBS/CSS</v>
          </cell>
          <cell r="P239">
            <v>100</v>
          </cell>
          <cell r="Q239" t="str">
            <v>50</v>
          </cell>
          <cell r="R239"/>
          <cell r="S239"/>
          <cell r="T239" t="str">
            <v>Sin reducción</v>
          </cell>
          <cell r="U239">
            <v>0</v>
          </cell>
          <cell r="V239">
            <v>18</v>
          </cell>
          <cell r="W239" t="str">
            <v>Educación</v>
          </cell>
          <cell r="X239">
            <v>10.199999999999999</v>
          </cell>
          <cell r="Y239">
            <v>14.4</v>
          </cell>
          <cell r="Z239">
            <v>0</v>
          </cell>
          <cell r="AA239"/>
          <cell r="AB239" t="str">
            <v>Active - signed</v>
          </cell>
          <cell r="AC239" t="str">
            <v>ACTIVO</v>
          </cell>
          <cell r="AD239"/>
          <cell r="AE239"/>
          <cell r="AF239"/>
          <cell r="AG239"/>
          <cell r="AH239"/>
          <cell r="AI239" t="str">
            <v>23316946Y</v>
          </cell>
        </row>
        <row r="240">
          <cell r="A240" t="str">
            <v>72516731P</v>
          </cell>
          <cell r="B240" t="str">
            <v>De Anzola Guerra</v>
          </cell>
          <cell r="C240" t="str">
            <v>Miren Zuriñe</v>
          </cell>
          <cell r="D240" t="str">
            <v>De Anzola Guerra, Miren Zuriñe</v>
          </cell>
          <cell r="E240" t="str">
            <v>zurine.deanzola</v>
          </cell>
          <cell r="F240" t="str">
            <v>zurine.deanzola@professor.universidadviu.com</v>
          </cell>
          <cell r="G240" t="str">
            <v>NO</v>
          </cell>
          <cell r="H240" t="str">
            <v>NO</v>
          </cell>
          <cell r="I240" t="str">
            <v>Especialista Eventos Accesibles y Protocolo inclusivo</v>
          </cell>
          <cell r="J240" t="str">
            <v>International Business Certification</v>
          </cell>
          <cell r="K240" t="str">
            <v>Licenciatura Humanidades: Comunicacion</v>
          </cell>
          <cell r="L240" t="str">
            <v>Master Gestion Empresas Comunicacion</v>
          </cell>
          <cell r="M240" t="str">
            <v>Labour</v>
          </cell>
          <cell r="N240" t="str">
            <v>Mateu Mollá, Joaquín</v>
          </cell>
          <cell r="O240" t="str">
            <v>CSS</v>
          </cell>
          <cell r="P240">
            <v>10</v>
          </cell>
          <cell r="Q240" t="str">
            <v>10</v>
          </cell>
          <cell r="R240"/>
          <cell r="S240"/>
          <cell r="T240" t="str">
            <v>Sin reducción</v>
          </cell>
          <cell r="U240">
            <v>0</v>
          </cell>
          <cell r="V240"/>
          <cell r="W240"/>
          <cell r="X240">
            <v>0</v>
          </cell>
          <cell r="Y240">
            <v>0</v>
          </cell>
          <cell r="Z240">
            <v>10</v>
          </cell>
          <cell r="AA240"/>
          <cell r="AB240" t="str">
            <v>Active - signed</v>
          </cell>
          <cell r="AC240" t="str">
            <v>ACTIVO</v>
          </cell>
          <cell r="AD240"/>
          <cell r="AE240"/>
          <cell r="AF240"/>
          <cell r="AG240"/>
          <cell r="AH240"/>
          <cell r="AI240" t="str">
            <v>72516731P</v>
          </cell>
        </row>
        <row r="241">
          <cell r="A241" t="str">
            <v>39461116Q</v>
          </cell>
          <cell r="B241" t="str">
            <v>de Jesús Araujo</v>
          </cell>
          <cell r="C241" t="str">
            <v>Grecia</v>
          </cell>
          <cell r="D241" t="str">
            <v>de Jesús Araujo, Grecia</v>
          </cell>
          <cell r="E241" t="str">
            <v>gdejesusa@professional.universidadviu.com</v>
          </cell>
          <cell r="F241" t="str">
            <v>gdejesusa@professional.universidadviu.com</v>
          </cell>
          <cell r="G241" t="str">
            <v>NO</v>
          </cell>
          <cell r="H241" t="str">
            <v>NO</v>
          </cell>
          <cell r="I241" t="str">
            <v>Master en Psicología General Saniaria</v>
          </cell>
          <cell r="J241" t="str">
            <v>Grado en Psicología</v>
          </cell>
          <cell r="K241" t="str">
            <v/>
          </cell>
          <cell r="L241" t="str">
            <v/>
          </cell>
          <cell r="M241" t="str">
            <v>Professional</v>
          </cell>
          <cell r="N241" t="str">
            <v/>
          </cell>
          <cell r="O241" t="str">
            <v>CSS</v>
          </cell>
          <cell r="P241">
            <v>0</v>
          </cell>
          <cell r="Q241" t="str">
            <v xml:space="preserve"> </v>
          </cell>
          <cell r="R241"/>
          <cell r="S241"/>
          <cell r="T241" t="str">
            <v>Sin reducción</v>
          </cell>
          <cell r="U241">
            <v>0</v>
          </cell>
          <cell r="V241"/>
          <cell r="W241"/>
          <cell r="X241">
            <v>0</v>
          </cell>
          <cell r="Y241">
            <v>0</v>
          </cell>
          <cell r="Z241">
            <v>0</v>
          </cell>
          <cell r="AA241"/>
          <cell r="AB241" t="str">
            <v>Active - signed</v>
          </cell>
          <cell r="AC241" t="str">
            <v>ACTIVO</v>
          </cell>
          <cell r="AD241"/>
          <cell r="AE241"/>
          <cell r="AF241"/>
          <cell r="AG241"/>
          <cell r="AH241"/>
          <cell r="AI241" t="str">
            <v>39461116Q</v>
          </cell>
        </row>
        <row r="242">
          <cell r="A242" t="str">
            <v>75148431W</v>
          </cell>
          <cell r="B242" t="str">
            <v>De la Cruz Campos</v>
          </cell>
          <cell r="C242" t="str">
            <v>Juan Carlos</v>
          </cell>
          <cell r="D242" t="str">
            <v>De la Cruz Campos, Juan Carlos</v>
          </cell>
          <cell r="E242" t="str">
            <v>jdelacruzc@professional.universidadviu.com</v>
          </cell>
          <cell r="F242" t="str">
            <v>jdelacruzc@professional.universidadviu.com</v>
          </cell>
          <cell r="G242" t="str">
            <v>Yes</v>
          </cell>
          <cell r="H242" t="str">
            <v>NO</v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>Professional</v>
          </cell>
          <cell r="N242"/>
          <cell r="O242" t="str">
            <v>CSS</v>
          </cell>
          <cell r="P242">
            <v>0</v>
          </cell>
          <cell r="Q242" t="str">
            <v xml:space="preserve"> </v>
          </cell>
          <cell r="R242"/>
          <cell r="S242"/>
          <cell r="T242" t="str">
            <v>Sin reducción</v>
          </cell>
          <cell r="U242">
            <v>0</v>
          </cell>
          <cell r="V242"/>
          <cell r="W242"/>
          <cell r="X242">
            <v>0</v>
          </cell>
          <cell r="Y242">
            <v>0</v>
          </cell>
          <cell r="Z242">
            <v>0</v>
          </cell>
          <cell r="AA242"/>
          <cell r="AB242" t="str">
            <v>Active - signed</v>
          </cell>
          <cell r="AC242" t="str">
            <v>ACTIVO</v>
          </cell>
          <cell r="AD242"/>
          <cell r="AE242"/>
          <cell r="AF242"/>
          <cell r="AG242"/>
          <cell r="AH242"/>
          <cell r="AI242" t="str">
            <v>75148431W</v>
          </cell>
        </row>
        <row r="243">
          <cell r="A243" t="str">
            <v>15522450A</v>
          </cell>
          <cell r="B243" t="str">
            <v>De la Hoz Ruiz</v>
          </cell>
          <cell r="C243" t="str">
            <v>Javier</v>
          </cell>
          <cell r="D243" t="str">
            <v>De la Hoz Ruiz, Javier</v>
          </cell>
          <cell r="E243" t="str">
            <v>jdelahozr@professional.universidadviu.com</v>
          </cell>
          <cell r="F243" t="str">
            <v>jdelahozr@professional.universidadviu.com</v>
          </cell>
          <cell r="G243" t="str">
            <v>NO</v>
          </cell>
          <cell r="H243" t="str">
            <v>Yes</v>
          </cell>
          <cell r="I243" t="str">
            <v>Máster en Información y Documentación Científica</v>
          </cell>
          <cell r="J243" t="str">
            <v>Grado en Educación Primaria Pedagogía Terapéutica y Educación física Pedagogía pendiente de título febrero de 2025</v>
          </cell>
          <cell r="K243" t="str">
            <v/>
          </cell>
          <cell r="L243" t="str">
            <v/>
          </cell>
          <cell r="M243" t="str">
            <v>Professional</v>
          </cell>
          <cell r="N243"/>
          <cell r="O243" t="str">
            <v>CSS</v>
          </cell>
          <cell r="P243"/>
          <cell r="Q243" t="str">
            <v xml:space="preserve"> </v>
          </cell>
          <cell r="R243"/>
          <cell r="S243"/>
          <cell r="T243" t="str">
            <v>Sin reducción</v>
          </cell>
          <cell r="U243">
            <v>0</v>
          </cell>
          <cell r="V243"/>
          <cell r="W243"/>
          <cell r="X243">
            <v>0</v>
          </cell>
          <cell r="Y243">
            <v>0</v>
          </cell>
          <cell r="Z243">
            <v>0</v>
          </cell>
          <cell r="AA243"/>
          <cell r="AB243" t="str">
            <v>Active - signed</v>
          </cell>
          <cell r="AC243" t="str">
            <v>ACTIVO</v>
          </cell>
          <cell r="AD243"/>
          <cell r="AE243"/>
          <cell r="AF243"/>
          <cell r="AG243"/>
          <cell r="AH243"/>
          <cell r="AI243" t="str">
            <v>15522450A</v>
          </cell>
        </row>
        <row r="244">
          <cell r="A244" t="str">
            <v>03875698Z</v>
          </cell>
          <cell r="B244" t="str">
            <v>De la Llave Rodríguez</v>
          </cell>
          <cell r="C244" t="str">
            <v>María Almudena</v>
          </cell>
          <cell r="D244" t="str">
            <v>De la Llave Rodríguez, María Almudena</v>
          </cell>
          <cell r="E244" t="str">
            <v>mariaalmudena.delallave</v>
          </cell>
          <cell r="F244" t="str">
            <v>mariaalmudena.delallave@professor.universidadviu.com</v>
          </cell>
          <cell r="G244" t="str">
            <v>NO</v>
          </cell>
          <cell r="H244" t="str">
            <v>NO</v>
          </cell>
          <cell r="I244" t="str">
            <v>Logopedia</v>
          </cell>
          <cell r="J244" t="str">
            <v>Magisterio Especialidad Audición y Lenguaje</v>
          </cell>
          <cell r="K244" t="str">
            <v/>
          </cell>
          <cell r="L244" t="str">
            <v/>
          </cell>
          <cell r="M244" t="str">
            <v>Labour</v>
          </cell>
          <cell r="N244" t="str">
            <v>Cano Villagrasa, Alejandro</v>
          </cell>
          <cell r="O244" t="str">
            <v>CBS</v>
          </cell>
          <cell r="P244">
            <v>24</v>
          </cell>
          <cell r="Q244" t="str">
            <v>22</v>
          </cell>
          <cell r="R244"/>
          <cell r="S244"/>
          <cell r="T244" t="str">
            <v>Sin reducción</v>
          </cell>
          <cell r="U244">
            <v>0</v>
          </cell>
          <cell r="V244"/>
          <cell r="W244"/>
          <cell r="X244">
            <v>0</v>
          </cell>
          <cell r="Y244">
            <v>21.6</v>
          </cell>
          <cell r="Z244">
            <v>0</v>
          </cell>
          <cell r="AA244"/>
          <cell r="AB244" t="str">
            <v>Active - signed</v>
          </cell>
          <cell r="AC244" t="str">
            <v>ACTIVO</v>
          </cell>
          <cell r="AD244"/>
          <cell r="AE244"/>
          <cell r="AF244"/>
          <cell r="AG244"/>
          <cell r="AH244"/>
          <cell r="AI244" t="str">
            <v>03875698Z</v>
          </cell>
        </row>
        <row r="245">
          <cell r="A245" t="str">
            <v>51482938Z</v>
          </cell>
          <cell r="B245" t="str">
            <v>De la Osa Subtil</v>
          </cell>
          <cell r="C245" t="str">
            <v>Iria</v>
          </cell>
          <cell r="D245" t="str">
            <v>De la Osa Subtil, Iria</v>
          </cell>
          <cell r="E245" t="str">
            <v>idelaosas@professional.universidadviu.com</v>
          </cell>
          <cell r="F245" t="str">
            <v>idelaosas@professional.universidadviu.com</v>
          </cell>
          <cell r="G245" t="str">
            <v>NO</v>
          </cell>
          <cell r="H245" t="str">
            <v>NO</v>
          </cell>
          <cell r="I245" t="str">
            <v>Máster Universitario en Psicología General Sanitaria</v>
          </cell>
          <cell r="J245" t="str">
            <v>Grado en Psicología</v>
          </cell>
          <cell r="K245" t="str">
            <v/>
          </cell>
          <cell r="L245" t="str">
            <v/>
          </cell>
          <cell r="M245" t="str">
            <v>Professional</v>
          </cell>
          <cell r="N245" t="str">
            <v/>
          </cell>
          <cell r="O245"/>
          <cell r="P245">
            <v>0</v>
          </cell>
          <cell r="Q245" t="str">
            <v xml:space="preserve"> </v>
          </cell>
          <cell r="R245"/>
          <cell r="S245"/>
          <cell r="T245" t="str">
            <v>Sin reducción</v>
          </cell>
          <cell r="U245">
            <v>0</v>
          </cell>
          <cell r="V245"/>
          <cell r="W245"/>
          <cell r="X245">
            <v>0</v>
          </cell>
          <cell r="Y245">
            <v>0</v>
          </cell>
          <cell r="Z245">
            <v>0</v>
          </cell>
          <cell r="AA245"/>
          <cell r="AB245" t="str">
            <v>Active - signed</v>
          </cell>
          <cell r="AC245" t="str">
            <v>ACTIVO</v>
          </cell>
          <cell r="AD245"/>
          <cell r="AE245"/>
          <cell r="AF245"/>
          <cell r="AG245"/>
          <cell r="AH245"/>
          <cell r="AI245" t="str">
            <v>51482938Z</v>
          </cell>
        </row>
        <row r="246">
          <cell r="A246" t="str">
            <v>09793683F</v>
          </cell>
          <cell r="B246" t="str">
            <v>De la Puente Robles</v>
          </cell>
          <cell r="C246" t="str">
            <v>Beatriz María</v>
          </cell>
          <cell r="D246" t="str">
            <v>De la Puente Robles, Beatriz María</v>
          </cell>
          <cell r="E246" t="str">
            <v>beatriz.delapuente@professional.universidadviu.com</v>
          </cell>
          <cell r="F246" t="str">
            <v>beatriz.delapuente@professional.universidadviu.com</v>
          </cell>
          <cell r="G246" t="str">
            <v>Yes</v>
          </cell>
          <cell r="H246" t="str">
            <v>NO</v>
          </cell>
          <cell r="I246" t="str">
            <v>Doctorado en Biotecnología</v>
          </cell>
          <cell r="J246" t="str">
            <v>Máster universitario en Biotecnología Molecular</v>
          </cell>
          <cell r="K246" t="str">
            <v>Licenciada en Biología</v>
          </cell>
          <cell r="L246" t="str">
            <v/>
          </cell>
          <cell r="M246" t="str">
            <v>Professional</v>
          </cell>
          <cell r="N246" t="str">
            <v/>
          </cell>
          <cell r="O246" t="str">
            <v>CBS</v>
          </cell>
          <cell r="P246">
            <v>0</v>
          </cell>
          <cell r="Q246" t="str">
            <v xml:space="preserve"> </v>
          </cell>
          <cell r="R246"/>
          <cell r="S246"/>
          <cell r="T246" t="str">
            <v>Sin reducción</v>
          </cell>
          <cell r="U246">
            <v>0</v>
          </cell>
          <cell r="V246"/>
          <cell r="W246"/>
          <cell r="X246">
            <v>0</v>
          </cell>
          <cell r="Y246">
            <v>0</v>
          </cell>
          <cell r="Z246">
            <v>0</v>
          </cell>
          <cell r="AA246"/>
          <cell r="AB246" t="str">
            <v>Active - signed</v>
          </cell>
          <cell r="AC246" t="str">
            <v>ACTIVO</v>
          </cell>
          <cell r="AD246"/>
          <cell r="AE246"/>
          <cell r="AF246"/>
          <cell r="AG246"/>
          <cell r="AH246"/>
          <cell r="AI246" t="str">
            <v>09793683F</v>
          </cell>
        </row>
        <row r="247">
          <cell r="A247" t="str">
            <v>30981467F</v>
          </cell>
          <cell r="B247" t="str">
            <v>De la Rosa Gámiz</v>
          </cell>
          <cell r="C247" t="str">
            <v>María Dolores</v>
          </cell>
          <cell r="D247" t="str">
            <v>De la Rosa Gámiz, María Dolores</v>
          </cell>
          <cell r="E247" t="str">
            <v>m.delarosa</v>
          </cell>
          <cell r="F247" t="str">
            <v>m.delarosa@professor.universidadviu.com</v>
          </cell>
          <cell r="G247" t="str">
            <v>Yes</v>
          </cell>
          <cell r="H247" t="str">
            <v>NO</v>
          </cell>
          <cell r="I247" t="str">
            <v>Doctorado en Ciencias</v>
          </cell>
          <cell r="J247" t="str">
            <v>Doctorado en Ciencias</v>
          </cell>
          <cell r="K247" t="str">
            <v>Máster universitario en Neurociencia Cognitiva y del Comportamiento</v>
          </cell>
          <cell r="L247" t="str">
            <v>Licenciatura en Psicología</v>
          </cell>
          <cell r="M247" t="str">
            <v>Labour</v>
          </cell>
          <cell r="N247" t="str">
            <v>Cairós González, Mariana Elena</v>
          </cell>
          <cell r="O247" t="str">
            <v>CSS</v>
          </cell>
          <cell r="P247">
            <v>100</v>
          </cell>
          <cell r="Q247" t="str">
            <v>50</v>
          </cell>
          <cell r="R247"/>
          <cell r="S247"/>
          <cell r="T247" t="str">
            <v>Sin reducción</v>
          </cell>
          <cell r="U247">
            <v>0</v>
          </cell>
          <cell r="V247"/>
          <cell r="W247"/>
          <cell r="X247">
            <v>49</v>
          </cell>
          <cell r="Y247">
            <v>0</v>
          </cell>
          <cell r="Z247">
            <v>0.7</v>
          </cell>
          <cell r="AA247"/>
          <cell r="AB247" t="str">
            <v>Active - signed</v>
          </cell>
          <cell r="AC247" t="str">
            <v>ACTIVO</v>
          </cell>
          <cell r="AD247"/>
          <cell r="AE247"/>
          <cell r="AF247"/>
          <cell r="AG247"/>
          <cell r="AH247"/>
          <cell r="AI247" t="str">
            <v>30981467F</v>
          </cell>
        </row>
        <row r="248">
          <cell r="A248" t="str">
            <v>G16981319</v>
          </cell>
          <cell r="B248" t="str">
            <v>De la Rosa Gómez</v>
          </cell>
          <cell r="C248" t="str">
            <v>Anabel</v>
          </cell>
          <cell r="D248" t="str">
            <v>De la Rosa Gómez, Anabel</v>
          </cell>
          <cell r="E248" t="str">
            <v>anabel.delarosa</v>
          </cell>
          <cell r="F248" t="str">
            <v>anabel.delarosa@professional.universidadviu.com</v>
          </cell>
          <cell r="G248" t="str">
            <v>Yes</v>
          </cell>
          <cell r="H248" t="str">
            <v>NO</v>
          </cell>
          <cell r="I248" t="str">
            <v>Psicología</v>
          </cell>
          <cell r="J248" t="str">
            <v>Doctorado en Psicología y Salud</v>
          </cell>
          <cell r="K248" t="str">
            <v/>
          </cell>
          <cell r="L248" t="str">
            <v/>
          </cell>
          <cell r="M248" t="str">
            <v>Professional</v>
          </cell>
          <cell r="N248" t="str">
            <v/>
          </cell>
          <cell r="O248" t="str">
            <v>CSS</v>
          </cell>
          <cell r="P248">
            <v>0</v>
          </cell>
          <cell r="Q248" t="str">
            <v xml:space="preserve"> </v>
          </cell>
          <cell r="R248"/>
          <cell r="S248"/>
          <cell r="T248" t="str">
            <v>Sin reducción</v>
          </cell>
          <cell r="U248">
            <v>0</v>
          </cell>
          <cell r="V248"/>
          <cell r="W248"/>
          <cell r="X248">
            <v>0</v>
          </cell>
          <cell r="Y248">
            <v>0</v>
          </cell>
          <cell r="Z248">
            <v>0</v>
          </cell>
          <cell r="AA248"/>
          <cell r="AB248" t="str">
            <v>Active - signed</v>
          </cell>
          <cell r="AC248" t="str">
            <v>ACTIVO</v>
          </cell>
          <cell r="AD248"/>
          <cell r="AE248"/>
          <cell r="AF248"/>
          <cell r="AG248"/>
          <cell r="AH248"/>
          <cell r="AI248" t="str">
            <v>G16981319</v>
          </cell>
        </row>
        <row r="249">
          <cell r="A249" t="str">
            <v>48805728G</v>
          </cell>
          <cell r="B249" t="str">
            <v>De la Serna Tuya</v>
          </cell>
          <cell r="C249" t="str">
            <v>Juan Moisés</v>
          </cell>
          <cell r="D249" t="str">
            <v>De la Serna Tuya, Juan Moisés</v>
          </cell>
          <cell r="E249" t="str">
            <v>juanmoises.delaserna</v>
          </cell>
          <cell r="F249" t="str">
            <v>juanmoises.delaserna@professor.universidadviu.com</v>
          </cell>
          <cell r="G249" t="str">
            <v>Yes</v>
          </cell>
          <cell r="H249" t="str">
            <v>Yes</v>
          </cell>
          <cell r="I249" t="str">
            <v>Experto Universitario en docencia digital para profesores</v>
          </cell>
          <cell r="J249" t="str">
            <v>MP Gamificación y Recursos digitales</v>
          </cell>
          <cell r="K249" t="str">
            <v>Diplomado en Relaciones Laborales</v>
          </cell>
          <cell r="L249" t="str">
            <v>Licenciado en Psicología</v>
          </cell>
          <cell r="M249" t="str">
            <v>Labour</v>
          </cell>
          <cell r="N249"/>
          <cell r="O249" t="str">
            <v>CSS</v>
          </cell>
          <cell r="P249">
            <v>100</v>
          </cell>
          <cell r="Q249" t="str">
            <v>50</v>
          </cell>
          <cell r="R249"/>
          <cell r="S249"/>
          <cell r="T249" t="str">
            <v>Sin reducción</v>
          </cell>
          <cell r="U249">
            <v>0</v>
          </cell>
          <cell r="V249"/>
          <cell r="W249"/>
          <cell r="X249">
            <v>0</v>
          </cell>
          <cell r="Y249">
            <v>0</v>
          </cell>
          <cell r="Z249">
            <v>0</v>
          </cell>
          <cell r="AA249"/>
          <cell r="AB249" t="str">
            <v>Concluded</v>
          </cell>
          <cell r="AC249" t="str">
            <v>NO ACTIVO</v>
          </cell>
          <cell r="AD249"/>
          <cell r="AE249"/>
          <cell r="AF249">
            <v>45264</v>
          </cell>
          <cell r="AG249" t="str">
            <v>CESE DE CONTRATO</v>
          </cell>
          <cell r="AH249"/>
          <cell r="AI249" t="str">
            <v>48805728G</v>
          </cell>
        </row>
        <row r="250">
          <cell r="A250" t="str">
            <v>50610669C</v>
          </cell>
          <cell r="B250" t="str">
            <v>De la Torre Luque</v>
          </cell>
          <cell r="C250" t="str">
            <v>Alejandro Francisco</v>
          </cell>
          <cell r="D250" t="str">
            <v>De la Torre Luque, Alejandro Francisco</v>
          </cell>
          <cell r="E250" t="str">
            <v>alejandro.delatorre.lu</v>
          </cell>
          <cell r="F250" t="str">
            <v>alejandro.delatorre.lu@professional.universidadviu.com</v>
          </cell>
          <cell r="G250" t="str">
            <v>Yes</v>
          </cell>
          <cell r="H250" t="str">
            <v>Yes</v>
          </cell>
          <cell r="I250" t="str">
            <v>Psicología</v>
          </cell>
          <cell r="J250" t="str">
            <v>Programa Oficial de Doctorado en Neurociencias</v>
          </cell>
          <cell r="K250" t="str">
            <v/>
          </cell>
          <cell r="L250" t="str">
            <v/>
          </cell>
          <cell r="M250" t="str">
            <v>Professional</v>
          </cell>
          <cell r="N250" t="str">
            <v/>
          </cell>
          <cell r="O250" t="str">
            <v>CSS</v>
          </cell>
          <cell r="P250">
            <v>0</v>
          </cell>
          <cell r="Q250" t="str">
            <v xml:space="preserve"> </v>
          </cell>
          <cell r="R250"/>
          <cell r="S250"/>
          <cell r="T250" t="str">
            <v>Sin reducción</v>
          </cell>
          <cell r="U250">
            <v>0</v>
          </cell>
          <cell r="V250"/>
          <cell r="W250"/>
          <cell r="X250">
            <v>0</v>
          </cell>
          <cell r="Y250">
            <v>0</v>
          </cell>
          <cell r="Z250">
            <v>0</v>
          </cell>
          <cell r="AA250"/>
          <cell r="AB250" t="str">
            <v>Active - signed</v>
          </cell>
          <cell r="AC250" t="str">
            <v>ACTIVO</v>
          </cell>
          <cell r="AD250"/>
          <cell r="AE250"/>
          <cell r="AF250"/>
          <cell r="AG250"/>
          <cell r="AH250"/>
          <cell r="AI250" t="str">
            <v>50610669C</v>
          </cell>
        </row>
        <row r="251">
          <cell r="A251" t="str">
            <v>25973152B</v>
          </cell>
          <cell r="B251" t="str">
            <v>De la Torre Olid</v>
          </cell>
          <cell r="C251" t="str">
            <v>Francisco</v>
          </cell>
          <cell r="D251" t="str">
            <v>De la Torre Olid, Francisco</v>
          </cell>
          <cell r="E251" t="str">
            <v>francisco.delatorreo</v>
          </cell>
          <cell r="F251" t="str">
            <v>francisco.delatorreo@professor.universidadviu.com</v>
          </cell>
          <cell r="G251" t="str">
            <v>Yes</v>
          </cell>
          <cell r="H251" t="str">
            <v>Yes</v>
          </cell>
          <cell r="I251" t="str">
            <v>Doctorado</v>
          </cell>
          <cell r="J251" t="str">
            <v>Doctorado</v>
          </cell>
          <cell r="K251" t="str">
            <v>Licenciatura en Derecho</v>
          </cell>
          <cell r="L251" t="str">
            <v/>
          </cell>
          <cell r="M251" t="str">
            <v>Labour</v>
          </cell>
          <cell r="N251"/>
          <cell r="O251" t="str">
            <v>CBS</v>
          </cell>
          <cell r="P251">
            <v>100</v>
          </cell>
          <cell r="Q251" t="str">
            <v>50</v>
          </cell>
          <cell r="R251"/>
          <cell r="S251"/>
          <cell r="T251" t="str">
            <v>Sin reducción</v>
          </cell>
          <cell r="U251">
            <v>0</v>
          </cell>
          <cell r="V251"/>
          <cell r="W251"/>
          <cell r="X251">
            <v>0</v>
          </cell>
          <cell r="Y251">
            <v>0</v>
          </cell>
          <cell r="Z251">
            <v>0</v>
          </cell>
          <cell r="AA251"/>
          <cell r="AB251" t="str">
            <v>Concluded</v>
          </cell>
          <cell r="AC251" t="str">
            <v>NO ACTIVO</v>
          </cell>
          <cell r="AD251"/>
          <cell r="AE251"/>
          <cell r="AF251">
            <v>45168</v>
          </cell>
          <cell r="AG251" t="str">
            <v>CESE DE CONTRATO</v>
          </cell>
          <cell r="AH251"/>
          <cell r="AI251" t="str">
            <v>25973152B</v>
          </cell>
        </row>
        <row r="252">
          <cell r="A252" t="str">
            <v>70253578D</v>
          </cell>
          <cell r="B252" t="str">
            <v>de Miguel Álvaro</v>
          </cell>
          <cell r="C252" t="str">
            <v>Alejandro</v>
          </cell>
          <cell r="D252" t="str">
            <v>de Miguel Álvaro, Alejandro</v>
          </cell>
          <cell r="E252" t="str">
            <v>ademiguela@professional.universidadviu.com</v>
          </cell>
          <cell r="F252" t="str">
            <v>ademiguela@professional.universidadviu.com</v>
          </cell>
          <cell r="G252" t="str">
            <v>Yes</v>
          </cell>
          <cell r="H252" t="str">
            <v>NO</v>
          </cell>
          <cell r="I252" t="str">
            <v>Doctor en Psicología</v>
          </cell>
          <cell r="J252" t="str">
            <v>Máster en Psicología General Sanitaria</v>
          </cell>
          <cell r="K252" t="str">
            <v>Grado en Psicología</v>
          </cell>
          <cell r="L252" t="str">
            <v/>
          </cell>
          <cell r="M252" t="str">
            <v>Professional</v>
          </cell>
          <cell r="N252" t="str">
            <v/>
          </cell>
          <cell r="O252" t="str">
            <v>CSS</v>
          </cell>
          <cell r="P252">
            <v>0</v>
          </cell>
          <cell r="Q252" t="str">
            <v xml:space="preserve"> </v>
          </cell>
          <cell r="R252"/>
          <cell r="S252"/>
          <cell r="T252" t="str">
            <v>Sin reducción</v>
          </cell>
          <cell r="U252">
            <v>0</v>
          </cell>
          <cell r="V252"/>
          <cell r="W252"/>
          <cell r="X252">
            <v>0</v>
          </cell>
          <cell r="Y252">
            <v>0</v>
          </cell>
          <cell r="Z252">
            <v>0</v>
          </cell>
          <cell r="AA252"/>
          <cell r="AB252" t="str">
            <v>Active - signed</v>
          </cell>
          <cell r="AC252" t="str">
            <v>ACTIVO</v>
          </cell>
          <cell r="AD252"/>
          <cell r="AE252"/>
          <cell r="AF252"/>
          <cell r="AG252"/>
          <cell r="AH252"/>
          <cell r="AI252" t="str">
            <v>70253578D</v>
          </cell>
        </row>
        <row r="253">
          <cell r="A253" t="str">
            <v>76997563A</v>
          </cell>
          <cell r="B253" t="str">
            <v>De Narciso González</v>
          </cell>
          <cell r="C253" t="str">
            <v>Miriam</v>
          </cell>
          <cell r="D253" t="str">
            <v>De Narciso González, Miriam</v>
          </cell>
          <cell r="E253" t="str">
            <v>miriam.denarcisog</v>
          </cell>
          <cell r="F253" t="str">
            <v>miriam.denarcisog@professional.universidadviu.com</v>
          </cell>
          <cell r="G253" t="str">
            <v>NO</v>
          </cell>
          <cell r="H253" t="str">
            <v>NO</v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>Professional</v>
          </cell>
          <cell r="N253" t="str">
            <v/>
          </cell>
          <cell r="O253" t="str">
            <v>CSS</v>
          </cell>
          <cell r="P253">
            <v>0</v>
          </cell>
          <cell r="Q253" t="str">
            <v xml:space="preserve"> </v>
          </cell>
          <cell r="R253"/>
          <cell r="S253"/>
          <cell r="T253" t="str">
            <v>Sin reducción</v>
          </cell>
          <cell r="U253">
            <v>0</v>
          </cell>
          <cell r="V253"/>
          <cell r="W253"/>
          <cell r="X253">
            <v>0</v>
          </cell>
          <cell r="Y253">
            <v>0</v>
          </cell>
          <cell r="Z253">
            <v>0</v>
          </cell>
          <cell r="AA253"/>
          <cell r="AB253" t="str">
            <v>Active - signed</v>
          </cell>
          <cell r="AC253" t="str">
            <v>ACTIVO</v>
          </cell>
          <cell r="AD253"/>
          <cell r="AE253"/>
          <cell r="AF253"/>
          <cell r="AG253"/>
          <cell r="AH253"/>
          <cell r="AI253" t="str">
            <v>76997563A</v>
          </cell>
        </row>
        <row r="254">
          <cell r="A254" t="str">
            <v>52904028A</v>
          </cell>
          <cell r="B254" t="str">
            <v>De Paz Ríos</v>
          </cell>
          <cell r="C254" t="str">
            <v>Juan Carlos</v>
          </cell>
          <cell r="D254" t="str">
            <v>De Paz Ríos, Juan Carlos</v>
          </cell>
          <cell r="E254" t="str">
            <v>jdepazr@professional.universidadviu.com</v>
          </cell>
          <cell r="F254" t="str">
            <v>jdepazr@professional.universidadviu.com</v>
          </cell>
          <cell r="G254" t="str">
            <v>Yes</v>
          </cell>
          <cell r="H254" t="str">
            <v>NO</v>
          </cell>
          <cell r="I254" t="str">
            <v>Doctorado en Psicología</v>
          </cell>
          <cell r="J254" t="str">
            <v>Máster en Física de la materia condensada y de los sistemas biológicos</v>
          </cell>
          <cell r="K254" t="str">
            <v>Grado en Psicología</v>
          </cell>
          <cell r="L254" t="str">
            <v/>
          </cell>
          <cell r="M254" t="str">
            <v>Professional</v>
          </cell>
          <cell r="N254" t="str">
            <v/>
          </cell>
          <cell r="O254" t="str">
            <v>CSS</v>
          </cell>
          <cell r="P254">
            <v>0</v>
          </cell>
          <cell r="Q254" t="str">
            <v xml:space="preserve"> </v>
          </cell>
          <cell r="R254"/>
          <cell r="S254"/>
          <cell r="T254" t="str">
            <v>Sin reducción</v>
          </cell>
          <cell r="U254">
            <v>0</v>
          </cell>
          <cell r="V254"/>
          <cell r="W254"/>
          <cell r="X254">
            <v>0</v>
          </cell>
          <cell r="Y254">
            <v>0</v>
          </cell>
          <cell r="Z254">
            <v>0</v>
          </cell>
          <cell r="AA254"/>
          <cell r="AB254" t="str">
            <v>Active - signed</v>
          </cell>
          <cell r="AC254" t="str">
            <v>ACTIVO</v>
          </cell>
          <cell r="AD254"/>
          <cell r="AE254"/>
          <cell r="AF254"/>
          <cell r="AG254"/>
          <cell r="AH254"/>
          <cell r="AI254" t="str">
            <v>52904028A</v>
          </cell>
        </row>
        <row r="255">
          <cell r="A255" t="str">
            <v>16613055V</v>
          </cell>
          <cell r="B255" t="str">
            <v>De Toro Hernando</v>
          </cell>
          <cell r="C255" t="str">
            <v>María</v>
          </cell>
          <cell r="D255" t="str">
            <v>De Toro Hernando, María</v>
          </cell>
          <cell r="E255" t="str">
            <v>maria.detoro</v>
          </cell>
          <cell r="F255" t="str">
            <v>maria.detoro@professor.universidadviu.com</v>
          </cell>
          <cell r="G255" t="str">
            <v>Yes</v>
          </cell>
          <cell r="H255" t="str">
            <v>Yes</v>
          </cell>
          <cell r="I255" t="str">
            <v>Bioquímica</v>
          </cell>
          <cell r="J255" t="str">
            <v>Doctorado en Alimentos y Salud Humana</v>
          </cell>
          <cell r="K255" t="str">
            <v>Diploma de Especialización en Análisis Bioinformático</v>
          </cell>
          <cell r="L255" t="str">
            <v>Certificado de Aptitud Pedagógica</v>
          </cell>
          <cell r="M255" t="str">
            <v>Labour</v>
          </cell>
          <cell r="N255"/>
          <cell r="O255" t="str">
            <v>CBS</v>
          </cell>
          <cell r="P255" t="str">
            <v>15,00</v>
          </cell>
          <cell r="Q255" t="b">
            <v>0</v>
          </cell>
          <cell r="R255"/>
          <cell r="S255"/>
          <cell r="T255" t="str">
            <v>Sin reducción</v>
          </cell>
          <cell r="U255">
            <v>0</v>
          </cell>
          <cell r="V255"/>
          <cell r="W255"/>
          <cell r="X255">
            <v>0</v>
          </cell>
          <cell r="Y255">
            <v>0</v>
          </cell>
          <cell r="Z255">
            <v>0</v>
          </cell>
          <cell r="AA255"/>
          <cell r="AB255" t="str">
            <v>Concluded</v>
          </cell>
          <cell r="AC255" t="str">
            <v>NO ACTIVO</v>
          </cell>
          <cell r="AD255"/>
          <cell r="AE255"/>
          <cell r="AF255">
            <v>45443</v>
          </cell>
          <cell r="AG255" t="str">
            <v>CESE DE CONTRATO</v>
          </cell>
          <cell r="AH255"/>
          <cell r="AI255" t="str">
            <v>16613055V</v>
          </cell>
        </row>
        <row r="256">
          <cell r="A256" t="str">
            <v>12424419A</v>
          </cell>
          <cell r="B256" t="str">
            <v>Del Barrio Herguedas</v>
          </cell>
          <cell r="C256" t="str">
            <v>Estefanía</v>
          </cell>
          <cell r="D256" t="str">
            <v>Del Barrio Herguedas, Estefanía</v>
          </cell>
          <cell r="E256" t="str">
            <v>estefania.delbarrio</v>
          </cell>
          <cell r="F256" t="str">
            <v>estefania.delbarrio@professional.universidadviu.com</v>
          </cell>
          <cell r="G256" t="str">
            <v>NO</v>
          </cell>
          <cell r="H256" t="str">
            <v>NO</v>
          </cell>
          <cell r="I256" t="str">
            <v>Psicología</v>
          </cell>
          <cell r="J256" t="str">
            <v>Graduada en Educación Socia</v>
          </cell>
          <cell r="K256" t="str">
            <v>Máster Universitario en Gerontología y atención centrada en la persona</v>
          </cell>
          <cell r="L256" t="str">
            <v>Graduada en Psicología</v>
          </cell>
          <cell r="M256" t="str">
            <v>Professional</v>
          </cell>
          <cell r="N256" t="str">
            <v/>
          </cell>
          <cell r="O256" t="str">
            <v>CSS</v>
          </cell>
          <cell r="P256">
            <v>0</v>
          </cell>
          <cell r="Q256" t="str">
            <v xml:space="preserve"> </v>
          </cell>
          <cell r="R256"/>
          <cell r="S256"/>
          <cell r="T256" t="str">
            <v>Sin reducción</v>
          </cell>
          <cell r="U256">
            <v>0</v>
          </cell>
          <cell r="V256"/>
          <cell r="W256"/>
          <cell r="X256">
            <v>0</v>
          </cell>
          <cell r="Y256">
            <v>0</v>
          </cell>
          <cell r="Z256">
            <v>0</v>
          </cell>
          <cell r="AA256"/>
          <cell r="AB256" t="str">
            <v>Active - signed</v>
          </cell>
          <cell r="AC256" t="str">
            <v>ACTIVO</v>
          </cell>
          <cell r="AD256"/>
          <cell r="AE256"/>
          <cell r="AF256"/>
          <cell r="AG256"/>
          <cell r="AH256"/>
          <cell r="AI256" t="str">
            <v>12424419A</v>
          </cell>
        </row>
        <row r="257">
          <cell r="A257" t="str">
            <v>71137965T</v>
          </cell>
          <cell r="B257" t="str">
            <v>Del Caño Espinel</v>
          </cell>
          <cell r="C257" t="str">
            <v>Manuela</v>
          </cell>
          <cell r="D257" t="str">
            <v>Del Caño Espinel, Manuela</v>
          </cell>
          <cell r="E257" t="str">
            <v>manuela.delcano</v>
          </cell>
          <cell r="F257" t="str">
            <v>manuela.delcano@professional.universidadviu.com</v>
          </cell>
          <cell r="G257" t="str">
            <v>Yes</v>
          </cell>
          <cell r="H257" t="str">
            <v>Yes</v>
          </cell>
          <cell r="I257" t="str">
            <v>Bioquímica</v>
          </cell>
          <cell r="J257" t="str">
            <v>Tecnica de las enseñanzas profesionales de musica en la especialidad de canto</v>
          </cell>
          <cell r="K257" t="str">
            <v>Master universitario en investigacion biomedica</v>
          </cell>
          <cell r="L257" t="str">
            <v>Doctorado en investigación biomedica</v>
          </cell>
          <cell r="M257" t="str">
            <v>Professional</v>
          </cell>
          <cell r="N257" t="str">
            <v/>
          </cell>
          <cell r="O257" t="str">
            <v>CBS/CSS</v>
          </cell>
          <cell r="P257">
            <v>0</v>
          </cell>
          <cell r="Q257" t="str">
            <v xml:space="preserve"> </v>
          </cell>
          <cell r="R257"/>
          <cell r="S257"/>
          <cell r="T257" t="str">
            <v>Sin reducción</v>
          </cell>
          <cell r="U257">
            <v>0</v>
          </cell>
          <cell r="V257"/>
          <cell r="W257"/>
          <cell r="X257">
            <v>0</v>
          </cell>
          <cell r="Y257">
            <v>0</v>
          </cell>
          <cell r="Z257">
            <v>0</v>
          </cell>
          <cell r="AA257"/>
          <cell r="AB257" t="str">
            <v>Active - signed</v>
          </cell>
          <cell r="AC257" t="str">
            <v>ACTIVO</v>
          </cell>
          <cell r="AD257"/>
          <cell r="AE257"/>
          <cell r="AF257"/>
          <cell r="AG257"/>
          <cell r="AH257"/>
          <cell r="AI257" t="str">
            <v>71137965T</v>
          </cell>
        </row>
        <row r="258">
          <cell r="A258" t="str">
            <v>24385011C</v>
          </cell>
          <cell r="B258" t="str">
            <v>del Castillo Laguna</v>
          </cell>
          <cell r="C258" t="str">
            <v>Laura</v>
          </cell>
          <cell r="D258" t="str">
            <v>del Castillo Laguna, Laura</v>
          </cell>
          <cell r="E258" t="str">
            <v>laura.delcastillo</v>
          </cell>
          <cell r="F258" t="str">
            <v>laura.delcastillo@professional.universidadviu.com</v>
          </cell>
          <cell r="G258" t="str">
            <v>NO</v>
          </cell>
          <cell r="H258" t="str">
            <v>NO</v>
          </cell>
          <cell r="I258" t="str">
            <v>Enfermería</v>
          </cell>
          <cell r="J258" t="str">
            <v>Master en Dirección y Gestión de Enfermería</v>
          </cell>
          <cell r="K258" t="str">
            <v/>
          </cell>
          <cell r="L258" t="str">
            <v/>
          </cell>
          <cell r="M258" t="str">
            <v>Professional</v>
          </cell>
          <cell r="N258" t="str">
            <v/>
          </cell>
          <cell r="O258" t="str">
            <v>CBS</v>
          </cell>
          <cell r="P258">
            <v>0</v>
          </cell>
          <cell r="Q258" t="str">
            <v xml:space="preserve"> </v>
          </cell>
          <cell r="R258"/>
          <cell r="S258"/>
          <cell r="T258" t="str">
            <v>Sin reducción</v>
          </cell>
          <cell r="U258">
            <v>0</v>
          </cell>
          <cell r="V258"/>
          <cell r="W258"/>
          <cell r="X258">
            <v>0</v>
          </cell>
          <cell r="Y258">
            <v>0</v>
          </cell>
          <cell r="Z258">
            <v>0</v>
          </cell>
          <cell r="AA258"/>
          <cell r="AB258" t="str">
            <v>Active - signed</v>
          </cell>
          <cell r="AC258" t="str">
            <v>ACTIVO</v>
          </cell>
          <cell r="AD258"/>
          <cell r="AE258"/>
          <cell r="AF258"/>
          <cell r="AG258"/>
          <cell r="AH258"/>
          <cell r="AI258" t="str">
            <v>24385011C</v>
          </cell>
        </row>
        <row r="259">
          <cell r="A259" t="str">
            <v>03512870B</v>
          </cell>
          <cell r="B259" t="str">
            <v>Del Prado Morales</v>
          </cell>
          <cell r="C259" t="str">
            <v>Mirtha</v>
          </cell>
          <cell r="D259" t="str">
            <v>Del Prado Morales, Mirtha</v>
          </cell>
          <cell r="E259" t="str">
            <v>mirtha.delprado</v>
          </cell>
          <cell r="F259" t="str">
            <v>mirtha.delprado@professor.universidadviu.com</v>
          </cell>
          <cell r="G259" t="str">
            <v>Yes</v>
          </cell>
          <cell r="H259" t="str">
            <v>Yes</v>
          </cell>
          <cell r="I259" t="str">
            <v>Psicología</v>
          </cell>
          <cell r="J259" t="str">
            <v>Psicología</v>
          </cell>
          <cell r="K259" t="str">
            <v>Máster en Cognición y Evolución Humana</v>
          </cell>
          <cell r="L259" t="str">
            <v>Licenciada en Psicología</v>
          </cell>
          <cell r="M259" t="str">
            <v>Labour</v>
          </cell>
          <cell r="N259" t="str">
            <v>Consultar a Facultad de Educación</v>
          </cell>
          <cell r="O259" t="str">
            <v>CSS</v>
          </cell>
          <cell r="P259">
            <v>100</v>
          </cell>
          <cell r="Q259" t="str">
            <v>50</v>
          </cell>
          <cell r="R259"/>
          <cell r="S259"/>
          <cell r="T259" t="str">
            <v>Sin reducción</v>
          </cell>
          <cell r="U259">
            <v>0</v>
          </cell>
          <cell r="V259">
            <v>28</v>
          </cell>
          <cell r="W259" t="str">
            <v>EDUCACIÓN</v>
          </cell>
          <cell r="X259">
            <v>22</v>
          </cell>
          <cell r="Y259">
            <v>0</v>
          </cell>
          <cell r="Z259">
            <v>0</v>
          </cell>
          <cell r="AA259"/>
          <cell r="AB259" t="str">
            <v>Active - signed</v>
          </cell>
          <cell r="AC259" t="str">
            <v>ACTIVO</v>
          </cell>
          <cell r="AD259"/>
          <cell r="AE259"/>
          <cell r="AF259"/>
          <cell r="AG259"/>
          <cell r="AH259"/>
          <cell r="AI259" t="str">
            <v>03512870B</v>
          </cell>
        </row>
        <row r="260">
          <cell r="A260" t="str">
            <v>04631428X</v>
          </cell>
          <cell r="B260" t="str">
            <v>Del Saz Lara</v>
          </cell>
          <cell r="C260" t="str">
            <v>Andrea</v>
          </cell>
          <cell r="D260" t="str">
            <v>Del Saz Lara, Andrea</v>
          </cell>
          <cell r="E260" t="str">
            <v>adelsazl@professor.universidadviu.com</v>
          </cell>
          <cell r="F260" t="str">
            <v>adelsazl@professor.universidadviu.com</v>
          </cell>
          <cell r="G260" t="str">
            <v>Yes</v>
          </cell>
          <cell r="H260" t="str">
            <v>NO</v>
          </cell>
          <cell r="I260" t="str">
            <v>Programa de Doctorado en Investigación Sociosanitaria y de la Actividad Física</v>
          </cell>
          <cell r="J260" t="str">
            <v/>
          </cell>
          <cell r="K260" t="str">
            <v/>
          </cell>
          <cell r="L260" t="str">
            <v/>
          </cell>
          <cell r="M260" t="str">
            <v>Labour</v>
          </cell>
          <cell r="N260" t="str">
            <v>Morell Esteve, Pere</v>
          </cell>
          <cell r="O260" t="str">
            <v>CBS</v>
          </cell>
          <cell r="P260">
            <v>30</v>
          </cell>
          <cell r="Q260" t="str">
            <v>24</v>
          </cell>
          <cell r="R260"/>
          <cell r="S260"/>
          <cell r="T260" t="str">
            <v>Sin reducción</v>
          </cell>
          <cell r="U260">
            <v>0</v>
          </cell>
          <cell r="V260"/>
          <cell r="W260"/>
          <cell r="X260">
            <v>0</v>
          </cell>
          <cell r="Y260">
            <v>23</v>
          </cell>
          <cell r="Z260">
            <v>0</v>
          </cell>
          <cell r="AA260"/>
          <cell r="AB260" t="str">
            <v>Active - signed</v>
          </cell>
          <cell r="AC260" t="str">
            <v>ACTIVO</v>
          </cell>
          <cell r="AD260"/>
          <cell r="AE260"/>
          <cell r="AF260"/>
          <cell r="AG260"/>
          <cell r="AH260"/>
          <cell r="AI260" t="str">
            <v>04631428X</v>
          </cell>
        </row>
        <row r="261">
          <cell r="A261" t="str">
            <v>53344676V</v>
          </cell>
          <cell r="B261" t="str">
            <v>Del Saz Navarro</v>
          </cell>
          <cell r="C261" t="str">
            <v>Dulcenombre de María</v>
          </cell>
          <cell r="D261" t="str">
            <v>Del Saz Navarro, Dulcenombre de María</v>
          </cell>
          <cell r="E261" t="str">
            <v>ddelsazn@professor.universidadviu.com</v>
          </cell>
          <cell r="F261" t="str">
            <v>ddelsazn@professor.universidadviu.com</v>
          </cell>
          <cell r="G261" t="str">
            <v>Yes</v>
          </cell>
          <cell r="H261" t="str">
            <v>NO</v>
          </cell>
          <cell r="I261" t="str">
            <v>Máster Universitario en Lógica, Computacion e Inteligencia Artificial</v>
          </cell>
          <cell r="J261" t="str">
            <v>Grado en Biología</v>
          </cell>
          <cell r="K261" t="str">
            <v/>
          </cell>
          <cell r="L261" t="str">
            <v/>
          </cell>
          <cell r="M261" t="str">
            <v>Labour</v>
          </cell>
          <cell r="N261" t="str">
            <v>Tronchoni León, Jordi</v>
          </cell>
          <cell r="O261" t="str">
            <v>CBS</v>
          </cell>
          <cell r="P261">
            <v>30</v>
          </cell>
          <cell r="Q261" t="str">
            <v>24</v>
          </cell>
          <cell r="R261"/>
          <cell r="S261"/>
          <cell r="T261" t="str">
            <v>Sin reducción</v>
          </cell>
          <cell r="U261">
            <v>0</v>
          </cell>
          <cell r="V261">
            <v>4</v>
          </cell>
          <cell r="W261" t="str">
            <v>ESCUELA</v>
          </cell>
          <cell r="X261">
            <v>0</v>
          </cell>
          <cell r="Y261">
            <v>0</v>
          </cell>
          <cell r="Z261">
            <v>20</v>
          </cell>
          <cell r="AA261"/>
          <cell r="AB261" t="str">
            <v>Active - signed</v>
          </cell>
          <cell r="AC261" t="str">
            <v>ACTIVO</v>
          </cell>
          <cell r="AD261"/>
          <cell r="AE261"/>
          <cell r="AF261"/>
          <cell r="AG261"/>
          <cell r="AH261"/>
          <cell r="AI261" t="str">
            <v>53344676V</v>
          </cell>
        </row>
        <row r="262">
          <cell r="A262" t="str">
            <v>56030335N</v>
          </cell>
          <cell r="B262" t="str">
            <v>Del Valle Carranza</v>
          </cell>
          <cell r="C262" t="str">
            <v>Andrea</v>
          </cell>
          <cell r="D262" t="str">
            <v>Del Valle Carranza, Andrea</v>
          </cell>
          <cell r="E262" t="str">
            <v>acarranza@professional.universidadviu.com</v>
          </cell>
          <cell r="F262" t="str">
            <v>acarranza@professional.universidadviu.com</v>
          </cell>
          <cell r="G262" t="str">
            <v>NO</v>
          </cell>
          <cell r="H262" t="str">
            <v>NO</v>
          </cell>
          <cell r="I262" t="str">
            <v>Doctora en Ciencias químicas</v>
          </cell>
          <cell r="J262" t="str">
            <v>Bioquimica</v>
          </cell>
          <cell r="K262" t="str">
            <v/>
          </cell>
          <cell r="L262" t="str">
            <v/>
          </cell>
          <cell r="M262" t="str">
            <v>Professional</v>
          </cell>
          <cell r="N262"/>
          <cell r="O262" t="str">
            <v>CBS/CSS</v>
          </cell>
          <cell r="P262">
            <v>0</v>
          </cell>
          <cell r="Q262" t="str">
            <v xml:space="preserve"> </v>
          </cell>
          <cell r="R262"/>
          <cell r="S262"/>
          <cell r="T262" t="str">
            <v>Sin reducción</v>
          </cell>
          <cell r="U262">
            <v>0</v>
          </cell>
          <cell r="V262"/>
          <cell r="W262"/>
          <cell r="X262">
            <v>0</v>
          </cell>
          <cell r="Y262">
            <v>0</v>
          </cell>
          <cell r="Z262">
            <v>0</v>
          </cell>
          <cell r="AA262"/>
          <cell r="AB262" t="str">
            <v>Active - signed</v>
          </cell>
          <cell r="AC262" t="str">
            <v>ACTIVO</v>
          </cell>
          <cell r="AD262"/>
          <cell r="AE262"/>
          <cell r="AF262"/>
          <cell r="AG262"/>
          <cell r="AH262"/>
          <cell r="AI262" t="str">
            <v>56030335N</v>
          </cell>
        </row>
        <row r="263">
          <cell r="A263" t="str">
            <v>VACL821001MDFLHL05</v>
          </cell>
          <cell r="B263" t="str">
            <v>Del Valle Chauvet</v>
          </cell>
          <cell r="C263" t="str">
            <v>Lilian</v>
          </cell>
          <cell r="D263" t="str">
            <v>Del Valle Chauvet, Lilian</v>
          </cell>
          <cell r="E263" t="str">
            <v>ldelvallec@professional.universidadviu.com</v>
          </cell>
          <cell r="F263" t="str">
            <v>ldelvallec@professional.universidadviu.com</v>
          </cell>
          <cell r="G263" t="str">
            <v>Yes</v>
          </cell>
          <cell r="H263" t="str">
            <v>NO</v>
          </cell>
          <cell r="I263" t="str">
            <v>Doctorado en Psicología Evolutiva y de la Educación</v>
          </cell>
          <cell r="J263" t="str">
            <v>Licenciatura en Pedagogía</v>
          </cell>
          <cell r="K263" t="str">
            <v/>
          </cell>
          <cell r="L263" t="str">
            <v/>
          </cell>
          <cell r="M263" t="str">
            <v>Professional</v>
          </cell>
          <cell r="N263"/>
          <cell r="O263" t="str">
            <v>CSS</v>
          </cell>
          <cell r="P263">
            <v>0</v>
          </cell>
          <cell r="Q263" t="str">
            <v xml:space="preserve"> </v>
          </cell>
          <cell r="R263"/>
          <cell r="S263"/>
          <cell r="T263" t="str">
            <v>Sin reducción</v>
          </cell>
          <cell r="U263">
            <v>0</v>
          </cell>
          <cell r="V263"/>
          <cell r="W263"/>
          <cell r="X263">
            <v>0</v>
          </cell>
          <cell r="Y263">
            <v>0</v>
          </cell>
          <cell r="Z263">
            <v>0</v>
          </cell>
          <cell r="AA263"/>
          <cell r="AB263" t="str">
            <v>Active - signed</v>
          </cell>
          <cell r="AC263" t="str">
            <v>ACTIVO</v>
          </cell>
          <cell r="AD263"/>
          <cell r="AE263"/>
          <cell r="AF263"/>
          <cell r="AG263"/>
          <cell r="AH263"/>
          <cell r="AI263" t="str">
            <v>VACL821001MDFLHL05</v>
          </cell>
        </row>
        <row r="264">
          <cell r="A264" t="str">
            <v>24389678H</v>
          </cell>
          <cell r="B264" t="str">
            <v>Del Zotto Libonati</v>
          </cell>
          <cell r="C264" t="str">
            <v>Patricia Mónica</v>
          </cell>
          <cell r="D264" t="str">
            <v>Del Zotto Libonati, Patricia Mónica</v>
          </cell>
          <cell r="E264" t="str">
            <v>patriciamonica.delzotto</v>
          </cell>
          <cell r="F264" t="str">
            <v>patriciamonica.delzotto@professional.universidadviu.com</v>
          </cell>
          <cell r="G264" t="str">
            <v>Yes</v>
          </cell>
          <cell r="H264" t="str">
            <v>NO</v>
          </cell>
          <cell r="I264" t="str">
            <v>Psicología</v>
          </cell>
          <cell r="J264" t="str">
            <v>Programa de Doctorado 300 G Activitat Humana i Processos Psicològics II</v>
          </cell>
          <cell r="K264" t="str">
            <v/>
          </cell>
          <cell r="L264" t="str">
            <v/>
          </cell>
          <cell r="M264" t="str">
            <v>Professional</v>
          </cell>
          <cell r="N264" t="str">
            <v/>
          </cell>
          <cell r="O264" t="str">
            <v>CSS</v>
          </cell>
          <cell r="P264">
            <v>0</v>
          </cell>
          <cell r="Q264" t="str">
            <v xml:space="preserve"> </v>
          </cell>
          <cell r="R264"/>
          <cell r="S264"/>
          <cell r="T264" t="str">
            <v>Sin reducción</v>
          </cell>
          <cell r="U264">
            <v>0</v>
          </cell>
          <cell r="V264"/>
          <cell r="W264"/>
          <cell r="X264">
            <v>0</v>
          </cell>
          <cell r="Y264">
            <v>0</v>
          </cell>
          <cell r="Z264">
            <v>0</v>
          </cell>
          <cell r="AA264"/>
          <cell r="AB264" t="str">
            <v>Active - signed</v>
          </cell>
          <cell r="AC264" t="str">
            <v>ACTIVO</v>
          </cell>
          <cell r="AD264"/>
          <cell r="AE264"/>
          <cell r="AF264"/>
          <cell r="AG264"/>
          <cell r="AH264"/>
          <cell r="AI264" t="str">
            <v>24389678H</v>
          </cell>
        </row>
        <row r="265">
          <cell r="A265" t="str">
            <v>45939501Z</v>
          </cell>
          <cell r="B265" t="str">
            <v>Delgado Cruz</v>
          </cell>
          <cell r="C265" t="str">
            <v>Atteneri</v>
          </cell>
          <cell r="D265" t="str">
            <v>Delgado Cruz, Atteneri</v>
          </cell>
          <cell r="E265" t="str">
            <v>atteneri.delgado</v>
          </cell>
          <cell r="F265" t="str">
            <v>atteneri.delgado@professor.universidadviu.com</v>
          </cell>
          <cell r="G265" t="str">
            <v>Yes</v>
          </cell>
          <cell r="H265" t="str">
            <v>NO</v>
          </cell>
          <cell r="I265" t="str">
            <v>Doctorado en educación</v>
          </cell>
          <cell r="J265" t="str">
            <v>Doctorado en educación</v>
          </cell>
          <cell r="K265" t="str">
            <v>Master universitario en estudios avanzados sobre el lenguaje, la comunicacion y sus patologias</v>
          </cell>
          <cell r="L265" t="str">
            <v>Graduada en logopedia</v>
          </cell>
          <cell r="M265" t="str">
            <v>Labour</v>
          </cell>
          <cell r="N265"/>
          <cell r="O265" t="str">
            <v>CBS</v>
          </cell>
          <cell r="P265">
            <v>100</v>
          </cell>
          <cell r="Q265" t="str">
            <v>50</v>
          </cell>
          <cell r="R265"/>
          <cell r="S265"/>
          <cell r="T265" t="str">
            <v>Sin reducción</v>
          </cell>
          <cell r="U265">
            <v>0</v>
          </cell>
          <cell r="V265">
            <v>42</v>
          </cell>
          <cell r="W265" t="str">
            <v>EDUCACIÓN</v>
          </cell>
          <cell r="X265">
            <v>0</v>
          </cell>
          <cell r="Y265">
            <v>0</v>
          </cell>
          <cell r="Z265">
            <v>0</v>
          </cell>
          <cell r="AA265"/>
          <cell r="AB265" t="str">
            <v>Concluded</v>
          </cell>
          <cell r="AC265" t="str">
            <v>NO ACTIVO</v>
          </cell>
          <cell r="AD265"/>
          <cell r="AE265"/>
          <cell r="AF265">
            <v>45616</v>
          </cell>
          <cell r="AG265" t="str">
            <v>CESE DE CONTRATO</v>
          </cell>
          <cell r="AH265"/>
          <cell r="AI265" t="str">
            <v>45939501Z</v>
          </cell>
        </row>
        <row r="266">
          <cell r="A266" t="str">
            <v>50970491F</v>
          </cell>
          <cell r="B266" t="str">
            <v>Delgado García</v>
          </cell>
          <cell r="C266" t="str">
            <v>Vanessa</v>
          </cell>
          <cell r="D266" t="str">
            <v>Delgado García, Vanessa</v>
          </cell>
          <cell r="E266" t="str">
            <v>vdelgadog@professional.universidadviu.com</v>
          </cell>
          <cell r="F266" t="str">
            <v>vdelgadog@professional.universidadviu.com</v>
          </cell>
          <cell r="G266" t="str">
            <v>NO</v>
          </cell>
          <cell r="H266" t="str">
            <v>NO</v>
          </cell>
          <cell r="I266" t="str">
            <v>Máster en Terapia de Conducta</v>
          </cell>
          <cell r="J266" t="str">
            <v>Master en terapias contextuales</v>
          </cell>
          <cell r="K266" t="str">
            <v/>
          </cell>
          <cell r="L266" t="str">
            <v/>
          </cell>
          <cell r="M266" t="str">
            <v>Professional</v>
          </cell>
          <cell r="N266" t="str">
            <v/>
          </cell>
          <cell r="O266" t="str">
            <v>CSS</v>
          </cell>
          <cell r="P266">
            <v>0</v>
          </cell>
          <cell r="Q266" t="str">
            <v xml:space="preserve"> </v>
          </cell>
          <cell r="R266"/>
          <cell r="S266"/>
          <cell r="T266" t="str">
            <v>Sin reducción</v>
          </cell>
          <cell r="U266">
            <v>0</v>
          </cell>
          <cell r="V266"/>
          <cell r="W266"/>
          <cell r="X266">
            <v>0</v>
          </cell>
          <cell r="Y266">
            <v>0</v>
          </cell>
          <cell r="Z266">
            <v>0</v>
          </cell>
          <cell r="AA266"/>
          <cell r="AB266" t="str">
            <v>Active - signed</v>
          </cell>
          <cell r="AC266" t="str">
            <v>ACTIVO</v>
          </cell>
          <cell r="AD266"/>
          <cell r="AE266"/>
          <cell r="AF266"/>
          <cell r="AG266"/>
          <cell r="AH266"/>
          <cell r="AI266" t="str">
            <v>50970491F</v>
          </cell>
        </row>
        <row r="267">
          <cell r="A267" t="str">
            <v>73591900L</v>
          </cell>
          <cell r="B267" t="str">
            <v>Delhom Peris</v>
          </cell>
          <cell r="C267" t="str">
            <v>Iraida</v>
          </cell>
          <cell r="D267" t="str">
            <v>Delhom Peris, Iraida</v>
          </cell>
          <cell r="E267" t="str">
            <v>iraida.delhom</v>
          </cell>
          <cell r="F267" t="str">
            <v>iraida.delhom@professor.universidadviu.com</v>
          </cell>
          <cell r="G267" t="str">
            <v>Yes</v>
          </cell>
          <cell r="H267" t="str">
            <v>Yes</v>
          </cell>
          <cell r="I267" t="str">
            <v>Doctorado</v>
          </cell>
          <cell r="J267" t="str">
            <v>Doctorado</v>
          </cell>
          <cell r="K267" t="str">
            <v>Grado en Psicología</v>
          </cell>
          <cell r="L267" t="str">
            <v/>
          </cell>
          <cell r="M267" t="str">
            <v>Labour</v>
          </cell>
          <cell r="N267"/>
          <cell r="O267" t="str">
            <v>CSS</v>
          </cell>
          <cell r="P267">
            <v>100</v>
          </cell>
          <cell r="Q267" t="str">
            <v>50</v>
          </cell>
          <cell r="R267"/>
          <cell r="S267"/>
          <cell r="T267" t="str">
            <v>Sin reducción</v>
          </cell>
          <cell r="U267">
            <v>0</v>
          </cell>
          <cell r="V267">
            <v>6</v>
          </cell>
          <cell r="W267" t="str">
            <v>EDUCACIÓN</v>
          </cell>
          <cell r="X267">
            <v>0</v>
          </cell>
          <cell r="Y267">
            <v>0</v>
          </cell>
          <cell r="Z267">
            <v>0</v>
          </cell>
          <cell r="AA267"/>
          <cell r="AB267" t="str">
            <v>Concluded</v>
          </cell>
          <cell r="AC267" t="str">
            <v>NO ACTIVO</v>
          </cell>
          <cell r="AD267"/>
          <cell r="AE267"/>
          <cell r="AF267">
            <v>45352</v>
          </cell>
          <cell r="AG267" t="str">
            <v>CESE DE CONTRATO</v>
          </cell>
          <cell r="AH267"/>
          <cell r="AI267" t="str">
            <v>73591900L</v>
          </cell>
        </row>
        <row r="268">
          <cell r="A268" t="str">
            <v>46230073G</v>
          </cell>
          <cell r="B268" t="str">
            <v>Demestre Viladevall</v>
          </cell>
          <cell r="C268" t="str">
            <v>Maria</v>
          </cell>
          <cell r="D268" t="str">
            <v>Demestre Viladevall, Maria</v>
          </cell>
          <cell r="E268" t="str">
            <v>mdemestrev@professional.universidadviu.com</v>
          </cell>
          <cell r="F268" t="str">
            <v>mdemestrev@professional.universidadviu.com</v>
          </cell>
          <cell r="G268" t="str">
            <v>Yes</v>
          </cell>
          <cell r="H268" t="str">
            <v>NO</v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>Professional</v>
          </cell>
          <cell r="N268"/>
          <cell r="O268" t="str">
            <v>CSS</v>
          </cell>
          <cell r="P268">
            <v>0</v>
          </cell>
          <cell r="Q268" t="str">
            <v xml:space="preserve"> </v>
          </cell>
          <cell r="R268"/>
          <cell r="S268"/>
          <cell r="T268" t="str">
            <v>Sin reducción</v>
          </cell>
          <cell r="U268">
            <v>0</v>
          </cell>
          <cell r="V268"/>
          <cell r="W268"/>
          <cell r="X268">
            <v>0</v>
          </cell>
          <cell r="Y268">
            <v>0</v>
          </cell>
          <cell r="Z268">
            <v>0</v>
          </cell>
          <cell r="AA268"/>
          <cell r="AB268" t="str">
            <v>Active - signed</v>
          </cell>
          <cell r="AC268" t="str">
            <v>ACTIVO</v>
          </cell>
          <cell r="AD268"/>
          <cell r="AE268"/>
          <cell r="AF268"/>
          <cell r="AG268"/>
          <cell r="AH268"/>
          <cell r="AI268" t="str">
            <v>46230073G</v>
          </cell>
        </row>
        <row r="269">
          <cell r="A269" t="str">
            <v>PE002604198</v>
          </cell>
          <cell r="B269" t="str">
            <v>Deroncele Acosta</v>
          </cell>
          <cell r="C269" t="str">
            <v>Ángel</v>
          </cell>
          <cell r="D269" t="str">
            <v>Deroncele Acosta, Ángel</v>
          </cell>
          <cell r="E269" t="str">
            <v>angel.deroncele</v>
          </cell>
          <cell r="F269" t="str">
            <v>angel.deroncele@professional.universidadviu.com</v>
          </cell>
          <cell r="G269" t="str">
            <v>Yes</v>
          </cell>
          <cell r="H269" t="str">
            <v>Yes</v>
          </cell>
          <cell r="I269" t="str">
            <v>Doctor en Ciencias Pedagógicas</v>
          </cell>
          <cell r="J269" t="str">
            <v>Ciencias Pedagógicas</v>
          </cell>
          <cell r="K269" t="str">
            <v>Máster en Ciencias Sociales y Pensamiento Martiano</v>
          </cell>
          <cell r="L269" t="str">
            <v>Master en Ciencias sociales y pensamiento martiano</v>
          </cell>
          <cell r="M269" t="str">
            <v>Professional</v>
          </cell>
          <cell r="N269"/>
          <cell r="O269" t="str">
            <v>CSS</v>
          </cell>
          <cell r="P269">
            <v>0</v>
          </cell>
          <cell r="Q269" t="str">
            <v xml:space="preserve"> </v>
          </cell>
          <cell r="R269"/>
          <cell r="S269"/>
          <cell r="T269" t="str">
            <v>Sin reducción</v>
          </cell>
          <cell r="U269">
            <v>0</v>
          </cell>
          <cell r="V269"/>
          <cell r="W269"/>
          <cell r="X269">
            <v>0</v>
          </cell>
          <cell r="Y269">
            <v>0</v>
          </cell>
          <cell r="Z269">
            <v>0</v>
          </cell>
          <cell r="AA269"/>
          <cell r="AB269" t="str">
            <v>Active - signed</v>
          </cell>
          <cell r="AC269" t="str">
            <v>ACTIVO</v>
          </cell>
          <cell r="AD269"/>
          <cell r="AE269"/>
          <cell r="AF269"/>
          <cell r="AG269"/>
          <cell r="AH269"/>
          <cell r="AI269" t="str">
            <v>PE002604198</v>
          </cell>
        </row>
        <row r="270">
          <cell r="A270" t="str">
            <v>AAG012942</v>
          </cell>
          <cell r="B270" t="str">
            <v>Di Domizio</v>
          </cell>
          <cell r="C270" t="str">
            <v>Débora Paola</v>
          </cell>
          <cell r="D270" t="str">
            <v>Di Domizio, Débora Paola</v>
          </cell>
          <cell r="E270" t="str">
            <v>deborapaola.didomizio</v>
          </cell>
          <cell r="F270" t="str">
            <v>deborapaola.didomizio@professional.universidadviu.com</v>
          </cell>
          <cell r="G270" t="str">
            <v>Yes</v>
          </cell>
          <cell r="H270" t="str">
            <v>NO</v>
          </cell>
          <cell r="I270" t="str">
            <v>Doctorado</v>
          </cell>
          <cell r="J270" t="str">
            <v>Especialista e Gerontología Comunitaria e institucional</v>
          </cell>
          <cell r="K270">
            <v>0</v>
          </cell>
          <cell r="L270" t="str">
            <v/>
          </cell>
          <cell r="M270" t="str">
            <v>Professional</v>
          </cell>
          <cell r="N270" t="str">
            <v/>
          </cell>
          <cell r="O270" t="str">
            <v>CSS</v>
          </cell>
          <cell r="P270">
            <v>0</v>
          </cell>
          <cell r="Q270" t="str">
            <v xml:space="preserve"> </v>
          </cell>
          <cell r="R270"/>
          <cell r="S270"/>
          <cell r="T270" t="str">
            <v>Sin reducción</v>
          </cell>
          <cell r="U270">
            <v>0</v>
          </cell>
          <cell r="V270"/>
          <cell r="W270"/>
          <cell r="X270">
            <v>0</v>
          </cell>
          <cell r="Y270">
            <v>0</v>
          </cell>
          <cell r="Z270">
            <v>0</v>
          </cell>
          <cell r="AA270"/>
          <cell r="AB270" t="str">
            <v>Active - signed</v>
          </cell>
          <cell r="AC270" t="str">
            <v>ACTIVO</v>
          </cell>
          <cell r="AD270"/>
          <cell r="AE270"/>
          <cell r="AF270"/>
          <cell r="AG270"/>
          <cell r="AH270"/>
          <cell r="AI270" t="str">
            <v>AAG012942</v>
          </cell>
        </row>
        <row r="271">
          <cell r="A271" t="str">
            <v>Y1659254W</v>
          </cell>
          <cell r="B271" t="str">
            <v>Di Serio</v>
          </cell>
          <cell r="C271" t="str">
            <v>Angela</v>
          </cell>
          <cell r="D271" t="str">
            <v>Di Serio, Angela</v>
          </cell>
          <cell r="E271" t="str">
            <v>angela.diserio</v>
          </cell>
          <cell r="F271" t="str">
            <v>angela.diserio@professor.universidadviu.com</v>
          </cell>
          <cell r="G271" t="str">
            <v>NO</v>
          </cell>
          <cell r="H271" t="str">
            <v>NO</v>
          </cell>
          <cell r="I271" t="str">
            <v>Ingeniero Informático</v>
          </cell>
          <cell r="J271" t="str">
            <v/>
          </cell>
          <cell r="K271" t="str">
            <v/>
          </cell>
          <cell r="L271" t="str">
            <v/>
          </cell>
          <cell r="M271" t="str">
            <v>Labour</v>
          </cell>
          <cell r="N271" t="str">
            <v>Consultar a Escuela de Ciencias, Ingeniería y Arquitectura</v>
          </cell>
          <cell r="O271" t="str">
            <v>CBS</v>
          </cell>
          <cell r="P271">
            <v>100</v>
          </cell>
          <cell r="Q271" t="str">
            <v>50</v>
          </cell>
          <cell r="R271"/>
          <cell r="S271"/>
          <cell r="T271" t="str">
            <v>Sin reducción</v>
          </cell>
          <cell r="U271">
            <v>0</v>
          </cell>
          <cell r="V271">
            <v>45.5</v>
          </cell>
          <cell r="W271" t="str">
            <v>ESCUELA (ECTS+Reducciones)</v>
          </cell>
          <cell r="X271">
            <v>0</v>
          </cell>
          <cell r="Y271">
            <v>0</v>
          </cell>
          <cell r="Z271">
            <v>4.5</v>
          </cell>
          <cell r="AA271"/>
          <cell r="AB271" t="str">
            <v>Active - signed</v>
          </cell>
          <cell r="AC271" t="str">
            <v>ACTIVO</v>
          </cell>
          <cell r="AD271"/>
          <cell r="AE271"/>
          <cell r="AF271"/>
          <cell r="AG271"/>
          <cell r="AH271"/>
          <cell r="AI271" t="str">
            <v>Y1659254W</v>
          </cell>
        </row>
        <row r="272">
          <cell r="A272" t="str">
            <v>45648804Z</v>
          </cell>
          <cell r="B272" t="str">
            <v>Diana Pérez</v>
          </cell>
          <cell r="C272" t="str">
            <v>Marina</v>
          </cell>
          <cell r="D272" t="str">
            <v>Diana Pérez, Marina</v>
          </cell>
          <cell r="E272" t="str">
            <v>marina.diana</v>
          </cell>
          <cell r="F272" t="str">
            <v>marina.diana@professional.universidadviu.com</v>
          </cell>
          <cell r="G272" t="str">
            <v>Yes</v>
          </cell>
          <cell r="H272" t="str">
            <v>Yes</v>
          </cell>
          <cell r="I272" t="str">
            <v>Ciencia y tecnología de los alimentos</v>
          </cell>
          <cell r="J272" t="str">
            <v>Doctora en Alimentación y Nutrición</v>
          </cell>
          <cell r="K272" t="str">
            <v>Master Universitario en Biotecnología Molecular</v>
          </cell>
          <cell r="L272" t="str">
            <v/>
          </cell>
          <cell r="M272" t="str">
            <v>Professional</v>
          </cell>
          <cell r="N272" t="str">
            <v/>
          </cell>
          <cell r="O272" t="str">
            <v>CBS</v>
          </cell>
          <cell r="P272">
            <v>0</v>
          </cell>
          <cell r="Q272" t="str">
            <v xml:space="preserve"> </v>
          </cell>
          <cell r="R272"/>
          <cell r="S272"/>
          <cell r="T272" t="str">
            <v>Sin reducción</v>
          </cell>
          <cell r="U272">
            <v>0</v>
          </cell>
          <cell r="V272"/>
          <cell r="W272"/>
          <cell r="X272">
            <v>0</v>
          </cell>
          <cell r="Y272">
            <v>0</v>
          </cell>
          <cell r="Z272">
            <v>0</v>
          </cell>
          <cell r="AA272"/>
          <cell r="AB272" t="str">
            <v>Active - signed</v>
          </cell>
          <cell r="AC272" t="str">
            <v>ACTIVO</v>
          </cell>
          <cell r="AD272"/>
          <cell r="AE272"/>
          <cell r="AF272"/>
          <cell r="AG272"/>
          <cell r="AH272"/>
          <cell r="AI272" t="str">
            <v>45648804Z</v>
          </cell>
        </row>
        <row r="273">
          <cell r="A273" t="str">
            <v>71084438V</v>
          </cell>
          <cell r="B273" t="str">
            <v>Díaz Baquero</v>
          </cell>
          <cell r="C273" t="str">
            <v>Angie Alejandra</v>
          </cell>
          <cell r="D273" t="str">
            <v>Díaz Baquero, Angie Alejandra</v>
          </cell>
          <cell r="E273" t="str">
            <v>adiazb@professional.universidadviu.com</v>
          </cell>
          <cell r="F273" t="str">
            <v>adiazb@professional.universidadviu.com</v>
          </cell>
          <cell r="G273" t="str">
            <v>Yes</v>
          </cell>
          <cell r="H273" t="str">
            <v>NO</v>
          </cell>
          <cell r="I273" t="str">
            <v>Doctorado en Biociencias: Biología y Clínica del Cáncer y Medicina Traslacional</v>
          </cell>
          <cell r="J273" t="str">
            <v>Máster en Neuropsicología</v>
          </cell>
          <cell r="K273" t="str">
            <v>Grado en psicología</v>
          </cell>
          <cell r="L273" t="str">
            <v/>
          </cell>
          <cell r="M273" t="str">
            <v>Professional</v>
          </cell>
          <cell r="N273" t="str">
            <v/>
          </cell>
          <cell r="O273" t="str">
            <v>CSS</v>
          </cell>
          <cell r="P273">
            <v>0</v>
          </cell>
          <cell r="Q273" t="str">
            <v xml:space="preserve"> </v>
          </cell>
          <cell r="R273"/>
          <cell r="S273"/>
          <cell r="T273" t="str">
            <v>Sin reducción</v>
          </cell>
          <cell r="U273">
            <v>0</v>
          </cell>
          <cell r="V273"/>
          <cell r="W273"/>
          <cell r="X273">
            <v>0</v>
          </cell>
          <cell r="Y273">
            <v>0</v>
          </cell>
          <cell r="Z273">
            <v>0</v>
          </cell>
          <cell r="AA273"/>
          <cell r="AB273" t="str">
            <v>Concluded</v>
          </cell>
          <cell r="AC273" t="str">
            <v>NO ACTIVO</v>
          </cell>
          <cell r="AD273"/>
          <cell r="AE273"/>
          <cell r="AF273"/>
          <cell r="AG273" t="str">
            <v>CESE DE CONTRATO</v>
          </cell>
          <cell r="AH273"/>
          <cell r="AI273" t="str">
            <v>71084438V</v>
          </cell>
        </row>
        <row r="274">
          <cell r="A274" t="str">
            <v>48521632G</v>
          </cell>
          <cell r="B274" t="str">
            <v>Díaz Bastida</v>
          </cell>
          <cell r="C274" t="str">
            <v>María Dolores</v>
          </cell>
          <cell r="D274" t="str">
            <v>Díaz Bastida, María Dolores</v>
          </cell>
          <cell r="E274" t="str">
            <v>mdiazb@professional.universidadviu.com</v>
          </cell>
          <cell r="F274" t="str">
            <v>mdiazb@professional.universidadviu.com</v>
          </cell>
          <cell r="G274" t="str">
            <v>Yes</v>
          </cell>
          <cell r="H274" t="str">
            <v>NO</v>
          </cell>
          <cell r="I274" t="str">
            <v>Doctorado en Psicología</v>
          </cell>
          <cell r="J274" t="str">
            <v>Máster Universitario en Psicología de la Educación</v>
          </cell>
          <cell r="K274" t="str">
            <v>Licenciada en Psicología</v>
          </cell>
          <cell r="L274" t="str">
            <v/>
          </cell>
          <cell r="M274" t="str">
            <v>Professional</v>
          </cell>
          <cell r="N274" t="str">
            <v/>
          </cell>
          <cell r="O274" t="str">
            <v>CSS</v>
          </cell>
          <cell r="P274">
            <v>0</v>
          </cell>
          <cell r="Q274" t="str">
            <v xml:space="preserve"> </v>
          </cell>
          <cell r="R274"/>
          <cell r="S274"/>
          <cell r="T274" t="str">
            <v>Sin reducción</v>
          </cell>
          <cell r="U274">
            <v>0</v>
          </cell>
          <cell r="V274"/>
          <cell r="W274"/>
          <cell r="X274">
            <v>0</v>
          </cell>
          <cell r="Y274">
            <v>0</v>
          </cell>
          <cell r="Z274">
            <v>0</v>
          </cell>
          <cell r="AA274"/>
          <cell r="AB274" t="str">
            <v>Active - signed</v>
          </cell>
          <cell r="AC274" t="str">
            <v>ACTIVO</v>
          </cell>
          <cell r="AD274"/>
          <cell r="AE274"/>
          <cell r="AF274"/>
          <cell r="AG274"/>
          <cell r="AH274"/>
          <cell r="AI274" t="str">
            <v>48521632G</v>
          </cell>
        </row>
        <row r="275">
          <cell r="A275" t="str">
            <v>52502038F</v>
          </cell>
          <cell r="B275" t="str">
            <v>Díaz Cordobés</v>
          </cell>
          <cell r="C275" t="str">
            <v>José Luis</v>
          </cell>
          <cell r="D275" t="str">
            <v>Díaz Cordobés, José Luis</v>
          </cell>
          <cell r="E275" t="str">
            <v>joseluis.diaz.c</v>
          </cell>
          <cell r="F275" t="str">
            <v>joseluis.diaz.c@professor.universidadviu.com</v>
          </cell>
          <cell r="G275" t="str">
            <v>Yes</v>
          </cell>
          <cell r="H275" t="str">
            <v>Yes</v>
          </cell>
          <cell r="I275" t="str">
            <v>Psicología</v>
          </cell>
          <cell r="J275" t="str">
            <v>Licenciado en Psicología</v>
          </cell>
          <cell r="K275" t="str">
            <v>Licenciado en Psicología</v>
          </cell>
          <cell r="L275" t="str">
            <v/>
          </cell>
          <cell r="M275" t="str">
            <v>Labour</v>
          </cell>
          <cell r="N275" t="str">
            <v>Hernández Saguar, Aida Esther</v>
          </cell>
          <cell r="O275" t="str">
            <v>CSS</v>
          </cell>
          <cell r="P275">
            <v>30</v>
          </cell>
          <cell r="Q275" t="str">
            <v>24</v>
          </cell>
          <cell r="R275"/>
          <cell r="S275"/>
          <cell r="T275" t="str">
            <v>Sin reducción</v>
          </cell>
          <cell r="U275">
            <v>0</v>
          </cell>
          <cell r="V275"/>
          <cell r="W275"/>
          <cell r="X275">
            <v>24</v>
          </cell>
          <cell r="Y275">
            <v>0</v>
          </cell>
          <cell r="Z275">
            <v>0.7</v>
          </cell>
          <cell r="AA275"/>
          <cell r="AB275" t="str">
            <v>Active - signed</v>
          </cell>
          <cell r="AC275" t="str">
            <v>ACTIVO</v>
          </cell>
          <cell r="AD275"/>
          <cell r="AE275"/>
          <cell r="AF275"/>
          <cell r="AG275"/>
          <cell r="AH275"/>
          <cell r="AI275" t="str">
            <v>52502038F</v>
          </cell>
        </row>
        <row r="276">
          <cell r="A276" t="str">
            <v>09815446N</v>
          </cell>
          <cell r="B276" t="str">
            <v>Díaz García</v>
          </cell>
          <cell r="C276" t="str">
            <v>Guillermo</v>
          </cell>
          <cell r="D276" t="str">
            <v>Díaz García, Guillermo</v>
          </cell>
          <cell r="E276" t="str">
            <v>guillermo.diaz.g</v>
          </cell>
          <cell r="F276" t="str">
            <v>guillermo.diaz.g@professional.universidadviu.com</v>
          </cell>
          <cell r="G276" t="str">
            <v>NO</v>
          </cell>
          <cell r="H276" t="str">
            <v>NO</v>
          </cell>
          <cell r="I276" t="str">
            <v>Psicología</v>
          </cell>
          <cell r="J276" t="str">
            <v>Master en psiclogía clínica, legal y forense</v>
          </cell>
          <cell r="K276" t="str">
            <v/>
          </cell>
          <cell r="L276" t="str">
            <v/>
          </cell>
          <cell r="M276" t="str">
            <v>Professional</v>
          </cell>
          <cell r="N276" t="str">
            <v/>
          </cell>
          <cell r="O276" t="str">
            <v>CSS</v>
          </cell>
          <cell r="P276">
            <v>0</v>
          </cell>
          <cell r="Q276" t="str">
            <v xml:space="preserve"> </v>
          </cell>
          <cell r="R276"/>
          <cell r="S276"/>
          <cell r="T276" t="str">
            <v>Sin reducción</v>
          </cell>
          <cell r="U276">
            <v>0</v>
          </cell>
          <cell r="V276"/>
          <cell r="W276"/>
          <cell r="X276">
            <v>0</v>
          </cell>
          <cell r="Y276">
            <v>0</v>
          </cell>
          <cell r="Z276">
            <v>0</v>
          </cell>
          <cell r="AA276"/>
          <cell r="AB276" t="str">
            <v>Active - signed</v>
          </cell>
          <cell r="AC276" t="str">
            <v>ACTIVO</v>
          </cell>
          <cell r="AD276"/>
          <cell r="AE276"/>
          <cell r="AF276"/>
          <cell r="AG276"/>
          <cell r="AH276"/>
          <cell r="AI276" t="str">
            <v>09815446N</v>
          </cell>
        </row>
        <row r="277">
          <cell r="A277" t="str">
            <v>52412125R</v>
          </cell>
          <cell r="B277" t="str">
            <v>Díaz García</v>
          </cell>
          <cell r="C277" t="str">
            <v>Iván</v>
          </cell>
          <cell r="D277" t="str">
            <v>Díaz García, Iván</v>
          </cell>
          <cell r="E277" t="str">
            <v>idiazg@professor.universidadviu.com</v>
          </cell>
          <cell r="F277" t="str">
            <v>idiazg@professor.universidadviu.com</v>
          </cell>
          <cell r="G277" t="str">
            <v>Yes</v>
          </cell>
          <cell r="H277" t="str">
            <v>NO</v>
          </cell>
          <cell r="I277" t="str">
            <v>Doctorado en Neurociencias</v>
          </cell>
          <cell r="J277" t="str">
            <v>Doctorado en Neurociencias</v>
          </cell>
          <cell r="K277" t="str">
            <v>Máster Universitario en Trastornos de la Comunicación: Neurociencia de la Audición y el Lenguaje</v>
          </cell>
          <cell r="L277" t="str">
            <v>Licenciatura en Psicología</v>
          </cell>
          <cell r="M277" t="str">
            <v>Labour</v>
          </cell>
          <cell r="N277" t="str">
            <v>Iranzo Ejarque, Begoña</v>
          </cell>
          <cell r="O277" t="str">
            <v>CSS</v>
          </cell>
          <cell r="P277">
            <v>100</v>
          </cell>
          <cell r="Q277" t="str">
            <v>50</v>
          </cell>
          <cell r="R277"/>
          <cell r="S277"/>
          <cell r="T277" t="str">
            <v>Sin reducción</v>
          </cell>
          <cell r="U277">
            <v>0</v>
          </cell>
          <cell r="V277"/>
          <cell r="W277"/>
          <cell r="X277">
            <v>39</v>
          </cell>
          <cell r="Y277">
            <v>0</v>
          </cell>
          <cell r="Z277">
            <v>0</v>
          </cell>
          <cell r="AA277"/>
          <cell r="AB277" t="str">
            <v>Active - signed</v>
          </cell>
          <cell r="AC277" t="str">
            <v>ACTIVO</v>
          </cell>
          <cell r="AD277"/>
          <cell r="AE277"/>
          <cell r="AF277"/>
          <cell r="AG277"/>
          <cell r="AH277"/>
          <cell r="AI277" t="str">
            <v>52412125R</v>
          </cell>
        </row>
        <row r="278">
          <cell r="A278" t="str">
            <v>72145747Z</v>
          </cell>
          <cell r="B278" t="str">
            <v>Díaz Martínez</v>
          </cell>
          <cell r="C278" t="str">
            <v>Marta</v>
          </cell>
          <cell r="D278" t="str">
            <v>Díaz Martínez, Marta</v>
          </cell>
          <cell r="E278" t="str">
            <v>marta.diaz.mtz</v>
          </cell>
          <cell r="F278" t="str">
            <v>marta.diaz.mtz@professional.universidadviu.com</v>
          </cell>
          <cell r="G278" t="str">
            <v>Yes</v>
          </cell>
          <cell r="H278" t="str">
            <v>NO</v>
          </cell>
          <cell r="I278" t="str">
            <v>Bioquímica</v>
          </cell>
          <cell r="J278" t="str">
            <v>Máster universitario en formación del profesorado de educación secundaria obligatoria, bachillerato, formación profesional y enseñanza de idiomas</v>
          </cell>
          <cell r="K278" t="str">
            <v>Máster universitario en Bioquímica, biología molecular y biomedicina</v>
          </cell>
          <cell r="L278" t="str">
            <v>Licenciada en Biología</v>
          </cell>
          <cell r="M278" t="str">
            <v>Professional</v>
          </cell>
          <cell r="N278" t="str">
            <v/>
          </cell>
          <cell r="O278" t="str">
            <v>CBS</v>
          </cell>
          <cell r="P278">
            <v>0</v>
          </cell>
          <cell r="Q278" t="str">
            <v xml:space="preserve"> </v>
          </cell>
          <cell r="R278"/>
          <cell r="S278"/>
          <cell r="T278" t="str">
            <v>Sin reducción</v>
          </cell>
          <cell r="U278">
            <v>0</v>
          </cell>
          <cell r="V278"/>
          <cell r="W278"/>
          <cell r="X278">
            <v>0</v>
          </cell>
          <cell r="Y278">
            <v>0</v>
          </cell>
          <cell r="Z278">
            <v>0</v>
          </cell>
          <cell r="AA278"/>
          <cell r="AB278" t="str">
            <v>Active - signed</v>
          </cell>
          <cell r="AC278" t="str">
            <v>ACTIVO</v>
          </cell>
          <cell r="AD278"/>
          <cell r="AE278"/>
          <cell r="AF278"/>
          <cell r="AG278"/>
          <cell r="AH278"/>
          <cell r="AI278" t="str">
            <v>72145747Z</v>
          </cell>
        </row>
        <row r="279">
          <cell r="A279" t="str">
            <v>44763464J</v>
          </cell>
          <cell r="B279" t="str">
            <v>Díaz Planelles</v>
          </cell>
          <cell r="C279" t="str">
            <v>Isabel</v>
          </cell>
          <cell r="D279" t="str">
            <v>Díaz Planelles, Isabel</v>
          </cell>
          <cell r="E279" t="str">
            <v>isabel.diaz.p</v>
          </cell>
          <cell r="F279" t="str">
            <v>isabel.diaz.p@professional.universidadviu.com</v>
          </cell>
          <cell r="G279" t="str">
            <v>NO</v>
          </cell>
          <cell r="H279" t="str">
            <v>NO</v>
          </cell>
          <cell r="I279" t="str">
            <v>Farmacia</v>
          </cell>
          <cell r="J279" t="str">
            <v>Diplomado de farmacéutico de salud pública</v>
          </cell>
          <cell r="K279" t="str">
            <v>DEA</v>
          </cell>
          <cell r="L279" t="str">
            <v/>
          </cell>
          <cell r="M279" t="str">
            <v>Professional</v>
          </cell>
          <cell r="N279" t="str">
            <v/>
          </cell>
          <cell r="O279" t="str">
            <v>CBS</v>
          </cell>
          <cell r="P279">
            <v>0</v>
          </cell>
          <cell r="Q279" t="str">
            <v xml:space="preserve"> </v>
          </cell>
          <cell r="R279"/>
          <cell r="S279"/>
          <cell r="T279" t="str">
            <v>Sin reducción</v>
          </cell>
          <cell r="U279">
            <v>0</v>
          </cell>
          <cell r="V279"/>
          <cell r="W279"/>
          <cell r="X279">
            <v>0</v>
          </cell>
          <cell r="Y279">
            <v>0</v>
          </cell>
          <cell r="Z279">
            <v>0</v>
          </cell>
          <cell r="AA279"/>
          <cell r="AB279" t="str">
            <v>Active - signed</v>
          </cell>
          <cell r="AC279" t="str">
            <v>ACTIVO</v>
          </cell>
          <cell r="AD279"/>
          <cell r="AE279"/>
          <cell r="AF279"/>
          <cell r="AG279"/>
          <cell r="AH279"/>
          <cell r="AI279" t="str">
            <v>44763464J</v>
          </cell>
        </row>
        <row r="280">
          <cell r="A280" t="str">
            <v>28758983J</v>
          </cell>
          <cell r="B280" t="str">
            <v>Díaz Rodríguez</v>
          </cell>
          <cell r="C280" t="str">
            <v>Carlos</v>
          </cell>
          <cell r="D280" t="str">
            <v>Díaz Rodríguez, Carlos</v>
          </cell>
          <cell r="E280" t="str">
            <v>cdiazr1@professional.universidadviu.com</v>
          </cell>
          <cell r="F280" t="str">
            <v>aquilezr@professional.universidadviu.com</v>
          </cell>
          <cell r="G280" t="str">
            <v>Yes</v>
          </cell>
          <cell r="H280" t="str">
            <v>NO</v>
          </cell>
          <cell r="I280" t="str">
            <v>Licenciado en Psicología</v>
          </cell>
          <cell r="J280" t="str">
            <v>Doctorado en Psicologia</v>
          </cell>
          <cell r="K280" t="str">
            <v>Máster en Formación del Profesorado</v>
          </cell>
          <cell r="L280" t="str">
            <v/>
          </cell>
          <cell r="M280" t="str">
            <v>Professional</v>
          </cell>
          <cell r="N280" t="str">
            <v/>
          </cell>
          <cell r="O280" t="str">
            <v>CSS</v>
          </cell>
          <cell r="P280">
            <v>0</v>
          </cell>
          <cell r="Q280" t="str">
            <v xml:space="preserve"> </v>
          </cell>
          <cell r="R280"/>
          <cell r="S280"/>
          <cell r="T280" t="str">
            <v>Sin reducción</v>
          </cell>
          <cell r="U280">
            <v>0</v>
          </cell>
          <cell r="V280"/>
          <cell r="W280"/>
          <cell r="X280">
            <v>0</v>
          </cell>
          <cell r="Y280">
            <v>0</v>
          </cell>
          <cell r="Z280">
            <v>0</v>
          </cell>
          <cell r="AA280"/>
          <cell r="AB280" t="str">
            <v>Active - signed</v>
          </cell>
          <cell r="AC280" t="str">
            <v>ACTIVO</v>
          </cell>
          <cell r="AD280"/>
          <cell r="AE280"/>
          <cell r="AF280"/>
          <cell r="AG280"/>
          <cell r="AH280"/>
          <cell r="AI280" t="str">
            <v>28758983J</v>
          </cell>
        </row>
        <row r="281">
          <cell r="A281" t="str">
            <v>50963373L</v>
          </cell>
          <cell r="B281" t="str">
            <v>Díaz Rosell</v>
          </cell>
          <cell r="C281" t="str">
            <v>Montserrat</v>
          </cell>
          <cell r="D281" t="str">
            <v>Díaz Rosell, Montserrat</v>
          </cell>
          <cell r="E281" t="str">
            <v>montserrat.diaz.r</v>
          </cell>
          <cell r="F281" t="str">
            <v>montserrat.diaz.r@professor.universidadviu.com</v>
          </cell>
          <cell r="G281" t="str">
            <v>Yes</v>
          </cell>
          <cell r="H281" t="str">
            <v>Yes</v>
          </cell>
          <cell r="I281" t="str">
            <v>Programa de Doctorado en Medicina Traslacional</v>
          </cell>
          <cell r="J281" t="str">
            <v>Programa de Doctorado en Medicina Traslacional</v>
          </cell>
          <cell r="K281" t="str">
            <v>Licenciada Psicología</v>
          </cell>
          <cell r="L281" t="str">
            <v/>
          </cell>
          <cell r="M281" t="str">
            <v>Labour</v>
          </cell>
          <cell r="N281"/>
          <cell r="O281" t="str">
            <v>CSS</v>
          </cell>
          <cell r="P281">
            <v>100</v>
          </cell>
          <cell r="Q281" t="str">
            <v>50</v>
          </cell>
          <cell r="R281"/>
          <cell r="S281"/>
          <cell r="T281" t="str">
            <v>Sin reducción</v>
          </cell>
          <cell r="U281">
            <v>0</v>
          </cell>
          <cell r="V281">
            <v>32</v>
          </cell>
          <cell r="W281" t="str">
            <v>EDUCACIÓN</v>
          </cell>
          <cell r="X281">
            <v>0</v>
          </cell>
          <cell r="Y281">
            <v>0</v>
          </cell>
          <cell r="Z281">
            <v>0</v>
          </cell>
          <cell r="AA281"/>
          <cell r="AB281" t="str">
            <v>Concluded</v>
          </cell>
          <cell r="AC281" t="str">
            <v>NO ACTIVO</v>
          </cell>
          <cell r="AD281"/>
          <cell r="AE281"/>
          <cell r="AF281">
            <v>45623</v>
          </cell>
          <cell r="AG281" t="str">
            <v>CESE DE CONTRATO</v>
          </cell>
          <cell r="AH281"/>
          <cell r="AI281" t="str">
            <v>50963373L</v>
          </cell>
        </row>
        <row r="282">
          <cell r="A282" t="str">
            <v>MXDISD840906NP7</v>
          </cell>
          <cell r="B282" t="str">
            <v>Díaz Sosa</v>
          </cell>
          <cell r="C282" t="str">
            <v>Dulce María</v>
          </cell>
          <cell r="D282" t="str">
            <v>Díaz Sosa, Dulce María</v>
          </cell>
          <cell r="E282" t="str">
            <v>ddiazs@professional.universidadviu.com</v>
          </cell>
          <cell r="F282" t="str">
            <v>ddiazs@professional.universidadviu.com</v>
          </cell>
          <cell r="G282" t="str">
            <v>NO</v>
          </cell>
          <cell r="H282" t="str">
            <v>NO</v>
          </cell>
          <cell r="I282" t="str">
            <v>Doctora en psicología</v>
          </cell>
          <cell r="J282" t="str">
            <v>Maestra en Psicología</v>
          </cell>
          <cell r="K282" t="str">
            <v>Licenciada en Psicología</v>
          </cell>
          <cell r="L282" t="str">
            <v/>
          </cell>
          <cell r="M282" t="str">
            <v>Professional</v>
          </cell>
          <cell r="N282" t="str">
            <v/>
          </cell>
          <cell r="O282" t="str">
            <v>CSS</v>
          </cell>
          <cell r="P282">
            <v>0</v>
          </cell>
          <cell r="Q282" t="str">
            <v xml:space="preserve"> </v>
          </cell>
          <cell r="R282"/>
          <cell r="S282"/>
          <cell r="T282" t="str">
            <v>Sin reducción</v>
          </cell>
          <cell r="U282">
            <v>0</v>
          </cell>
          <cell r="V282"/>
          <cell r="W282"/>
          <cell r="X282">
            <v>0</v>
          </cell>
          <cell r="Y282">
            <v>0</v>
          </cell>
          <cell r="Z282">
            <v>0</v>
          </cell>
          <cell r="AA282"/>
          <cell r="AB282" t="str">
            <v>Active - signed</v>
          </cell>
          <cell r="AC282" t="str">
            <v>ACTIVO</v>
          </cell>
          <cell r="AD282"/>
          <cell r="AE282"/>
          <cell r="AF282"/>
          <cell r="AG282"/>
          <cell r="AH282"/>
          <cell r="AI282" t="str">
            <v>MXDISD840906NP7</v>
          </cell>
        </row>
        <row r="283">
          <cell r="A283" t="str">
            <v>07280963Z</v>
          </cell>
          <cell r="B283" t="str">
            <v>Díaz Vera</v>
          </cell>
          <cell r="C283" t="str">
            <v>Alcibíades Segundo</v>
          </cell>
          <cell r="D283" t="str">
            <v>Díaz Vera, Alcibíades Segundo</v>
          </cell>
          <cell r="E283" t="str">
            <v>alcibiadesdiazv@professional.universidadviu.com</v>
          </cell>
          <cell r="F283" t="str">
            <v>alcibiadesdiazv@professional.universidadviu.com</v>
          </cell>
          <cell r="G283" t="str">
            <v>NO</v>
          </cell>
          <cell r="H283" t="str">
            <v>NO</v>
          </cell>
          <cell r="I283" t="str">
            <v>Ciencias de la Salud</v>
          </cell>
          <cell r="J283" t="str">
            <v>MASTER EPIDEMIOLOGIA Y SALUD PUBLICA</v>
          </cell>
          <cell r="K283" t="str">
            <v>LICENCIADO EN MEDICINA (Homologado por el Ministerio de Educación)</v>
          </cell>
          <cell r="L283" t="str">
            <v/>
          </cell>
          <cell r="M283" t="str">
            <v>Professional</v>
          </cell>
          <cell r="N283"/>
          <cell r="O283" t="str">
            <v>CBS</v>
          </cell>
          <cell r="P283">
            <v>0</v>
          </cell>
          <cell r="Q283" t="str">
            <v xml:space="preserve"> </v>
          </cell>
          <cell r="R283"/>
          <cell r="S283"/>
          <cell r="T283" t="str">
            <v>Sin reducción</v>
          </cell>
          <cell r="U283">
            <v>0</v>
          </cell>
          <cell r="V283"/>
          <cell r="W283"/>
          <cell r="X283">
            <v>0</v>
          </cell>
          <cell r="Y283">
            <v>0</v>
          </cell>
          <cell r="Z283">
            <v>0</v>
          </cell>
          <cell r="AA283"/>
          <cell r="AB283" t="str">
            <v>Active - signed</v>
          </cell>
          <cell r="AC283" t="str">
            <v>ACTIVO</v>
          </cell>
          <cell r="AD283"/>
          <cell r="AE283"/>
          <cell r="AF283"/>
          <cell r="AG283"/>
          <cell r="AH283"/>
          <cell r="AI283" t="str">
            <v>07280963Z</v>
          </cell>
        </row>
        <row r="284">
          <cell r="A284" t="str">
            <v>47772101C</v>
          </cell>
          <cell r="B284" t="str">
            <v>Díaz Vidal</v>
          </cell>
          <cell r="C284" t="str">
            <v>Tania</v>
          </cell>
          <cell r="D284" t="str">
            <v>Díaz Vidal, Tania</v>
          </cell>
          <cell r="E284" t="str">
            <v>tdiazv@professor.universidadviu.com</v>
          </cell>
          <cell r="F284" t="str">
            <v>tdiazv@professor.universidadviu.com</v>
          </cell>
          <cell r="G284" t="str">
            <v>Yes</v>
          </cell>
          <cell r="H284" t="str">
            <v>NO</v>
          </cell>
          <cell r="I284" t="str">
            <v>Doctorado en Ciencia y Tecnología en Biotecnología Productiva</v>
          </cell>
          <cell r="J284" t="str">
            <v>Máster en Nanociencia y Nanotecnología</v>
          </cell>
          <cell r="K284" t="str">
            <v>Licenciatura en Biotecnología</v>
          </cell>
          <cell r="L284" t="str">
            <v/>
          </cell>
          <cell r="M284" t="str">
            <v>Labour</v>
          </cell>
          <cell r="N284" t="str">
            <v>Tronchoni León, Jordi</v>
          </cell>
          <cell r="O284" t="str">
            <v>CBS</v>
          </cell>
          <cell r="P284">
            <v>24</v>
          </cell>
          <cell r="Q284" t="str">
            <v>22</v>
          </cell>
          <cell r="R284"/>
          <cell r="S284"/>
          <cell r="T284" t="str">
            <v>Sin reducción</v>
          </cell>
          <cell r="U284">
            <v>0</v>
          </cell>
          <cell r="V284"/>
          <cell r="W284"/>
          <cell r="X284">
            <v>0</v>
          </cell>
          <cell r="Y284">
            <v>0</v>
          </cell>
          <cell r="Z284">
            <v>15.5</v>
          </cell>
          <cell r="AA284"/>
          <cell r="AB284" t="str">
            <v>Active - signed</v>
          </cell>
          <cell r="AC284" t="str">
            <v>ACTIVO</v>
          </cell>
          <cell r="AD284"/>
          <cell r="AE284"/>
          <cell r="AF284"/>
          <cell r="AG284"/>
          <cell r="AH284"/>
          <cell r="AI284" t="str">
            <v>47772101C</v>
          </cell>
        </row>
        <row r="285">
          <cell r="A285" t="str">
            <v>53626271T</v>
          </cell>
          <cell r="B285" t="str">
            <v>Diego Pedro</v>
          </cell>
          <cell r="C285" t="str">
            <v>Rebeca</v>
          </cell>
          <cell r="D285" t="str">
            <v>Diego Pedro, Rebeca</v>
          </cell>
          <cell r="E285" t="str">
            <v>rebeca.diego</v>
          </cell>
          <cell r="F285" t="str">
            <v>rebeca.diego@professor.universidadviu.com</v>
          </cell>
          <cell r="G285" t="str">
            <v>Yes</v>
          </cell>
          <cell r="H285" t="str">
            <v>NO</v>
          </cell>
          <cell r="I285" t="str">
            <v>Programa de Doctorado en Investigación en Psicología</v>
          </cell>
          <cell r="J285" t="str">
            <v>Programa de Doctorado en Investigación en Psicología</v>
          </cell>
          <cell r="K285" t="str">
            <v>Licenciado en Psicología</v>
          </cell>
          <cell r="L285" t="str">
            <v/>
          </cell>
          <cell r="M285" t="str">
            <v>Labour</v>
          </cell>
          <cell r="N285" t="str">
            <v>Ródenas González, Francisco</v>
          </cell>
          <cell r="O285" t="str">
            <v>CSS</v>
          </cell>
          <cell r="P285">
            <v>100</v>
          </cell>
          <cell r="Q285" t="str">
            <v>50</v>
          </cell>
          <cell r="R285"/>
          <cell r="S285"/>
          <cell r="T285" t="str">
            <v>Subdirector/Coordinador de Máster</v>
          </cell>
          <cell r="U285">
            <v>32</v>
          </cell>
          <cell r="V285"/>
          <cell r="W285"/>
          <cell r="X285">
            <v>6</v>
          </cell>
          <cell r="Y285">
            <v>0</v>
          </cell>
          <cell r="Z285">
            <v>0</v>
          </cell>
          <cell r="AA285"/>
          <cell r="AB285" t="str">
            <v>Active - signed</v>
          </cell>
          <cell r="AC285" t="str">
            <v>ACTIVO</v>
          </cell>
          <cell r="AD285"/>
          <cell r="AE285"/>
          <cell r="AF285"/>
          <cell r="AG285"/>
          <cell r="AH285"/>
          <cell r="AI285" t="str">
            <v>53626271T</v>
          </cell>
        </row>
        <row r="286">
          <cell r="A286" t="str">
            <v>07243755C</v>
          </cell>
          <cell r="B286" t="str">
            <v>Diéguez Mantecón</v>
          </cell>
          <cell r="C286" t="str">
            <v>Sonia</v>
          </cell>
          <cell r="D286" t="str">
            <v>Diéguez Mantecón, Sonia</v>
          </cell>
          <cell r="E286" t="str">
            <v>sdieguezm@professional.universidadviu.com</v>
          </cell>
          <cell r="F286" t="str">
            <v>sdieguezm@professional.universidadviu.com</v>
          </cell>
          <cell r="G286" t="str">
            <v>NO</v>
          </cell>
          <cell r="H286" t="str">
            <v>NO</v>
          </cell>
          <cell r="I286" t="str">
            <v>Master Psicología General Sanitario</v>
          </cell>
          <cell r="J286" t="str">
            <v/>
          </cell>
          <cell r="K286" t="str">
            <v/>
          </cell>
          <cell r="L286" t="str">
            <v/>
          </cell>
          <cell r="M286" t="str">
            <v>Professional</v>
          </cell>
          <cell r="N286" t="str">
            <v/>
          </cell>
          <cell r="O286" t="str">
            <v>CSS</v>
          </cell>
          <cell r="P286">
            <v>0</v>
          </cell>
          <cell r="Q286" t="str">
            <v xml:space="preserve"> </v>
          </cell>
          <cell r="R286"/>
          <cell r="S286"/>
          <cell r="T286" t="str">
            <v>Sin reducción</v>
          </cell>
          <cell r="U286">
            <v>0</v>
          </cell>
          <cell r="V286"/>
          <cell r="W286"/>
          <cell r="X286">
            <v>0</v>
          </cell>
          <cell r="Y286">
            <v>0</v>
          </cell>
          <cell r="Z286">
            <v>0</v>
          </cell>
          <cell r="AA286"/>
          <cell r="AB286" t="str">
            <v>Active - signed</v>
          </cell>
          <cell r="AC286" t="str">
            <v>ACTIVO</v>
          </cell>
          <cell r="AD286"/>
          <cell r="AE286"/>
          <cell r="AF286"/>
          <cell r="AG286"/>
          <cell r="AH286"/>
          <cell r="AI286" t="str">
            <v>07243755C</v>
          </cell>
        </row>
        <row r="287">
          <cell r="A287" t="str">
            <v>25408360F</v>
          </cell>
          <cell r="B287" t="str">
            <v>Díez Juan</v>
          </cell>
          <cell r="C287" t="str">
            <v>Antonio</v>
          </cell>
          <cell r="D287" t="str">
            <v>Díez Juan, Antonio</v>
          </cell>
          <cell r="E287" t="str">
            <v>antonio.diez</v>
          </cell>
          <cell r="F287" t="str">
            <v>antonio.diez@professional.universidadviu.com</v>
          </cell>
          <cell r="G287" t="str">
            <v>Yes</v>
          </cell>
          <cell r="H287" t="str">
            <v>NO</v>
          </cell>
          <cell r="I287" t="str">
            <v>Biología y Genética</v>
          </cell>
          <cell r="J287" t="str">
            <v>Biología Molecular</v>
          </cell>
          <cell r="K287" t="str">
            <v/>
          </cell>
          <cell r="L287" t="str">
            <v/>
          </cell>
          <cell r="M287" t="str">
            <v>Professional</v>
          </cell>
          <cell r="N287" t="str">
            <v/>
          </cell>
          <cell r="O287" t="str">
            <v>CBS</v>
          </cell>
          <cell r="P287">
            <v>0</v>
          </cell>
          <cell r="Q287" t="str">
            <v xml:space="preserve"> </v>
          </cell>
          <cell r="R287"/>
          <cell r="S287"/>
          <cell r="T287" t="str">
            <v>Sin reducción</v>
          </cell>
          <cell r="U287">
            <v>0</v>
          </cell>
          <cell r="V287"/>
          <cell r="W287"/>
          <cell r="X287">
            <v>0</v>
          </cell>
          <cell r="Y287">
            <v>0</v>
          </cell>
          <cell r="Z287">
            <v>0</v>
          </cell>
          <cell r="AA287"/>
          <cell r="AB287" t="str">
            <v>Active - signed</v>
          </cell>
          <cell r="AC287" t="str">
            <v>ACTIVO</v>
          </cell>
          <cell r="AD287"/>
          <cell r="AE287"/>
          <cell r="AF287"/>
          <cell r="AG287"/>
          <cell r="AH287"/>
          <cell r="AI287" t="str">
            <v>25408360F</v>
          </cell>
        </row>
        <row r="288">
          <cell r="A288" t="str">
            <v>34999212C</v>
          </cell>
          <cell r="B288" t="str">
            <v>Diz Casal</v>
          </cell>
          <cell r="C288" t="str">
            <v>Javier</v>
          </cell>
          <cell r="D288" t="str">
            <v>Diz Casal, Javier</v>
          </cell>
          <cell r="E288" t="str">
            <v>jdizc@professor.universidadviu.com</v>
          </cell>
          <cell r="F288" t="str">
            <v>jdizc@professor.universidadviu.com</v>
          </cell>
          <cell r="G288" t="str">
            <v>Yes</v>
          </cell>
          <cell r="H288" t="str">
            <v>Yes</v>
          </cell>
          <cell r="I288" t="str">
            <v>Resolución de conflictos, menores, familias Justicia Terapéurtica</v>
          </cell>
          <cell r="J288" t="str">
            <v>Licenciatura en Psicología</v>
          </cell>
          <cell r="K288" t="str">
            <v/>
          </cell>
          <cell r="L288" t="str">
            <v/>
          </cell>
          <cell r="M288" t="str">
            <v>Labour</v>
          </cell>
          <cell r="N288" t="str">
            <v>Rama Galdón, Encarnación</v>
          </cell>
          <cell r="O288" t="str">
            <v>CSS</v>
          </cell>
          <cell r="P288">
            <v>100</v>
          </cell>
          <cell r="Q288" t="str">
            <v>50</v>
          </cell>
          <cell r="R288"/>
          <cell r="S288"/>
          <cell r="T288" t="str">
            <v>Sin reducción</v>
          </cell>
          <cell r="U288">
            <v>0</v>
          </cell>
          <cell r="V288">
            <v>15</v>
          </cell>
          <cell r="W288" t="str">
            <v>9 Jurído + 6 educación</v>
          </cell>
          <cell r="X288">
            <v>8.6999999999999993</v>
          </cell>
          <cell r="Y288">
            <v>0</v>
          </cell>
          <cell r="Z288">
            <v>0</v>
          </cell>
          <cell r="AA288"/>
          <cell r="AB288" t="str">
            <v>Active - IT leave</v>
          </cell>
          <cell r="AC288" t="str">
            <v>ACTIVO</v>
          </cell>
          <cell r="AD288">
            <v>45942</v>
          </cell>
          <cell r="AE288">
            <v>46034</v>
          </cell>
          <cell r="AF288"/>
          <cell r="AG288" t="str">
            <v>MATERNIDAD</v>
          </cell>
          <cell r="AH288"/>
          <cell r="AI288" t="str">
            <v>34999212C</v>
          </cell>
        </row>
        <row r="289">
          <cell r="A289" t="str">
            <v>73657893W</v>
          </cell>
          <cell r="B289" t="str">
            <v>Domingo Moscardó</v>
          </cell>
          <cell r="C289" t="str">
            <v>Lucía</v>
          </cell>
          <cell r="D289" t="str">
            <v>Domingo Moscardó, Lucía</v>
          </cell>
          <cell r="E289" t="str">
            <v>lucia.domingo@professor.universidadviu.com</v>
          </cell>
          <cell r="F289" t="str">
            <v>lucia.domingo@professor.universidadviu.com</v>
          </cell>
          <cell r="G289" t="str">
            <v>NO</v>
          </cell>
          <cell r="H289" t="str">
            <v>NO</v>
          </cell>
          <cell r="I289" t="str">
            <v>Máster Universitario en Intervención Logopédica Especializada. Especialidad en Logopedia y atención temprana</v>
          </cell>
          <cell r="J289" t="str">
            <v>Graduada en Logopedia</v>
          </cell>
          <cell r="K289" t="str">
            <v/>
          </cell>
          <cell r="L289" t="str">
            <v/>
          </cell>
          <cell r="M289" t="str">
            <v>Labour</v>
          </cell>
          <cell r="N289" t="str">
            <v>Cano Villagrasa, Alejandro</v>
          </cell>
          <cell r="O289" t="str">
            <v>CBS</v>
          </cell>
          <cell r="P289">
            <v>100</v>
          </cell>
          <cell r="Q289" t="str">
            <v>50</v>
          </cell>
          <cell r="R289"/>
          <cell r="S289"/>
          <cell r="T289" t="str">
            <v>Subdirector/Coordinador de Grado - 1 edición</v>
          </cell>
          <cell r="U289">
            <v>38</v>
          </cell>
          <cell r="V289"/>
          <cell r="W289"/>
          <cell r="X289">
            <v>0</v>
          </cell>
          <cell r="Y289">
            <v>12</v>
          </cell>
          <cell r="Z289">
            <v>0</v>
          </cell>
          <cell r="AA289"/>
          <cell r="AB289" t="str">
            <v>Active - signed</v>
          </cell>
          <cell r="AC289" t="str">
            <v>ACTIVO</v>
          </cell>
          <cell r="AD289"/>
          <cell r="AE289"/>
          <cell r="AF289"/>
          <cell r="AG289"/>
          <cell r="AH289"/>
          <cell r="AI289" t="str">
            <v>73657893W</v>
          </cell>
        </row>
        <row r="290">
          <cell r="A290" t="str">
            <v>18448257A</v>
          </cell>
          <cell r="B290" t="str">
            <v>Domingo Valero</v>
          </cell>
          <cell r="C290" t="str">
            <v>Laura</v>
          </cell>
          <cell r="D290" t="str">
            <v>Domingo Valero, Laura</v>
          </cell>
          <cell r="E290" t="str">
            <v>ldomingov@professional.universidadviu.com</v>
          </cell>
          <cell r="F290" t="str">
            <v>ldomingov@professional.universidadviu.com</v>
          </cell>
          <cell r="G290" t="str">
            <v>NO</v>
          </cell>
          <cell r="H290" t="str">
            <v>NO</v>
          </cell>
          <cell r="I290" t="str">
            <v>Máster en ciencias del Sistema Nervioso: Neurotoxicología, Neuropsicofarmacología, Fisioterapia Neuromusculoesquelética, Neurorehabilitación en especialidad de Neurorehabilitación</v>
          </cell>
          <cell r="J290" t="str">
            <v>Licenciada en Psicología</v>
          </cell>
          <cell r="K290" t="str">
            <v/>
          </cell>
          <cell r="L290" t="str">
            <v/>
          </cell>
          <cell r="M290" t="str">
            <v>Professional</v>
          </cell>
          <cell r="N290" t="str">
            <v/>
          </cell>
          <cell r="O290" t="str">
            <v>CSS</v>
          </cell>
          <cell r="P290">
            <v>0</v>
          </cell>
          <cell r="Q290" t="str">
            <v xml:space="preserve"> </v>
          </cell>
          <cell r="R290"/>
          <cell r="S290"/>
          <cell r="T290" t="str">
            <v>Sin reducción</v>
          </cell>
          <cell r="U290">
            <v>0</v>
          </cell>
          <cell r="V290"/>
          <cell r="W290"/>
          <cell r="X290">
            <v>0</v>
          </cell>
          <cell r="Y290">
            <v>0</v>
          </cell>
          <cell r="Z290">
            <v>0</v>
          </cell>
          <cell r="AA290"/>
          <cell r="AB290" t="str">
            <v>Active - signed</v>
          </cell>
          <cell r="AC290" t="str">
            <v>ACTIVO</v>
          </cell>
          <cell r="AD290"/>
          <cell r="AE290"/>
          <cell r="AF290"/>
          <cell r="AG290"/>
          <cell r="AH290"/>
          <cell r="AI290" t="str">
            <v>18448257A</v>
          </cell>
        </row>
        <row r="291">
          <cell r="A291" t="str">
            <v>DOEA741002MDFMSL01</v>
          </cell>
          <cell r="B291" t="str">
            <v>Domínguez Espinosa</v>
          </cell>
          <cell r="C291" t="str">
            <v>Alejandra del Carmen</v>
          </cell>
          <cell r="D291" t="str">
            <v>Domínguez Espinosa, Alejandra del Carmen</v>
          </cell>
          <cell r="E291" t="str">
            <v>adomingueze@professional.universidadviu.com</v>
          </cell>
          <cell r="F291" t="str">
            <v>adomingueze@professional.universidadviu.com</v>
          </cell>
          <cell r="G291" t="str">
            <v>NO</v>
          </cell>
          <cell r="H291" t="str">
            <v>NO</v>
          </cell>
          <cell r="I291" t="str">
            <v>Licenciada en Psicología</v>
          </cell>
          <cell r="J291" t="str">
            <v>Doctora en Psicología</v>
          </cell>
          <cell r="K291" t="str">
            <v/>
          </cell>
          <cell r="L291" t="str">
            <v/>
          </cell>
          <cell r="M291" t="str">
            <v>Professional</v>
          </cell>
          <cell r="N291" t="str">
            <v/>
          </cell>
          <cell r="O291" t="str">
            <v>CSS</v>
          </cell>
          <cell r="P291">
            <v>0</v>
          </cell>
          <cell r="Q291" t="str">
            <v xml:space="preserve"> </v>
          </cell>
          <cell r="R291"/>
          <cell r="S291"/>
          <cell r="T291" t="str">
            <v>Sin reducción</v>
          </cell>
          <cell r="U291">
            <v>0</v>
          </cell>
          <cell r="V291"/>
          <cell r="W291"/>
          <cell r="X291">
            <v>0</v>
          </cell>
          <cell r="Y291">
            <v>0</v>
          </cell>
          <cell r="Z291">
            <v>0</v>
          </cell>
          <cell r="AA291"/>
          <cell r="AB291" t="str">
            <v>Active - signed</v>
          </cell>
          <cell r="AC291" t="str">
            <v>ACTIVO</v>
          </cell>
          <cell r="AD291"/>
          <cell r="AE291"/>
          <cell r="AF291"/>
          <cell r="AG291"/>
          <cell r="AH291"/>
          <cell r="AI291" t="str">
            <v>DOEA741002MDFMSL01</v>
          </cell>
        </row>
        <row r="292">
          <cell r="A292" t="str">
            <v>29217606Q</v>
          </cell>
          <cell r="B292" t="str">
            <v>Domínguez Navarro</v>
          </cell>
          <cell r="C292" t="str">
            <v>Fernando</v>
          </cell>
          <cell r="D292" t="str">
            <v>Domínguez Navarro, Fernando</v>
          </cell>
          <cell r="E292" t="str">
            <v>fdominguezn@professional.universidadviu.com</v>
          </cell>
          <cell r="F292" t="str">
            <v>fdominguezn@professional.universidadviu.com</v>
          </cell>
          <cell r="G292" t="str">
            <v>NO</v>
          </cell>
          <cell r="H292" t="str">
            <v>Yes</v>
          </cell>
          <cell r="I292" t="str">
            <v>Doctor en Procesos de Envejecimiento: Estrategias Socio-sanitarias</v>
          </cell>
          <cell r="J292" t="str">
            <v>Graduado en Fisioterapia</v>
          </cell>
          <cell r="K292" t="str">
            <v/>
          </cell>
          <cell r="L292" t="str">
            <v/>
          </cell>
          <cell r="M292" t="str">
            <v>Professional</v>
          </cell>
          <cell r="N292"/>
          <cell r="O292" t="str">
            <v>CBS</v>
          </cell>
          <cell r="P292"/>
          <cell r="Q292" t="str">
            <v xml:space="preserve"> </v>
          </cell>
          <cell r="R292"/>
          <cell r="S292"/>
          <cell r="T292" t="str">
            <v>Sin reducción</v>
          </cell>
          <cell r="U292">
            <v>0</v>
          </cell>
          <cell r="V292"/>
          <cell r="W292"/>
          <cell r="X292">
            <v>0</v>
          </cell>
          <cell r="Y292">
            <v>0</v>
          </cell>
          <cell r="Z292">
            <v>0</v>
          </cell>
          <cell r="AA292"/>
          <cell r="AB292" t="str">
            <v>Active - signed</v>
          </cell>
          <cell r="AC292" t="str">
            <v>ACTIVO</v>
          </cell>
          <cell r="AD292"/>
          <cell r="AE292"/>
          <cell r="AF292"/>
          <cell r="AG292"/>
          <cell r="AH292"/>
          <cell r="AI292" t="str">
            <v>29217606Q</v>
          </cell>
        </row>
        <row r="293">
          <cell r="A293" t="str">
            <v>Y0FYG7VC1</v>
          </cell>
          <cell r="B293" t="str">
            <v>Domínguez Rodríguez</v>
          </cell>
          <cell r="C293" t="str">
            <v>Alejandro</v>
          </cell>
          <cell r="D293" t="str">
            <v>Domínguez Rodríguez, Alejandro</v>
          </cell>
          <cell r="E293" t="str">
            <v>alejandro.dominguez.r</v>
          </cell>
          <cell r="F293" t="str">
            <v>alejandro.dominguez.r@professional.universidadviu.com</v>
          </cell>
          <cell r="G293" t="str">
            <v>NO</v>
          </cell>
          <cell r="H293" t="str">
            <v>NO</v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>Professional</v>
          </cell>
          <cell r="N293" t="str">
            <v/>
          </cell>
          <cell r="O293"/>
          <cell r="P293">
            <v>0</v>
          </cell>
          <cell r="Q293" t="str">
            <v xml:space="preserve"> </v>
          </cell>
          <cell r="R293"/>
          <cell r="S293"/>
          <cell r="T293" t="str">
            <v>Sin reducción</v>
          </cell>
          <cell r="U293">
            <v>0</v>
          </cell>
          <cell r="V293"/>
          <cell r="W293"/>
          <cell r="X293">
            <v>0</v>
          </cell>
          <cell r="Y293">
            <v>0</v>
          </cell>
          <cell r="Z293">
            <v>0</v>
          </cell>
          <cell r="AA293"/>
          <cell r="AB293" t="str">
            <v>Active - signed</v>
          </cell>
          <cell r="AC293" t="str">
            <v>ACTIVO</v>
          </cell>
          <cell r="AD293"/>
          <cell r="AE293"/>
          <cell r="AF293"/>
          <cell r="AG293"/>
          <cell r="AH293"/>
          <cell r="AI293" t="str">
            <v>Y0FYG7VC1</v>
          </cell>
        </row>
        <row r="294">
          <cell r="A294" t="str">
            <v>48920253N</v>
          </cell>
          <cell r="B294" t="str">
            <v>Domínguez Salas</v>
          </cell>
          <cell r="C294" t="str">
            <v>Sara</v>
          </cell>
          <cell r="D294" t="str">
            <v>Domínguez Salas, Sara</v>
          </cell>
          <cell r="E294" t="str">
            <v>sdominguezs@professional.universidadviu.com</v>
          </cell>
          <cell r="F294" t="str">
            <v>sdominguezs@professional.universidadviu.com</v>
          </cell>
          <cell r="G294" t="str">
            <v>Yes</v>
          </cell>
          <cell r="H294" t="str">
            <v>NO</v>
          </cell>
          <cell r="I294" t="str">
            <v>DOCTORADO EN CIENCIAS DE LA SALUD</v>
          </cell>
          <cell r="J294" t="str">
            <v>Máster Universitario en Investigación Aplicada en Trastornos Mentales</v>
          </cell>
          <cell r="K294" t="str">
            <v>Máster Universitario en Metodología de las Ciencias del Comportamiento y de la Salud</v>
          </cell>
          <cell r="L294" t="str">
            <v/>
          </cell>
          <cell r="M294" t="str">
            <v>Professional</v>
          </cell>
          <cell r="N294" t="str">
            <v/>
          </cell>
          <cell r="O294" t="str">
            <v>CSS</v>
          </cell>
          <cell r="P294">
            <v>0</v>
          </cell>
          <cell r="Q294" t="str">
            <v xml:space="preserve"> </v>
          </cell>
          <cell r="R294"/>
          <cell r="S294"/>
          <cell r="T294" t="str">
            <v>Sin reducción</v>
          </cell>
          <cell r="U294">
            <v>0</v>
          </cell>
          <cell r="V294"/>
          <cell r="W294"/>
          <cell r="X294">
            <v>0</v>
          </cell>
          <cell r="Y294">
            <v>0</v>
          </cell>
          <cell r="Z294">
            <v>0</v>
          </cell>
          <cell r="AA294"/>
          <cell r="AB294" t="str">
            <v>Active - signed</v>
          </cell>
          <cell r="AC294" t="str">
            <v>ACTIVO</v>
          </cell>
          <cell r="AD294"/>
          <cell r="AE294"/>
          <cell r="AF294"/>
          <cell r="AG294"/>
          <cell r="AH294"/>
          <cell r="AI294" t="str">
            <v>48920253N</v>
          </cell>
        </row>
        <row r="295">
          <cell r="A295">
            <v>3103914465</v>
          </cell>
          <cell r="B295" t="str">
            <v>Domínguez Valerio</v>
          </cell>
          <cell r="C295" t="str">
            <v>Cándida María</v>
          </cell>
          <cell r="D295" t="str">
            <v>Domínguez Valerio, Cándida María</v>
          </cell>
          <cell r="E295" t="str">
            <v>cdominguezv@professional.universidadviu.com</v>
          </cell>
          <cell r="F295" t="str">
            <v>cdominguezv@professional.universidadviu.com</v>
          </cell>
          <cell r="G295" t="str">
            <v>Yes</v>
          </cell>
          <cell r="H295" t="str">
            <v>NO</v>
          </cell>
          <cell r="I295" t="str">
            <v>Maestría en Ciencias de la Educación, Mención Planificación Educativa</v>
          </cell>
          <cell r="J295" t="str">
            <v>Doctorado en Ciencia Sociales y Jurídicas</v>
          </cell>
          <cell r="K295" t="str">
            <v/>
          </cell>
          <cell r="L295" t="str">
            <v/>
          </cell>
          <cell r="M295" t="str">
            <v>Professional</v>
          </cell>
          <cell r="N295" t="str">
            <v/>
          </cell>
          <cell r="O295" t="str">
            <v>CSS</v>
          </cell>
          <cell r="P295">
            <v>0</v>
          </cell>
          <cell r="Q295" t="str">
            <v xml:space="preserve"> </v>
          </cell>
          <cell r="R295"/>
          <cell r="S295"/>
          <cell r="T295" t="str">
            <v>Sin reducción</v>
          </cell>
          <cell r="U295">
            <v>0</v>
          </cell>
          <cell r="V295"/>
          <cell r="W295"/>
          <cell r="X295">
            <v>0</v>
          </cell>
          <cell r="Y295">
            <v>0</v>
          </cell>
          <cell r="Z295">
            <v>0</v>
          </cell>
          <cell r="AA295"/>
          <cell r="AB295" t="str">
            <v>Active - signed</v>
          </cell>
          <cell r="AC295" t="str">
            <v>ACTIVO</v>
          </cell>
          <cell r="AD295"/>
          <cell r="AE295"/>
          <cell r="AF295"/>
          <cell r="AG295"/>
          <cell r="AH295"/>
          <cell r="AI295">
            <v>3103914465</v>
          </cell>
        </row>
        <row r="296">
          <cell r="A296" t="str">
            <v>Y4151677F</v>
          </cell>
          <cell r="B296" t="str">
            <v>Donato</v>
          </cell>
          <cell r="C296" t="str">
            <v>Donatella</v>
          </cell>
          <cell r="D296" t="str">
            <v>Donato, Donatella</v>
          </cell>
          <cell r="E296" t="str">
            <v>donatella.donato</v>
          </cell>
          <cell r="F296" t="str">
            <v>donatella.donato@professional.universidadviu.com</v>
          </cell>
          <cell r="G296" t="str">
            <v>Yes</v>
          </cell>
          <cell r="H296" t="str">
            <v>Yes</v>
          </cell>
          <cell r="I296" t="str">
            <v>Psicología</v>
          </cell>
          <cell r="J296" t="str">
            <v>Licenciatura en ciencias psicológicas y técnicas de desarrollo y educación</v>
          </cell>
          <cell r="K296" t="str">
            <v>Máster en ciencias psicológicas y técnicas de desarrollo y educación de adultos y educación continua</v>
          </cell>
          <cell r="L296" t="str">
            <v/>
          </cell>
          <cell r="M296" t="str">
            <v>Professional</v>
          </cell>
          <cell r="N296" t="str">
            <v/>
          </cell>
          <cell r="O296" t="str">
            <v>CSS</v>
          </cell>
          <cell r="P296">
            <v>0</v>
          </cell>
          <cell r="Q296" t="str">
            <v xml:space="preserve"> </v>
          </cell>
          <cell r="R296"/>
          <cell r="S296"/>
          <cell r="T296" t="str">
            <v>Sin reducción</v>
          </cell>
          <cell r="U296">
            <v>0</v>
          </cell>
          <cell r="V296"/>
          <cell r="W296"/>
          <cell r="X296">
            <v>0</v>
          </cell>
          <cell r="Y296">
            <v>0</v>
          </cell>
          <cell r="Z296">
            <v>0</v>
          </cell>
          <cell r="AA296"/>
          <cell r="AB296" t="str">
            <v>Active - signed</v>
          </cell>
          <cell r="AC296" t="str">
            <v>ACTIVO</v>
          </cell>
          <cell r="AD296"/>
          <cell r="AE296"/>
          <cell r="AF296"/>
          <cell r="AG296"/>
          <cell r="AH296"/>
          <cell r="AI296" t="str">
            <v>Y4151677F</v>
          </cell>
        </row>
        <row r="297">
          <cell r="A297" t="str">
            <v>49563394G</v>
          </cell>
          <cell r="B297" t="str">
            <v>Doval Moreno</v>
          </cell>
          <cell r="C297" t="str">
            <v>Sandra</v>
          </cell>
          <cell r="D297" t="str">
            <v>Doval Moreno, Sandra</v>
          </cell>
          <cell r="E297" t="str">
            <v>sdovalm@professional.universidadviu.com</v>
          </cell>
          <cell r="F297" t="str">
            <v>sdovalm@professional.universidadviu.com</v>
          </cell>
          <cell r="G297" t="str">
            <v>Yes</v>
          </cell>
          <cell r="H297" t="str">
            <v>NO</v>
          </cell>
          <cell r="I297" t="str">
            <v>Doctorado en Psicología</v>
          </cell>
          <cell r="J297" t="str">
            <v>Máster en Psicologia General Sanitaria y Máster en Metodología de las CC del comportamiento y de la Salud</v>
          </cell>
          <cell r="K297" t="str">
            <v>Grado en Psicología</v>
          </cell>
          <cell r="L297" t="str">
            <v/>
          </cell>
          <cell r="M297" t="str">
            <v>Professional</v>
          </cell>
          <cell r="N297" t="str">
            <v/>
          </cell>
          <cell r="O297" t="str">
            <v>CSS</v>
          </cell>
          <cell r="P297">
            <v>0</v>
          </cell>
          <cell r="Q297" t="str">
            <v xml:space="preserve"> </v>
          </cell>
          <cell r="R297"/>
          <cell r="S297"/>
          <cell r="T297" t="str">
            <v>Sin reducción</v>
          </cell>
          <cell r="U297">
            <v>0</v>
          </cell>
          <cell r="V297"/>
          <cell r="W297"/>
          <cell r="X297">
            <v>0</v>
          </cell>
          <cell r="Y297">
            <v>0</v>
          </cell>
          <cell r="Z297">
            <v>0</v>
          </cell>
          <cell r="AA297"/>
          <cell r="AB297" t="str">
            <v>Active - signed</v>
          </cell>
          <cell r="AC297" t="str">
            <v>ACTIVO</v>
          </cell>
          <cell r="AD297"/>
          <cell r="AE297"/>
          <cell r="AF297"/>
          <cell r="AG297"/>
          <cell r="AH297"/>
          <cell r="AI297" t="str">
            <v>49563394G</v>
          </cell>
        </row>
        <row r="298">
          <cell r="A298" t="str">
            <v>31252935Y</v>
          </cell>
          <cell r="B298" t="str">
            <v>Duarte Clíments</v>
          </cell>
          <cell r="C298" t="str">
            <v>Gonzalo</v>
          </cell>
          <cell r="D298" t="str">
            <v>Duarte Clíments, Gonzalo</v>
          </cell>
          <cell r="E298" t="str">
            <v>gduartec@professor.universidadviu.com</v>
          </cell>
          <cell r="F298" t="str">
            <v>gduartec@professor.universidadviu.com</v>
          </cell>
          <cell r="G298" t="str">
            <v>Yes</v>
          </cell>
          <cell r="H298" t="str">
            <v>Yes</v>
          </cell>
          <cell r="I298" t="str">
            <v>Doctor Ciencias Biofarmaceuticas</v>
          </cell>
          <cell r="J298" t="str">
            <v>Doctor Ciencias Biofarmaceuticas</v>
          </cell>
          <cell r="K298" t="str">
            <v>Master Universitario en Ciencias de la Enfermería</v>
          </cell>
          <cell r="L298" t="str">
            <v>Diplomado en Enfermería</v>
          </cell>
          <cell r="M298" t="str">
            <v>Labour</v>
          </cell>
          <cell r="N298" t="str">
            <v>Vila Candel, Rafael</v>
          </cell>
          <cell r="O298" t="str">
            <v>CBS</v>
          </cell>
          <cell r="P298">
            <v>30</v>
          </cell>
          <cell r="Q298" t="str">
            <v>24</v>
          </cell>
          <cell r="R298"/>
          <cell r="S298"/>
          <cell r="T298" t="str">
            <v>Sin reducción</v>
          </cell>
          <cell r="U298">
            <v>0</v>
          </cell>
          <cell r="V298"/>
          <cell r="W298"/>
          <cell r="X298">
            <v>0</v>
          </cell>
          <cell r="Y298">
            <v>24</v>
          </cell>
          <cell r="Z298">
            <v>0</v>
          </cell>
          <cell r="AA298"/>
          <cell r="AB298" t="str">
            <v>Active - signed</v>
          </cell>
          <cell r="AC298" t="str">
            <v>ACTIVO</v>
          </cell>
          <cell r="AD298"/>
          <cell r="AE298"/>
          <cell r="AF298">
            <v>46084</v>
          </cell>
          <cell r="AG298" t="str">
            <v>CESE DE CONTRATO</v>
          </cell>
          <cell r="AH298" t="str">
            <v>no sabemos fecha fin</v>
          </cell>
          <cell r="AI298" t="str">
            <v>31252935Y</v>
          </cell>
        </row>
        <row r="299">
          <cell r="A299" t="str">
            <v>54052205C</v>
          </cell>
          <cell r="B299" t="str">
            <v>Duarte Lores</v>
          </cell>
          <cell r="C299" t="str">
            <v>Isabel</v>
          </cell>
          <cell r="D299" t="str">
            <v>Duarte Lores, Isabel</v>
          </cell>
          <cell r="E299" t="str">
            <v>isabel.duarte</v>
          </cell>
          <cell r="F299" t="str">
            <v>isabel.duarte@professional.universidadviu.com</v>
          </cell>
          <cell r="G299" t="str">
            <v>Yes</v>
          </cell>
          <cell r="H299" t="str">
            <v>NO</v>
          </cell>
          <cell r="I299" t="str">
            <v>Psicología</v>
          </cell>
          <cell r="J299" t="str">
            <v>Máster Universitario en Desarrollo y Gestión de Recursos Humanos</v>
          </cell>
          <cell r="K299" t="str">
            <v>Máster Universitario en Psicología General Sanitaria</v>
          </cell>
          <cell r="L299" t="str">
            <v/>
          </cell>
          <cell r="M299" t="str">
            <v>Professional</v>
          </cell>
          <cell r="N299" t="str">
            <v/>
          </cell>
          <cell r="O299" t="str">
            <v>CSS</v>
          </cell>
          <cell r="P299">
            <v>0</v>
          </cell>
          <cell r="Q299" t="str">
            <v xml:space="preserve"> </v>
          </cell>
          <cell r="R299"/>
          <cell r="S299"/>
          <cell r="T299" t="str">
            <v>Sin reducción</v>
          </cell>
          <cell r="U299">
            <v>0</v>
          </cell>
          <cell r="V299"/>
          <cell r="W299"/>
          <cell r="X299">
            <v>0</v>
          </cell>
          <cell r="Y299">
            <v>0</v>
          </cell>
          <cell r="Z299">
            <v>0</v>
          </cell>
          <cell r="AA299"/>
          <cell r="AB299" t="str">
            <v>Active - signed</v>
          </cell>
          <cell r="AC299" t="str">
            <v>ACTIVO</v>
          </cell>
          <cell r="AD299"/>
          <cell r="AE299"/>
          <cell r="AF299"/>
          <cell r="AG299"/>
          <cell r="AH299"/>
          <cell r="AI299" t="str">
            <v>54052205C</v>
          </cell>
        </row>
        <row r="300">
          <cell r="A300" t="str">
            <v>74893570G</v>
          </cell>
          <cell r="B300" t="str">
            <v>Dueñas Zambrana</v>
          </cell>
          <cell r="C300" t="str">
            <v>Carmen</v>
          </cell>
          <cell r="D300" t="str">
            <v>Dueñas Zambrana, Carmen</v>
          </cell>
          <cell r="E300" t="str">
            <v>cduenasz@professor.universidadviu.com</v>
          </cell>
          <cell r="F300" t="str">
            <v>cduenasz@professor.universidadviu.com</v>
          </cell>
          <cell r="G300" t="str">
            <v>NO</v>
          </cell>
          <cell r="H300" t="str">
            <v>NO</v>
          </cell>
          <cell r="I300" t="str">
            <v>Diplomada en Trabajo Social</v>
          </cell>
          <cell r="J300" t="str">
            <v>Máster Universitario en Investigación e Intervención Social y Comunitaria</v>
          </cell>
          <cell r="K300" t="str">
            <v/>
          </cell>
          <cell r="L300" t="str">
            <v/>
          </cell>
          <cell r="M300" t="str">
            <v>Labour</v>
          </cell>
          <cell r="N300" t="str">
            <v>Mesas Fernández, Javier</v>
          </cell>
          <cell r="O300" t="str">
            <v>CSS</v>
          </cell>
          <cell r="P300">
            <v>18</v>
          </cell>
          <cell r="Q300" t="str">
            <v>18</v>
          </cell>
          <cell r="R300"/>
          <cell r="S300"/>
          <cell r="T300" t="str">
            <v>Sin reducción</v>
          </cell>
          <cell r="U300">
            <v>0</v>
          </cell>
          <cell r="V300"/>
          <cell r="W300"/>
          <cell r="X300">
            <v>11.8</v>
          </cell>
          <cell r="Y300">
            <v>0</v>
          </cell>
          <cell r="Z300">
            <v>11.8</v>
          </cell>
          <cell r="AA300"/>
          <cell r="AB300" t="str">
            <v>Active - signed</v>
          </cell>
          <cell r="AC300" t="str">
            <v>ACTIVO</v>
          </cell>
          <cell r="AD300">
            <v>45628</v>
          </cell>
          <cell r="AE300">
            <v>45860</v>
          </cell>
          <cell r="AF300"/>
          <cell r="AG300" t="str">
            <v>ENFERMEDAD</v>
          </cell>
          <cell r="AH300"/>
          <cell r="AI300" t="str">
            <v>74893570G</v>
          </cell>
        </row>
        <row r="301">
          <cell r="A301" t="str">
            <v>33469677P</v>
          </cell>
          <cell r="B301" t="str">
            <v>Duque Moreno</v>
          </cell>
          <cell r="C301" t="str">
            <v>María Aranzazu</v>
          </cell>
          <cell r="D301" t="str">
            <v>Duque Moreno, María Aranzazu</v>
          </cell>
          <cell r="E301" t="str">
            <v>aranzazu.duque</v>
          </cell>
          <cell r="F301" t="str">
            <v>aranzazu.duque@professor.universidadviu.com</v>
          </cell>
          <cell r="G301" t="str">
            <v>Yes</v>
          </cell>
          <cell r="H301" t="str">
            <v>Yes</v>
          </cell>
          <cell r="I301" t="str">
            <v>Programa de Doctorado en Neurociencias</v>
          </cell>
          <cell r="J301" t="str">
            <v>Licenciada en Psicología</v>
          </cell>
          <cell r="K301" t="str">
            <v>Programa de Doctorado en Neurociencias</v>
          </cell>
          <cell r="L301" t="str">
            <v>Máster Universitario en Neurociencias Básicas y Aplicadas</v>
          </cell>
          <cell r="M301" t="str">
            <v>Labour</v>
          </cell>
          <cell r="N301" t="str">
            <v>Gea Caballero, Vicente Antonio</v>
          </cell>
          <cell r="O301" t="str">
            <v>CSS</v>
          </cell>
          <cell r="P301">
            <v>100</v>
          </cell>
          <cell r="Q301" t="str">
            <v>50</v>
          </cell>
          <cell r="R301"/>
          <cell r="S301" t="str">
            <v>2013-2018</v>
          </cell>
          <cell r="T301" t="str">
            <v>Vicedecano/a</v>
          </cell>
          <cell r="U301" t="str">
            <v>38</v>
          </cell>
          <cell r="V301"/>
          <cell r="W301"/>
          <cell r="X301">
            <v>11.7</v>
          </cell>
          <cell r="Y301">
            <v>0</v>
          </cell>
          <cell r="Z301">
            <v>0</v>
          </cell>
          <cell r="AA301"/>
          <cell r="AB301" t="str">
            <v>Active - signed</v>
          </cell>
          <cell r="AC301" t="str">
            <v>ACTIVO</v>
          </cell>
          <cell r="AD301"/>
          <cell r="AE301"/>
          <cell r="AF301"/>
          <cell r="AG301"/>
          <cell r="AH301"/>
          <cell r="AI301" t="str">
            <v>33469677P</v>
          </cell>
        </row>
        <row r="302">
          <cell r="A302" t="str">
            <v>79014885H</v>
          </cell>
          <cell r="B302" t="str">
            <v>Durán Morales</v>
          </cell>
          <cell r="C302" t="str">
            <v>María Carmen</v>
          </cell>
          <cell r="D302" t="str">
            <v>Durán Morales, María Carmen</v>
          </cell>
          <cell r="E302" t="str">
            <v>mduranm@professional.universidadviu.com</v>
          </cell>
          <cell r="F302" t="str">
            <v>mduranm@professional.universidadviu.com</v>
          </cell>
          <cell r="G302" t="str">
            <v>NO</v>
          </cell>
          <cell r="H302" t="str">
            <v>NO</v>
          </cell>
          <cell r="I302" t="str">
            <v>Master Tratamiento Psicológicos y de la Salud</v>
          </cell>
          <cell r="J302" t="str">
            <v>Licenciatura de Psicología</v>
          </cell>
          <cell r="K302" t="str">
            <v/>
          </cell>
          <cell r="L302" t="str">
            <v/>
          </cell>
          <cell r="M302" t="str">
            <v>Professional</v>
          </cell>
          <cell r="N302" t="str">
            <v/>
          </cell>
          <cell r="O302" t="str">
            <v>CSS</v>
          </cell>
          <cell r="P302">
            <v>0</v>
          </cell>
          <cell r="Q302" t="str">
            <v xml:space="preserve"> </v>
          </cell>
          <cell r="R302"/>
          <cell r="S302"/>
          <cell r="T302" t="str">
            <v>Sin reducción</v>
          </cell>
          <cell r="U302">
            <v>0</v>
          </cell>
          <cell r="V302"/>
          <cell r="W302"/>
          <cell r="X302">
            <v>0</v>
          </cell>
          <cell r="Y302">
            <v>0</v>
          </cell>
          <cell r="Z302">
            <v>0</v>
          </cell>
          <cell r="AA302"/>
          <cell r="AB302" t="str">
            <v>Active - signed</v>
          </cell>
          <cell r="AC302" t="str">
            <v>ACTIVO</v>
          </cell>
          <cell r="AD302"/>
          <cell r="AE302"/>
          <cell r="AF302"/>
          <cell r="AG302"/>
          <cell r="AH302"/>
          <cell r="AI302" t="str">
            <v>79014885H</v>
          </cell>
        </row>
        <row r="303">
          <cell r="A303">
            <v>962813390</v>
          </cell>
          <cell r="B303" t="str">
            <v>Durán Olivares</v>
          </cell>
          <cell r="C303" t="str">
            <v>Xiomara Marina</v>
          </cell>
          <cell r="D303" t="str">
            <v>Durán Olivares, Xiomara Marina</v>
          </cell>
          <cell r="E303" t="str">
            <v>xiomaramarina.duran</v>
          </cell>
          <cell r="F303" t="str">
            <v>xiomaramarina.duran@professional.universidadviu.com</v>
          </cell>
          <cell r="G303" t="str">
            <v>NO</v>
          </cell>
          <cell r="H303" t="str">
            <v>NO</v>
          </cell>
          <cell r="I303" t="str">
            <v>Doctora en ciencias de la educación</v>
          </cell>
          <cell r="J303" t="str">
            <v>Magister en Ciencias de la Educación. Mención: Gerencia Educativa</v>
          </cell>
          <cell r="K303" t="str">
            <v>Licenciada en Educación Integral, Mención: Lengua</v>
          </cell>
          <cell r="L303" t="str">
            <v/>
          </cell>
          <cell r="M303" t="str">
            <v>Professional</v>
          </cell>
          <cell r="N303" t="str">
            <v/>
          </cell>
          <cell r="O303" t="str">
            <v>CSS</v>
          </cell>
          <cell r="P303">
            <v>0</v>
          </cell>
          <cell r="Q303" t="str">
            <v xml:space="preserve"> </v>
          </cell>
          <cell r="R303"/>
          <cell r="S303"/>
          <cell r="T303" t="str">
            <v>Sin reducción</v>
          </cell>
          <cell r="U303">
            <v>0</v>
          </cell>
          <cell r="V303"/>
          <cell r="W303"/>
          <cell r="X303">
            <v>0</v>
          </cell>
          <cell r="Y303">
            <v>0</v>
          </cell>
          <cell r="Z303">
            <v>0</v>
          </cell>
          <cell r="AA303"/>
          <cell r="AB303" t="str">
            <v>Active - signed</v>
          </cell>
          <cell r="AC303" t="str">
            <v>ACTIVO</v>
          </cell>
          <cell r="AD303"/>
          <cell r="AE303"/>
          <cell r="AF303"/>
          <cell r="AG303"/>
          <cell r="AH303"/>
          <cell r="AI303">
            <v>962813390</v>
          </cell>
        </row>
        <row r="304">
          <cell r="A304" t="str">
            <v>76072936E</v>
          </cell>
          <cell r="B304" t="str">
            <v>Durán Vinagre</v>
          </cell>
          <cell r="C304" t="str">
            <v>Miguel Ángel</v>
          </cell>
          <cell r="D304" t="str">
            <v>Durán Vinagre, Miguel Ángel</v>
          </cell>
          <cell r="E304" t="str">
            <v>mduranv@professor.universidadviu.com</v>
          </cell>
          <cell r="F304" t="str">
            <v>mduranv@professor.universidadviu.com</v>
          </cell>
          <cell r="G304" t="str">
            <v>Yes</v>
          </cell>
          <cell r="H304" t="str">
            <v>Yes</v>
          </cell>
          <cell r="I304" t="str">
            <v>En educación y psicología dentro del Programa Conjunto de Doctorado en Investigación en Enseñanza y el Aprendizaje de las Ciencias Experimentales, Sociales, Matemáticas y la Actividad Física y Deportiva</v>
          </cell>
          <cell r="J304" t="str">
            <v>Graduado en Psicología con Mención en Psicología de la Salud</v>
          </cell>
          <cell r="K304" t="str">
            <v>Graduado en Educación Primaria con Mención en Educación Física</v>
          </cell>
          <cell r="L304" t="str">
            <v/>
          </cell>
          <cell r="M304" t="str">
            <v>Labour</v>
          </cell>
          <cell r="N304" t="str">
            <v>Consultar a Educación</v>
          </cell>
          <cell r="O304" t="str">
            <v>CSS</v>
          </cell>
          <cell r="P304">
            <v>100</v>
          </cell>
          <cell r="Q304" t="str">
            <v>50</v>
          </cell>
          <cell r="R304"/>
          <cell r="S304"/>
          <cell r="T304" t="str">
            <v>Sin reducción</v>
          </cell>
          <cell r="U304">
            <v>0</v>
          </cell>
          <cell r="V304">
            <v>38</v>
          </cell>
          <cell r="W304" t="str">
            <v>Educación</v>
          </cell>
          <cell r="X304">
            <v>0.6</v>
          </cell>
          <cell r="Y304">
            <v>0</v>
          </cell>
          <cell r="Z304">
            <v>0</v>
          </cell>
          <cell r="AA304"/>
          <cell r="AB304" t="str">
            <v>Active - signed</v>
          </cell>
          <cell r="AC304" t="str">
            <v>ACTIVO</v>
          </cell>
          <cell r="AD304"/>
          <cell r="AE304"/>
          <cell r="AF304"/>
          <cell r="AG304"/>
          <cell r="AH304"/>
          <cell r="AI304" t="str">
            <v>76072936E</v>
          </cell>
        </row>
        <row r="305">
          <cell r="A305" t="str">
            <v>43539487G</v>
          </cell>
          <cell r="B305" t="str">
            <v>Durban Sánchez</v>
          </cell>
          <cell r="C305" t="str">
            <v>Jordi</v>
          </cell>
          <cell r="D305" t="str">
            <v>Durban Sánchez, Jordi</v>
          </cell>
          <cell r="E305" t="str">
            <v>jordi.durban</v>
          </cell>
          <cell r="F305" t="str">
            <v>jordi.durban@professional.universidadviu.com</v>
          </cell>
          <cell r="G305" t="str">
            <v>Yes</v>
          </cell>
          <cell r="H305" t="str">
            <v>Yes</v>
          </cell>
          <cell r="I305" t="str">
            <v>Doctorado</v>
          </cell>
          <cell r="J305" t="str">
            <v/>
          </cell>
          <cell r="K305" t="str">
            <v/>
          </cell>
          <cell r="L305" t="str">
            <v/>
          </cell>
          <cell r="M305" t="str">
            <v>Professional</v>
          </cell>
          <cell r="N305" t="str">
            <v/>
          </cell>
          <cell r="O305" t="str">
            <v>CBS</v>
          </cell>
          <cell r="P305">
            <v>0</v>
          </cell>
          <cell r="Q305" t="str">
            <v xml:space="preserve"> </v>
          </cell>
          <cell r="R305"/>
          <cell r="S305"/>
          <cell r="T305" t="str">
            <v>Sin reducción</v>
          </cell>
          <cell r="U305">
            <v>0</v>
          </cell>
          <cell r="V305"/>
          <cell r="W305"/>
          <cell r="X305">
            <v>0</v>
          </cell>
          <cell r="Y305">
            <v>0</v>
          </cell>
          <cell r="Z305">
            <v>0</v>
          </cell>
          <cell r="AA305"/>
          <cell r="AB305" t="str">
            <v>Active - signed</v>
          </cell>
          <cell r="AC305" t="str">
            <v>ACTIVO</v>
          </cell>
          <cell r="AD305"/>
          <cell r="AE305"/>
          <cell r="AF305"/>
          <cell r="AG305"/>
          <cell r="AH305"/>
          <cell r="AI305" t="str">
            <v>43539487G</v>
          </cell>
        </row>
        <row r="306">
          <cell r="A306" t="str">
            <v>48727877P</v>
          </cell>
          <cell r="B306" t="str">
            <v>Duréndez Sáez</v>
          </cell>
          <cell r="C306" t="str">
            <v>Elena</v>
          </cell>
          <cell r="D306" t="str">
            <v>Duréndez Sáez, Elena</v>
          </cell>
          <cell r="E306" t="str">
            <v>edurendezs@professional.universidadviu.com</v>
          </cell>
          <cell r="F306" t="str">
            <v>edurendezs@professional.universidadviu.com</v>
          </cell>
          <cell r="G306" t="str">
            <v>Yes</v>
          </cell>
          <cell r="H306" t="str">
            <v>NO</v>
          </cell>
          <cell r="I306" t="str">
            <v>Doctorado en Biotecnología y Patología Humana</v>
          </cell>
          <cell r="J306" t="str">
            <v>Máster Universitario en Aproximaciones Moleculares en Ciencias de la Salud</v>
          </cell>
          <cell r="K306" t="str">
            <v>Grado en Biotecnología</v>
          </cell>
          <cell r="L306" t="str">
            <v/>
          </cell>
          <cell r="M306" t="str">
            <v>Professional</v>
          </cell>
          <cell r="N306" t="str">
            <v/>
          </cell>
          <cell r="O306" t="str">
            <v>CBS</v>
          </cell>
          <cell r="P306">
            <v>0</v>
          </cell>
          <cell r="Q306" t="str">
            <v xml:space="preserve"> </v>
          </cell>
          <cell r="R306"/>
          <cell r="S306"/>
          <cell r="T306" t="str">
            <v>Sin reducción</v>
          </cell>
          <cell r="U306">
            <v>0</v>
          </cell>
          <cell r="V306"/>
          <cell r="W306"/>
          <cell r="X306">
            <v>0</v>
          </cell>
          <cell r="Y306">
            <v>0</v>
          </cell>
          <cell r="Z306">
            <v>0</v>
          </cell>
          <cell r="AA306"/>
          <cell r="AB306" t="str">
            <v>Concluded</v>
          </cell>
          <cell r="AC306" t="str">
            <v>NO ACTIVO</v>
          </cell>
          <cell r="AD306"/>
          <cell r="AE306"/>
          <cell r="AF306"/>
          <cell r="AG306" t="str">
            <v>CESE DE CONTRATO</v>
          </cell>
          <cell r="AH306"/>
          <cell r="AI306" t="str">
            <v>48727877P</v>
          </cell>
        </row>
        <row r="307">
          <cell r="A307" t="str">
            <v>44140582V</v>
          </cell>
          <cell r="B307" t="str">
            <v>Echániz Serrano</v>
          </cell>
          <cell r="C307" t="str">
            <v>Emmanuel</v>
          </cell>
          <cell r="D307" t="str">
            <v>Echániz Serrano, Emmanuel</v>
          </cell>
          <cell r="E307" t="str">
            <v>emmanuel.echaniz</v>
          </cell>
          <cell r="F307" t="str">
            <v>emmanuel.echaniz@professional.universidadviu.com</v>
          </cell>
          <cell r="G307" t="str">
            <v>Yes</v>
          </cell>
          <cell r="H307" t="str">
            <v>Yes</v>
          </cell>
          <cell r="I307" t="str">
            <v>Enfermería</v>
          </cell>
          <cell r="J307" t="str">
            <v>Programa Oficial de Doctorado en Ciencias de la Salud</v>
          </cell>
          <cell r="K307" t="str">
            <v>Máster en Ciencias de la Enfermería</v>
          </cell>
          <cell r="L307" t="str">
            <v>Diplomado/a en Enfermeria</v>
          </cell>
          <cell r="M307" t="str">
            <v>Professional</v>
          </cell>
          <cell r="N307" t="str">
            <v/>
          </cell>
          <cell r="O307" t="str">
            <v>CBS</v>
          </cell>
          <cell r="P307">
            <v>0</v>
          </cell>
          <cell r="Q307" t="str">
            <v xml:space="preserve"> </v>
          </cell>
          <cell r="R307"/>
          <cell r="S307"/>
          <cell r="T307" t="str">
            <v>Sin reducción</v>
          </cell>
          <cell r="U307">
            <v>0</v>
          </cell>
          <cell r="V307"/>
          <cell r="W307"/>
          <cell r="X307">
            <v>0</v>
          </cell>
          <cell r="Y307">
            <v>0</v>
          </cell>
          <cell r="Z307">
            <v>0</v>
          </cell>
          <cell r="AA307"/>
          <cell r="AB307" t="str">
            <v>Active - signed</v>
          </cell>
          <cell r="AC307" t="str">
            <v>ACTIVO</v>
          </cell>
          <cell r="AD307"/>
          <cell r="AE307"/>
          <cell r="AF307"/>
          <cell r="AG307"/>
          <cell r="AH307"/>
          <cell r="AI307" t="str">
            <v>44140582V</v>
          </cell>
        </row>
        <row r="308">
          <cell r="A308" t="str">
            <v>33418467L</v>
          </cell>
          <cell r="B308" t="str">
            <v>Echauri Tijeras</v>
          </cell>
          <cell r="C308" t="str">
            <v>José Antonio</v>
          </cell>
          <cell r="D308" t="str">
            <v>Echauri Tijeras, José Antonio</v>
          </cell>
          <cell r="E308" t="e">
            <v>#VALUE!</v>
          </cell>
          <cell r="F308" t="str">
            <v>joseantonio.echauri@professor.universidadviu.com</v>
          </cell>
          <cell r="G308" t="e">
            <v>#VALUE!</v>
          </cell>
          <cell r="H308" t="e">
            <v>#VALUE!</v>
          </cell>
          <cell r="I308" t="str">
            <v>Programa de Líneas Actuales de Investigación en Psicología</v>
          </cell>
          <cell r="J308" t="str">
            <v>Programa de Líneas Actuales de Investigación en Psicología</v>
          </cell>
          <cell r="K308" t="str">
            <v>Licenciado en Psicología</v>
          </cell>
          <cell r="L308" t="str">
            <v/>
          </cell>
          <cell r="M308" t="e">
            <v>#VALUE!</v>
          </cell>
          <cell r="N308" t="str">
            <v>Rama Galdón, Encarnación</v>
          </cell>
          <cell r="O308" t="str">
            <v>CSS</v>
          </cell>
          <cell r="P308" t="str">
            <v xml:space="preserve"> </v>
          </cell>
          <cell r="Q308" t="b">
            <v>0</v>
          </cell>
          <cell r="R308"/>
          <cell r="S308"/>
          <cell r="T308" t="str">
            <v>Sin reducción</v>
          </cell>
          <cell r="U308">
            <v>0</v>
          </cell>
          <cell r="V308"/>
          <cell r="W308"/>
          <cell r="X308">
            <v>0</v>
          </cell>
          <cell r="Y308">
            <v>0</v>
          </cell>
          <cell r="Z308">
            <v>0</v>
          </cell>
          <cell r="AA308"/>
          <cell r="AB308" t="e">
            <v>#VALUE!</v>
          </cell>
          <cell r="AC308" t="str">
            <v>BAJA TEMPORAL</v>
          </cell>
          <cell r="AD308">
            <v>45170</v>
          </cell>
          <cell r="AE308">
            <v>46630</v>
          </cell>
          <cell r="AF308"/>
          <cell r="AG308" t="str">
            <v>EXCEDENCIA</v>
          </cell>
          <cell r="AH308"/>
          <cell r="AI308" t="str">
            <v>33418467L</v>
          </cell>
        </row>
        <row r="309">
          <cell r="A309" t="str">
            <v>PE42150687</v>
          </cell>
          <cell r="B309" t="str">
            <v>Echavarría Ramírez</v>
          </cell>
          <cell r="C309" t="str">
            <v>Luis Miguel</v>
          </cell>
          <cell r="D309" t="str">
            <v>Echavarría Ramírez, Luis Miguel</v>
          </cell>
          <cell r="E309" t="str">
            <v>luismiguel.echavarria</v>
          </cell>
          <cell r="F309" t="str">
            <v>luismiguel.echavarria@professional.universidadviu.com</v>
          </cell>
          <cell r="G309" t="str">
            <v>NO</v>
          </cell>
          <cell r="H309" t="str">
            <v>NO</v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>Professional</v>
          </cell>
          <cell r="N309"/>
          <cell r="O309" t="str">
            <v>CSS</v>
          </cell>
          <cell r="P309">
            <v>0</v>
          </cell>
          <cell r="Q309" t="str">
            <v xml:space="preserve"> </v>
          </cell>
          <cell r="R309"/>
          <cell r="S309"/>
          <cell r="T309" t="str">
            <v>Sin reducción</v>
          </cell>
          <cell r="U309">
            <v>0</v>
          </cell>
          <cell r="V309"/>
          <cell r="W309"/>
          <cell r="X309">
            <v>0</v>
          </cell>
          <cell r="Y309">
            <v>0</v>
          </cell>
          <cell r="Z309">
            <v>0</v>
          </cell>
          <cell r="AA309"/>
          <cell r="AB309" t="str">
            <v>Active - signed</v>
          </cell>
          <cell r="AC309" t="str">
            <v>ACTIVO</v>
          </cell>
          <cell r="AD309"/>
          <cell r="AE309"/>
          <cell r="AF309"/>
          <cell r="AG309"/>
          <cell r="AH309"/>
          <cell r="AI309" t="str">
            <v>PE42150687</v>
          </cell>
        </row>
        <row r="310">
          <cell r="A310" t="str">
            <v>72847638Z</v>
          </cell>
          <cell r="B310" t="str">
            <v>Egea Carro</v>
          </cell>
          <cell r="C310" t="str">
            <v>María</v>
          </cell>
          <cell r="D310" t="str">
            <v>Egea Carro, María</v>
          </cell>
          <cell r="E310" t="str">
            <v>maria.egea.c</v>
          </cell>
          <cell r="F310" t="str">
            <v>maria.egea.c@professional.universidadviu.com</v>
          </cell>
          <cell r="G310" t="str">
            <v>NO</v>
          </cell>
          <cell r="H310" t="str">
            <v>NO</v>
          </cell>
          <cell r="I310" t="str">
            <v>Enfermería</v>
          </cell>
          <cell r="J310" t="str">
            <v>Master Universitario en Direccion y Gestion de Enfermeria</v>
          </cell>
          <cell r="K310" t="str">
            <v/>
          </cell>
          <cell r="L310" t="str">
            <v/>
          </cell>
          <cell r="M310" t="str">
            <v>Professional</v>
          </cell>
          <cell r="N310" t="str">
            <v/>
          </cell>
          <cell r="O310" t="str">
            <v>CBS</v>
          </cell>
          <cell r="P310">
            <v>0</v>
          </cell>
          <cell r="Q310" t="str">
            <v xml:space="preserve"> </v>
          </cell>
          <cell r="R310"/>
          <cell r="S310"/>
          <cell r="T310" t="str">
            <v>Sin reducción</v>
          </cell>
          <cell r="U310">
            <v>0</v>
          </cell>
          <cell r="V310"/>
          <cell r="W310"/>
          <cell r="X310">
            <v>0</v>
          </cell>
          <cell r="Y310">
            <v>0</v>
          </cell>
          <cell r="Z310">
            <v>0</v>
          </cell>
          <cell r="AA310"/>
          <cell r="AB310" t="str">
            <v>Active - signed</v>
          </cell>
          <cell r="AC310" t="str">
            <v>ACTIVO</v>
          </cell>
          <cell r="AD310"/>
          <cell r="AE310"/>
          <cell r="AF310"/>
          <cell r="AG310"/>
          <cell r="AH310"/>
          <cell r="AI310" t="str">
            <v>72847638Z</v>
          </cell>
        </row>
        <row r="311">
          <cell r="A311" t="str">
            <v>45100758N</v>
          </cell>
          <cell r="B311" t="str">
            <v>El Hichou Ahmed</v>
          </cell>
          <cell r="C311" t="str">
            <v>Chaima</v>
          </cell>
          <cell r="D311" t="str">
            <v>El Hichou Ahmed, Chaima</v>
          </cell>
          <cell r="E311" t="str">
            <v>celhichoua@professor.universidadviu.com</v>
          </cell>
          <cell r="F311" t="str">
            <v>celhichoua@professor.universidadviu.com</v>
          </cell>
          <cell r="G311" t="str">
            <v>NO</v>
          </cell>
          <cell r="H311" t="str">
            <v>NO</v>
          </cell>
          <cell r="I311" t="str">
            <v>Máster universitario en Economía y Desarrollo Territorial</v>
          </cell>
          <cell r="J311" t="str">
            <v>Grado en Administración y Dirección de Empresas</v>
          </cell>
          <cell r="K311" t="str">
            <v/>
          </cell>
          <cell r="L311" t="str">
            <v/>
          </cell>
          <cell r="M311" t="str">
            <v>Labour</v>
          </cell>
          <cell r="N311"/>
          <cell r="O311" t="str">
            <v>CSS</v>
          </cell>
          <cell r="P311">
            <v>100</v>
          </cell>
          <cell r="Q311" t="str">
            <v>50</v>
          </cell>
          <cell r="R311"/>
          <cell r="S311"/>
          <cell r="T311" t="str">
            <v>Sin reducción</v>
          </cell>
          <cell r="U311">
            <v>0</v>
          </cell>
          <cell r="V311">
            <v>49.3</v>
          </cell>
          <cell r="W311" t="str">
            <v>EMPRESA</v>
          </cell>
          <cell r="X311">
            <v>0</v>
          </cell>
          <cell r="Y311">
            <v>0</v>
          </cell>
          <cell r="Z311">
            <v>0</v>
          </cell>
          <cell r="AA311"/>
          <cell r="AB311" t="str">
            <v>Active - signed</v>
          </cell>
          <cell r="AC311" t="str">
            <v>ACTIVO</v>
          </cell>
          <cell r="AD311"/>
          <cell r="AE311"/>
          <cell r="AF311"/>
          <cell r="AG311"/>
          <cell r="AH311"/>
          <cell r="AI311" t="str">
            <v>45100758N</v>
          </cell>
        </row>
        <row r="312">
          <cell r="A312" t="str">
            <v>CA66712BG</v>
          </cell>
          <cell r="B312" t="str">
            <v>Eleta</v>
          </cell>
          <cell r="C312" t="str">
            <v>Paula Gabriela</v>
          </cell>
          <cell r="D312" t="str">
            <v>Eleta, Paula Gabriela</v>
          </cell>
          <cell r="E312" t="str">
            <v>paulagabriela.eleta</v>
          </cell>
          <cell r="F312" t="str">
            <v>paulagabriela.eleta@professional.universidadviu.com</v>
          </cell>
          <cell r="G312" t="str">
            <v>Yes</v>
          </cell>
          <cell r="H312" t="str">
            <v>NO</v>
          </cell>
          <cell r="I312" t="str">
            <v>Programa en Sociología y Política Social</v>
          </cell>
          <cell r="J312" t="str">
            <v>Curso de especialización - Euro designer para el tercer sector</v>
          </cell>
          <cell r="K312" t="str">
            <v>Licenciatura en Sociología</v>
          </cell>
          <cell r="L312" t="str">
            <v/>
          </cell>
          <cell r="M312" t="str">
            <v>Professional</v>
          </cell>
          <cell r="N312" t="str">
            <v/>
          </cell>
          <cell r="O312" t="str">
            <v>CSS</v>
          </cell>
          <cell r="P312">
            <v>0</v>
          </cell>
          <cell r="Q312" t="str">
            <v xml:space="preserve"> </v>
          </cell>
          <cell r="R312"/>
          <cell r="S312"/>
          <cell r="T312" t="str">
            <v>Sin reducción</v>
          </cell>
          <cell r="U312">
            <v>0</v>
          </cell>
          <cell r="V312"/>
          <cell r="W312"/>
          <cell r="X312">
            <v>0</v>
          </cell>
          <cell r="Y312">
            <v>0</v>
          </cell>
          <cell r="Z312">
            <v>0</v>
          </cell>
          <cell r="AA312"/>
          <cell r="AB312" t="str">
            <v>Concluded</v>
          </cell>
          <cell r="AC312" t="str">
            <v>NO ACTIVO</v>
          </cell>
          <cell r="AD312"/>
          <cell r="AE312"/>
          <cell r="AF312">
            <v>45222</v>
          </cell>
          <cell r="AG312" t="str">
            <v>CESE DE CONTRATO</v>
          </cell>
          <cell r="AH312"/>
          <cell r="AI312" t="str">
            <v>CA66712BG</v>
          </cell>
        </row>
        <row r="313">
          <cell r="A313" t="str">
            <v>Y1438141B</v>
          </cell>
          <cell r="B313" t="str">
            <v>Elices</v>
          </cell>
          <cell r="C313" t="str">
            <v>Matilde</v>
          </cell>
          <cell r="D313" t="str">
            <v>Elices, Matilde</v>
          </cell>
          <cell r="E313" t="str">
            <v>matilde.elices</v>
          </cell>
          <cell r="F313" t="str">
            <v>matilde.elices@professional.universidadviu.com</v>
          </cell>
          <cell r="G313" t="str">
            <v>Yes</v>
          </cell>
          <cell r="H313" t="str">
            <v>NO</v>
          </cell>
          <cell r="I313" t="str">
            <v>Psicología</v>
          </cell>
          <cell r="J313" t="str">
            <v>Programa Oficial de Doctorado en Psiquiatría</v>
          </cell>
          <cell r="K313" t="str">
            <v/>
          </cell>
          <cell r="L313" t="str">
            <v/>
          </cell>
          <cell r="M313" t="str">
            <v>Professional</v>
          </cell>
          <cell r="N313" t="str">
            <v/>
          </cell>
          <cell r="O313" t="str">
            <v>CSS</v>
          </cell>
          <cell r="P313">
            <v>0</v>
          </cell>
          <cell r="Q313" t="str">
            <v xml:space="preserve"> </v>
          </cell>
          <cell r="R313"/>
          <cell r="S313"/>
          <cell r="T313" t="str">
            <v>Sin reducción</v>
          </cell>
          <cell r="U313">
            <v>0</v>
          </cell>
          <cell r="V313"/>
          <cell r="W313"/>
          <cell r="X313">
            <v>0</v>
          </cell>
          <cell r="Y313">
            <v>0</v>
          </cell>
          <cell r="Z313">
            <v>0</v>
          </cell>
          <cell r="AA313"/>
          <cell r="AB313" t="str">
            <v>Active - signed</v>
          </cell>
          <cell r="AC313" t="str">
            <v>ACTIVO</v>
          </cell>
          <cell r="AD313"/>
          <cell r="AE313"/>
          <cell r="AF313"/>
          <cell r="AG313"/>
          <cell r="AH313"/>
          <cell r="AI313" t="str">
            <v>Y1438141B</v>
          </cell>
        </row>
        <row r="314">
          <cell r="A314" t="str">
            <v>78939856S</v>
          </cell>
          <cell r="B314" t="str">
            <v>Elorriaga Rubio</v>
          </cell>
          <cell r="C314" t="str">
            <v>Maitane</v>
          </cell>
          <cell r="D314" t="str">
            <v>Elorriaga Rubio, Maitane</v>
          </cell>
          <cell r="E314" t="str">
            <v>melorriagar@professor.universidadviu.com</v>
          </cell>
          <cell r="F314" t="str">
            <v>melorriagar@professional.universidadviu.com</v>
          </cell>
          <cell r="G314" t="str">
            <v>Yes</v>
          </cell>
          <cell r="H314" t="str">
            <v>NO</v>
          </cell>
          <cell r="I314" t="str">
            <v>Licenciatura en Psicología</v>
          </cell>
          <cell r="J314" t="str">
            <v>Doctorado en Psicología</v>
          </cell>
          <cell r="K314" t="str">
            <v/>
          </cell>
          <cell r="L314" t="str">
            <v/>
          </cell>
          <cell r="M314" t="str">
            <v>Labour</v>
          </cell>
          <cell r="N314" t="str">
            <v/>
          </cell>
          <cell r="O314" t="str">
            <v>CSS</v>
          </cell>
          <cell r="P314">
            <v>100</v>
          </cell>
          <cell r="Q314" t="str">
            <v>50</v>
          </cell>
          <cell r="R314"/>
          <cell r="S314"/>
          <cell r="T314" t="str">
            <v>Sin reducción</v>
          </cell>
          <cell r="U314">
            <v>0</v>
          </cell>
          <cell r="V314">
            <v>28</v>
          </cell>
          <cell r="W314" t="str">
            <v>EDUCACIÓN</v>
          </cell>
          <cell r="X314">
            <v>9.8000000000000007</v>
          </cell>
          <cell r="Y314">
            <v>0</v>
          </cell>
          <cell r="Z314">
            <v>0</v>
          </cell>
          <cell r="AA314"/>
          <cell r="AB314" t="str">
            <v>Active - signed</v>
          </cell>
          <cell r="AC314" t="str">
            <v>ACTIVO</v>
          </cell>
          <cell r="AD314"/>
          <cell r="AE314"/>
          <cell r="AF314"/>
          <cell r="AG314"/>
          <cell r="AH314"/>
          <cell r="AI314" t="str">
            <v>78939856S</v>
          </cell>
        </row>
        <row r="315">
          <cell r="A315" t="str">
            <v>18961385R</v>
          </cell>
          <cell r="B315" t="str">
            <v>Escarabajal Arrieta</v>
          </cell>
          <cell r="C315" t="str">
            <v>María Dolores</v>
          </cell>
          <cell r="D315" t="str">
            <v>Escarabajal Arrieta, María Dolores</v>
          </cell>
          <cell r="E315" t="str">
            <v>mariadolores.escarabajal</v>
          </cell>
          <cell r="F315" t="str">
            <v>mariadolores.escarabajal@professional.universidadviu.com</v>
          </cell>
          <cell r="G315" t="str">
            <v>Yes</v>
          </cell>
          <cell r="H315" t="str">
            <v>Yes</v>
          </cell>
          <cell r="I315" t="str">
            <v>Licenciada en Psicología</v>
          </cell>
          <cell r="J315" t="str">
            <v>Enfoques actuales en psicología clínica y experimental</v>
          </cell>
          <cell r="K315" t="str">
            <v>Premio extraordinario Licenciatura en Psicologia</v>
          </cell>
          <cell r="L315" t="str">
            <v/>
          </cell>
          <cell r="M315" t="str">
            <v>Professional</v>
          </cell>
          <cell r="N315" t="str">
            <v/>
          </cell>
          <cell r="O315" t="str">
            <v>CSS</v>
          </cell>
          <cell r="P315">
            <v>0</v>
          </cell>
          <cell r="Q315" t="str">
            <v xml:space="preserve"> </v>
          </cell>
          <cell r="R315"/>
          <cell r="S315"/>
          <cell r="T315" t="str">
            <v>Sin reducción</v>
          </cell>
          <cell r="U315">
            <v>0</v>
          </cell>
          <cell r="V315"/>
          <cell r="W315"/>
          <cell r="X315">
            <v>0</v>
          </cell>
          <cell r="Y315">
            <v>0</v>
          </cell>
          <cell r="Z315">
            <v>0</v>
          </cell>
          <cell r="AA315"/>
          <cell r="AB315" t="str">
            <v>Active - signed</v>
          </cell>
          <cell r="AC315" t="str">
            <v>ACTIVO</v>
          </cell>
          <cell r="AD315"/>
          <cell r="AE315"/>
          <cell r="AF315"/>
          <cell r="AG315"/>
          <cell r="AH315"/>
          <cell r="AI315" t="str">
            <v>18961385R</v>
          </cell>
        </row>
        <row r="316">
          <cell r="A316" t="str">
            <v>43426898T</v>
          </cell>
          <cell r="B316" t="str">
            <v>Escobar García</v>
          </cell>
          <cell r="C316" t="str">
            <v>Purificación</v>
          </cell>
          <cell r="D316" t="str">
            <v>Escobar García, Purificación</v>
          </cell>
          <cell r="E316" t="str">
            <v>pescobarg@professional.universidadviu.com</v>
          </cell>
          <cell r="F316" t="str">
            <v>pescobarg@professional.universidadviu.com</v>
          </cell>
          <cell r="G316" t="str">
            <v>Yes</v>
          </cell>
          <cell r="H316" t="str">
            <v>NO</v>
          </cell>
          <cell r="I316" t="str">
            <v>Doctora en psicologia clínica y de la salud</v>
          </cell>
          <cell r="J316" t="str">
            <v>Máster en Psicologia General Sanitària</v>
          </cell>
          <cell r="K316" t="str">
            <v>Licenciada en Psicologia</v>
          </cell>
          <cell r="L316" t="str">
            <v/>
          </cell>
          <cell r="M316" t="str">
            <v>Professional</v>
          </cell>
          <cell r="N316" t="str">
            <v/>
          </cell>
          <cell r="O316" t="str">
            <v>CSS</v>
          </cell>
          <cell r="P316">
            <v>0</v>
          </cell>
          <cell r="Q316" t="str">
            <v xml:space="preserve"> </v>
          </cell>
          <cell r="R316"/>
          <cell r="S316"/>
          <cell r="T316" t="str">
            <v>Sin reducción</v>
          </cell>
          <cell r="U316">
            <v>0</v>
          </cell>
          <cell r="V316"/>
          <cell r="W316"/>
          <cell r="X316">
            <v>0</v>
          </cell>
          <cell r="Y316">
            <v>0</v>
          </cell>
          <cell r="Z316">
            <v>0</v>
          </cell>
          <cell r="AA316"/>
          <cell r="AB316" t="str">
            <v>Active - signed</v>
          </cell>
          <cell r="AC316" t="str">
            <v>ACTIVO</v>
          </cell>
          <cell r="AD316"/>
          <cell r="AE316"/>
          <cell r="AF316"/>
          <cell r="AG316"/>
          <cell r="AH316"/>
          <cell r="AI316" t="str">
            <v>43426898T</v>
          </cell>
        </row>
        <row r="317">
          <cell r="A317" t="str">
            <v>46774837J</v>
          </cell>
          <cell r="B317" t="str">
            <v>Escobar Vicent</v>
          </cell>
          <cell r="C317" t="str">
            <v>Alejandro</v>
          </cell>
          <cell r="D317" t="str">
            <v>Escobar Vicent, Alejandro</v>
          </cell>
          <cell r="E317" t="str">
            <v>alejandro.escobar</v>
          </cell>
          <cell r="F317" t="str">
            <v>alejandro.escobar@professor.universidadviu.com</v>
          </cell>
          <cell r="G317" t="str">
            <v>Yes</v>
          </cell>
          <cell r="H317" t="str">
            <v>NO</v>
          </cell>
          <cell r="I317" t="str">
            <v>Doctorado en Ciudadanía y derechos humanos</v>
          </cell>
          <cell r="J317" t="str">
            <v>Doctorado en Ciudadanía y derechos humanos</v>
          </cell>
          <cell r="K317" t="str">
            <v>Graduado en Humanidades</v>
          </cell>
          <cell r="L317" t="str">
            <v/>
          </cell>
          <cell r="M317" t="str">
            <v>Labour</v>
          </cell>
          <cell r="N317" t="str">
            <v>Consultar a Facultad Artes y Humanidades</v>
          </cell>
          <cell r="O317" t="str">
            <v>CBS</v>
          </cell>
          <cell r="P317">
            <v>100</v>
          </cell>
          <cell r="Q317" t="str">
            <v>50</v>
          </cell>
          <cell r="R317"/>
          <cell r="S317"/>
          <cell r="T317" t="str">
            <v>Sin reducción</v>
          </cell>
          <cell r="U317">
            <v>0</v>
          </cell>
          <cell r="V317">
            <v>6</v>
          </cell>
          <cell r="W317" t="str">
            <v>ARTES</v>
          </cell>
          <cell r="X317">
            <v>0</v>
          </cell>
          <cell r="Y317">
            <v>18</v>
          </cell>
          <cell r="Z317">
            <v>12</v>
          </cell>
          <cell r="AA317"/>
          <cell r="AB317" t="str">
            <v>Active - signed</v>
          </cell>
          <cell r="AC317" t="str">
            <v>ACTIVO</v>
          </cell>
          <cell r="AD317"/>
          <cell r="AE317"/>
          <cell r="AF317"/>
          <cell r="AG317"/>
          <cell r="AH317"/>
          <cell r="AI317" t="str">
            <v>46774837J</v>
          </cell>
        </row>
        <row r="318">
          <cell r="A318" t="str">
            <v>24314590W</v>
          </cell>
          <cell r="B318" t="str">
            <v>Escribano Martínez</v>
          </cell>
          <cell r="C318" t="str">
            <v>Ángela</v>
          </cell>
          <cell r="D318" t="str">
            <v>Escribano Martínez, Ángela</v>
          </cell>
          <cell r="E318" t="str">
            <v>angel.escribano.m</v>
          </cell>
          <cell r="F318" t="str">
            <v>angel.escribano.m@professor.universidadviu.com</v>
          </cell>
          <cell r="G318" t="str">
            <v>Yes</v>
          </cell>
          <cell r="H318" t="str">
            <v>NO</v>
          </cell>
          <cell r="I318" t="str">
            <v>Programa de Doctorado en Derechos Humanos, Democracia y Justicia Internacional</v>
          </cell>
          <cell r="J318" t="str">
            <v xml:space="preserve">Licenciada en Ciencias del Trabajo </v>
          </cell>
          <cell r="K318" t="str">
            <v>Máster en Derecho y Violencia de Género</v>
          </cell>
          <cell r="L318" t="str">
            <v>Máster Universitario en Género y Políticas de Igualdad</v>
          </cell>
          <cell r="M318" t="str">
            <v>Labour</v>
          </cell>
          <cell r="N318"/>
          <cell r="O318" t="str">
            <v>CSS</v>
          </cell>
          <cell r="P318" t="str">
            <v>40,00</v>
          </cell>
          <cell r="Q318" t="b">
            <v>0</v>
          </cell>
          <cell r="R318"/>
          <cell r="S318"/>
          <cell r="T318" t="str">
            <v>Sin reducción</v>
          </cell>
          <cell r="U318">
            <v>0</v>
          </cell>
          <cell r="V318">
            <v>28.5</v>
          </cell>
          <cell r="W318" t="str">
            <v>JURÍDICO</v>
          </cell>
          <cell r="X318">
            <v>0</v>
          </cell>
          <cell r="Y318">
            <v>0</v>
          </cell>
          <cell r="Z318">
            <v>0</v>
          </cell>
          <cell r="AA318"/>
          <cell r="AB318" t="str">
            <v>Concluded</v>
          </cell>
          <cell r="AC318" t="str">
            <v>NO ACTIVO</v>
          </cell>
          <cell r="AD318"/>
          <cell r="AE318"/>
          <cell r="AF318">
            <v>45535</v>
          </cell>
          <cell r="AG318" t="str">
            <v>CESE DE CONTRATO</v>
          </cell>
          <cell r="AH318"/>
          <cell r="AI318" t="str">
            <v>24314590W</v>
          </cell>
        </row>
        <row r="319">
          <cell r="A319" t="str">
            <v>07264369A</v>
          </cell>
          <cell r="B319" t="str">
            <v>Escriche Escuder</v>
          </cell>
          <cell r="C319" t="str">
            <v>Adrián</v>
          </cell>
          <cell r="D319" t="str">
            <v>Escriche Escuder, Adrián</v>
          </cell>
          <cell r="E319" t="str">
            <v>adrian.escriche</v>
          </cell>
          <cell r="F319" t="str">
            <v>adrian.escriche@professor.universidadviu.com</v>
          </cell>
          <cell r="G319" t="str">
            <v>Yes</v>
          </cell>
          <cell r="H319" t="str">
            <v>Yes</v>
          </cell>
          <cell r="I319" t="str">
            <v>Fisioterapia</v>
          </cell>
          <cell r="J319" t="str">
            <v>Experto universitario en ejercicio terapéutico y readaptación funcional en fisioterapia</v>
          </cell>
          <cell r="K319" t="str">
            <v>Graduado en Fisioterapia</v>
          </cell>
          <cell r="L319" t="str">
            <v>Máster Universitario en Recuperación Funcional en Fisioterapia</v>
          </cell>
          <cell r="M319" t="str">
            <v>Labour</v>
          </cell>
          <cell r="N319"/>
          <cell r="O319" t="str">
            <v>CBS</v>
          </cell>
          <cell r="P319" t="str">
            <v>50,00</v>
          </cell>
          <cell r="Q319" t="b">
            <v>0</v>
          </cell>
          <cell r="R319"/>
          <cell r="S319"/>
          <cell r="T319" t="str">
            <v>Sin reducción</v>
          </cell>
          <cell r="U319">
            <v>0</v>
          </cell>
          <cell r="V319"/>
          <cell r="W319"/>
          <cell r="X319">
            <v>0</v>
          </cell>
          <cell r="Y319">
            <v>0</v>
          </cell>
          <cell r="Z319">
            <v>0</v>
          </cell>
          <cell r="AA319"/>
          <cell r="AB319" t="str">
            <v>Concluded</v>
          </cell>
          <cell r="AC319" t="str">
            <v>NO ACTIVO</v>
          </cell>
          <cell r="AD319"/>
          <cell r="AE319"/>
          <cell r="AF319">
            <v>45169</v>
          </cell>
          <cell r="AG319" t="str">
            <v>CESE DE CONTRATO</v>
          </cell>
          <cell r="AH319"/>
          <cell r="AI319" t="str">
            <v>07264369A</v>
          </cell>
        </row>
        <row r="320">
          <cell r="A320" t="str">
            <v>07264368W</v>
          </cell>
          <cell r="B320" t="str">
            <v>Escriche Escuder</v>
          </cell>
          <cell r="C320" t="str">
            <v>Sandra</v>
          </cell>
          <cell r="D320" t="str">
            <v>Escriche Escuder, Sandra</v>
          </cell>
          <cell r="E320" t="str">
            <v>sandra.escriche</v>
          </cell>
          <cell r="F320" t="str">
            <v>sandra.escriche@professional.universidadviu.com</v>
          </cell>
          <cell r="G320" t="str">
            <v>NO</v>
          </cell>
          <cell r="H320" t="str">
            <v>NO</v>
          </cell>
          <cell r="I320" t="str">
            <v>Ingeniera industrial</v>
          </cell>
          <cell r="J320" t="str">
            <v>Master universitario en administración y dirección de empresas</v>
          </cell>
          <cell r="K320" t="str">
            <v/>
          </cell>
          <cell r="L320" t="str">
            <v/>
          </cell>
          <cell r="M320" t="str">
            <v>Professional</v>
          </cell>
          <cell r="N320" t="str">
            <v/>
          </cell>
          <cell r="O320" t="str">
            <v>CBS</v>
          </cell>
          <cell r="P320">
            <v>0</v>
          </cell>
          <cell r="Q320" t="str">
            <v xml:space="preserve"> </v>
          </cell>
          <cell r="R320"/>
          <cell r="S320"/>
          <cell r="T320" t="str">
            <v>Sin reducción</v>
          </cell>
          <cell r="U320">
            <v>0</v>
          </cell>
          <cell r="V320"/>
          <cell r="W320"/>
          <cell r="X320">
            <v>0</v>
          </cell>
          <cell r="Y320">
            <v>0</v>
          </cell>
          <cell r="Z320">
            <v>0</v>
          </cell>
          <cell r="AA320"/>
          <cell r="AB320" t="str">
            <v>Active - signed</v>
          </cell>
          <cell r="AC320" t="str">
            <v>ACTIVO</v>
          </cell>
          <cell r="AD320"/>
          <cell r="AE320"/>
          <cell r="AF320"/>
          <cell r="AG320"/>
          <cell r="AH320"/>
          <cell r="AI320" t="str">
            <v>07264368W</v>
          </cell>
        </row>
        <row r="321">
          <cell r="A321" t="str">
            <v>45631337G</v>
          </cell>
          <cell r="B321" t="str">
            <v>Escrivá Peiró</v>
          </cell>
          <cell r="C321" t="str">
            <v>Dolores</v>
          </cell>
          <cell r="D321" t="str">
            <v>Escrivá Peiró, Dolores</v>
          </cell>
          <cell r="E321" t="str">
            <v>dolores.escriva</v>
          </cell>
          <cell r="F321" t="str">
            <v>dolores.escriva@professional.universidadviu.com</v>
          </cell>
          <cell r="G321" t="str">
            <v>Yes</v>
          </cell>
          <cell r="H321" t="str">
            <v>Yes</v>
          </cell>
          <cell r="I321" t="str">
            <v>Enfermería</v>
          </cell>
          <cell r="J321" t="str">
            <v>Programa Oficial de Doctorado en Enfermería Integral</v>
          </cell>
          <cell r="K321" t="str">
            <v>Graduado/a en Enfermeria</v>
          </cell>
          <cell r="L321" t="str">
            <v>MU Dirección y Gestión de centros sociosanitarios</v>
          </cell>
          <cell r="M321" t="str">
            <v>Professional</v>
          </cell>
          <cell r="N321" t="str">
            <v/>
          </cell>
          <cell r="O321" t="str">
            <v>CBS</v>
          </cell>
          <cell r="P321">
            <v>0</v>
          </cell>
          <cell r="Q321" t="str">
            <v xml:space="preserve"> </v>
          </cell>
          <cell r="R321"/>
          <cell r="S321"/>
          <cell r="T321" t="str">
            <v>Sin reducción</v>
          </cell>
          <cell r="U321">
            <v>0</v>
          </cell>
          <cell r="V321"/>
          <cell r="W321"/>
          <cell r="X321">
            <v>0</v>
          </cell>
          <cell r="Y321">
            <v>0</v>
          </cell>
          <cell r="Z321">
            <v>0</v>
          </cell>
          <cell r="AA321"/>
          <cell r="AB321" t="str">
            <v>Active - signed</v>
          </cell>
          <cell r="AC321" t="str">
            <v>ACTIVO</v>
          </cell>
          <cell r="AD321"/>
          <cell r="AE321"/>
          <cell r="AF321"/>
          <cell r="AG321"/>
          <cell r="AH321"/>
          <cell r="AI321" t="str">
            <v>45631337G</v>
          </cell>
        </row>
        <row r="322">
          <cell r="A322" t="str">
            <v>33451372B</v>
          </cell>
          <cell r="B322" t="str">
            <v>Escuder Briz</v>
          </cell>
          <cell r="C322" t="str">
            <v>María José</v>
          </cell>
          <cell r="D322" t="str">
            <v>Escuder Briz, María José</v>
          </cell>
          <cell r="E322" t="str">
            <v>mariajose.escuder</v>
          </cell>
          <cell r="F322" t="str">
            <v>mariajose.escuder@professor.universidadviu.com</v>
          </cell>
          <cell r="G322" t="str">
            <v>Yes</v>
          </cell>
          <cell r="H322" t="str">
            <v>NO</v>
          </cell>
          <cell r="I322" t="str">
            <v>Programa Oficial de Doctorado en Comunicación y Ciencias Sociales</v>
          </cell>
          <cell r="J322" t="str">
            <v>Programa Oficial de Doctorado en Comunicación y Ciencias Sociales</v>
          </cell>
          <cell r="K322" t="str">
            <v xml:space="preserve">Licenciado en Ciencias de la Información </v>
          </cell>
          <cell r="L322" t="str">
            <v/>
          </cell>
          <cell r="M322" t="str">
            <v>Labour</v>
          </cell>
          <cell r="N322" t="str">
            <v>Consultar a Facultad Artes y Humanidades</v>
          </cell>
          <cell r="O322" t="str">
            <v>CBS</v>
          </cell>
          <cell r="P322">
            <v>75</v>
          </cell>
          <cell r="Q322" t="str">
            <v>46</v>
          </cell>
          <cell r="R322"/>
          <cell r="S322"/>
          <cell r="T322" t="str">
            <v>Sin reducción</v>
          </cell>
          <cell r="U322">
            <v>0</v>
          </cell>
          <cell r="V322">
            <v>26</v>
          </cell>
          <cell r="W322" t="str">
            <v>ARTES</v>
          </cell>
          <cell r="X322">
            <v>0</v>
          </cell>
          <cell r="Y322">
            <v>12</v>
          </cell>
          <cell r="Z322">
            <v>0</v>
          </cell>
          <cell r="AA322"/>
          <cell r="AB322" t="str">
            <v>Active - signed</v>
          </cell>
          <cell r="AC322" t="str">
            <v>ACTIVO</v>
          </cell>
          <cell r="AD322"/>
          <cell r="AE322"/>
          <cell r="AF322"/>
          <cell r="AG322"/>
          <cell r="AH322"/>
          <cell r="AI322" t="str">
            <v>33451372B</v>
          </cell>
        </row>
        <row r="323">
          <cell r="A323" t="str">
            <v>20901049Y</v>
          </cell>
          <cell r="B323" t="str">
            <v>Escudero Lara</v>
          </cell>
          <cell r="C323" t="str">
            <v>Alejandra</v>
          </cell>
          <cell r="D323" t="str">
            <v>Escudero Lara, Alejandra</v>
          </cell>
          <cell r="E323" t="str">
            <v>alejandra.escudero</v>
          </cell>
          <cell r="F323" t="str">
            <v>alejandra.escudero@professional.universidadviu.com</v>
          </cell>
          <cell r="G323" t="str">
            <v>Yes</v>
          </cell>
          <cell r="H323" t="str">
            <v>NO</v>
          </cell>
          <cell r="I323" t="str">
            <v>Biotecnología</v>
          </cell>
          <cell r="J323" t="str">
            <v>Master universitario en industria farmaceutica y biotecnologia</v>
          </cell>
          <cell r="K323" t="str">
            <v>Doctorado en Biomedicina</v>
          </cell>
          <cell r="L323" t="str">
            <v/>
          </cell>
          <cell r="M323" t="str">
            <v>Professional</v>
          </cell>
          <cell r="N323" t="str">
            <v/>
          </cell>
          <cell r="O323" t="str">
            <v>CBS</v>
          </cell>
          <cell r="P323">
            <v>0</v>
          </cell>
          <cell r="Q323" t="str">
            <v xml:space="preserve"> </v>
          </cell>
          <cell r="R323"/>
          <cell r="S323"/>
          <cell r="T323" t="str">
            <v>Sin reducción</v>
          </cell>
          <cell r="U323">
            <v>0</v>
          </cell>
          <cell r="V323"/>
          <cell r="W323"/>
          <cell r="X323">
            <v>0</v>
          </cell>
          <cell r="Y323">
            <v>0</v>
          </cell>
          <cell r="Z323">
            <v>0</v>
          </cell>
          <cell r="AA323"/>
          <cell r="AB323" t="str">
            <v>Active - signed</v>
          </cell>
          <cell r="AC323" t="str">
            <v>ACTIVO</v>
          </cell>
          <cell r="AD323"/>
          <cell r="AE323"/>
          <cell r="AF323"/>
          <cell r="AG323"/>
          <cell r="AH323"/>
          <cell r="AI323" t="str">
            <v>20901049Y</v>
          </cell>
        </row>
        <row r="324">
          <cell r="A324" t="str">
            <v>51118871Z</v>
          </cell>
          <cell r="B324" t="str">
            <v>Escudero Moreno</v>
          </cell>
          <cell r="C324" t="str">
            <v>Berta</v>
          </cell>
          <cell r="D324" t="str">
            <v>Escudero Moreno, Berta</v>
          </cell>
          <cell r="E324" t="str">
            <v>bescuderom@professional.universidadviu.com</v>
          </cell>
          <cell r="F324" t="str">
            <v>bescuderom@professional.universidadviu.com</v>
          </cell>
          <cell r="G324" t="str">
            <v>Yes</v>
          </cell>
          <cell r="H324" t="str">
            <v>NO</v>
          </cell>
          <cell r="I324" t="str">
            <v>Máster Universitario en Psicología General Sanitaria</v>
          </cell>
          <cell r="J324" t="str">
            <v/>
          </cell>
          <cell r="K324" t="str">
            <v/>
          </cell>
          <cell r="L324" t="str">
            <v/>
          </cell>
          <cell r="M324" t="str">
            <v>Professional</v>
          </cell>
          <cell r="N324" t="str">
            <v/>
          </cell>
          <cell r="O324" t="str">
            <v>CSS</v>
          </cell>
          <cell r="P324">
            <v>0</v>
          </cell>
          <cell r="Q324" t="str">
            <v xml:space="preserve"> </v>
          </cell>
          <cell r="R324"/>
          <cell r="S324"/>
          <cell r="T324" t="str">
            <v>Sin reducción</v>
          </cell>
          <cell r="U324">
            <v>0</v>
          </cell>
          <cell r="V324"/>
          <cell r="W324"/>
          <cell r="X324">
            <v>0</v>
          </cell>
          <cell r="Y324">
            <v>0</v>
          </cell>
          <cell r="Z324">
            <v>0</v>
          </cell>
          <cell r="AA324"/>
          <cell r="AB324" t="str">
            <v>Active - signed</v>
          </cell>
          <cell r="AC324" t="str">
            <v>ACTIVO</v>
          </cell>
          <cell r="AD324"/>
          <cell r="AE324"/>
          <cell r="AF324"/>
          <cell r="AG324"/>
          <cell r="AH324"/>
          <cell r="AI324" t="str">
            <v>51118871Z</v>
          </cell>
        </row>
        <row r="325">
          <cell r="A325" t="str">
            <v>18455666Y</v>
          </cell>
          <cell r="B325" t="str">
            <v>Eslava Pérez</v>
          </cell>
          <cell r="C325" t="str">
            <v>Dalila</v>
          </cell>
          <cell r="D325" t="str">
            <v>Eslava Pérez, Dalila</v>
          </cell>
          <cell r="E325" t="str">
            <v>dalila.eslava@professor.universidadviu.com</v>
          </cell>
          <cell r="F325" t="str">
            <v>dalila.eslava@professor.universidadviu.com</v>
          </cell>
          <cell r="G325" t="str">
            <v>Yes</v>
          </cell>
          <cell r="H325" t="str">
            <v>NO</v>
          </cell>
          <cell r="I325" t="str">
            <v>Programa Oficial de Doctorado en Ciencias de la Salud</v>
          </cell>
          <cell r="J325" t="str">
            <v>Máster Universitario Intervención Psicológica en Ámbitos Sociales</v>
          </cell>
          <cell r="K325" t="str">
            <v>Grado en Psicología</v>
          </cell>
          <cell r="L325" t="str">
            <v/>
          </cell>
          <cell r="M325" t="str">
            <v>Labour</v>
          </cell>
          <cell r="N325" t="str">
            <v>Rama Galdón, Encarnación</v>
          </cell>
          <cell r="O325" t="str">
            <v>CSS</v>
          </cell>
          <cell r="P325">
            <v>100</v>
          </cell>
          <cell r="Q325" t="str">
            <v>50</v>
          </cell>
          <cell r="R325"/>
          <cell r="S325"/>
          <cell r="T325" t="str">
            <v>Subdirector/Coordinador de Grado - 2 ediciones</v>
          </cell>
          <cell r="U325">
            <v>38</v>
          </cell>
          <cell r="V325"/>
          <cell r="W325"/>
          <cell r="X325">
            <v>0</v>
          </cell>
          <cell r="Y325">
            <v>0</v>
          </cell>
          <cell r="Z325">
            <v>5.7</v>
          </cell>
          <cell r="AA325"/>
          <cell r="AB325" t="str">
            <v>Active - signed</v>
          </cell>
          <cell r="AC325" t="str">
            <v>ACTIVO</v>
          </cell>
          <cell r="AD325"/>
          <cell r="AE325"/>
          <cell r="AF325"/>
          <cell r="AG325"/>
          <cell r="AH325"/>
          <cell r="AI325" t="str">
            <v>18455666Y</v>
          </cell>
        </row>
        <row r="326">
          <cell r="A326" t="str">
            <v>X6192212Z</v>
          </cell>
          <cell r="B326" t="str">
            <v>Espinha Cadavid</v>
          </cell>
          <cell r="C326" t="str">
            <v>Sara</v>
          </cell>
          <cell r="D326" t="str">
            <v>Espinha Cadavid, Sara</v>
          </cell>
          <cell r="E326" t="str">
            <v>sara.espinha</v>
          </cell>
          <cell r="F326" t="str">
            <v>sara.espinha@professional.universidadviu.com</v>
          </cell>
          <cell r="G326" t="str">
            <v>Yes</v>
          </cell>
          <cell r="H326" t="str">
            <v>Yes</v>
          </cell>
          <cell r="I326" t="str">
            <v>Doctora</v>
          </cell>
          <cell r="J326" t="str">
            <v>Máster universitario en Neuropsicología</v>
          </cell>
          <cell r="K326" t="str">
            <v>Licenciada en Psicología</v>
          </cell>
          <cell r="L326" t="str">
            <v/>
          </cell>
          <cell r="M326" t="str">
            <v>Professional</v>
          </cell>
          <cell r="N326" t="str">
            <v/>
          </cell>
          <cell r="O326" t="str">
            <v>CSS</v>
          </cell>
          <cell r="P326">
            <v>0</v>
          </cell>
          <cell r="Q326" t="str">
            <v xml:space="preserve"> </v>
          </cell>
          <cell r="R326"/>
          <cell r="S326"/>
          <cell r="T326" t="str">
            <v>Sin reducción</v>
          </cell>
          <cell r="U326">
            <v>0</v>
          </cell>
          <cell r="V326"/>
          <cell r="W326"/>
          <cell r="X326">
            <v>0</v>
          </cell>
          <cell r="Y326">
            <v>0</v>
          </cell>
          <cell r="Z326">
            <v>0</v>
          </cell>
          <cell r="AA326"/>
          <cell r="AB326" t="str">
            <v>Active - signed</v>
          </cell>
          <cell r="AC326" t="str">
            <v>ACTIVO</v>
          </cell>
          <cell r="AD326"/>
          <cell r="AE326"/>
          <cell r="AF326"/>
          <cell r="AG326"/>
          <cell r="AH326"/>
          <cell r="AI326" t="str">
            <v>X6192212Z</v>
          </cell>
        </row>
        <row r="327">
          <cell r="A327" t="str">
            <v>Y1325827Y</v>
          </cell>
          <cell r="B327" t="str">
            <v>Espinoza León</v>
          </cell>
          <cell r="C327" t="str">
            <v>Paula Carolina</v>
          </cell>
          <cell r="D327" t="str">
            <v>Espinoza León, Paula Carolina</v>
          </cell>
          <cell r="E327" t="str">
            <v>paulacarolina.espinoza</v>
          </cell>
          <cell r="F327" t="str">
            <v>paulacarolina.espinoza@professional.universidadviu.com</v>
          </cell>
          <cell r="G327" t="str">
            <v>Yes</v>
          </cell>
          <cell r="H327" t="str">
            <v>NO</v>
          </cell>
          <cell r="I327" t="str">
            <v>Doctorado en educacion y sociedad</v>
          </cell>
          <cell r="J327" t="str">
            <v>Master universitario en investigación en didactica, formación y evaluación educativa</v>
          </cell>
          <cell r="K327" t="str">
            <v>Maestra en educación infantil</v>
          </cell>
          <cell r="L327" t="str">
            <v/>
          </cell>
          <cell r="M327" t="str">
            <v>Professional</v>
          </cell>
          <cell r="N327" t="str">
            <v/>
          </cell>
          <cell r="O327" t="str">
            <v>CSS</v>
          </cell>
          <cell r="P327">
            <v>0</v>
          </cell>
          <cell r="Q327" t="str">
            <v xml:space="preserve"> </v>
          </cell>
          <cell r="R327"/>
          <cell r="S327"/>
          <cell r="T327" t="str">
            <v>Sin reducción</v>
          </cell>
          <cell r="U327">
            <v>0</v>
          </cell>
          <cell r="V327"/>
          <cell r="W327"/>
          <cell r="X327">
            <v>0</v>
          </cell>
          <cell r="Y327">
            <v>0</v>
          </cell>
          <cell r="Z327">
            <v>0</v>
          </cell>
          <cell r="AA327"/>
          <cell r="AB327" t="str">
            <v>Concluded</v>
          </cell>
          <cell r="AC327" t="str">
            <v>ACTIVO</v>
          </cell>
          <cell r="AD327"/>
          <cell r="AE327"/>
          <cell r="AF327"/>
          <cell r="AG327"/>
          <cell r="AH327"/>
          <cell r="AI327" t="str">
            <v>Y1325827Y</v>
          </cell>
        </row>
        <row r="328">
          <cell r="A328" t="str">
            <v>10232883E</v>
          </cell>
          <cell r="B328" t="str">
            <v>Espinoza Venegas</v>
          </cell>
          <cell r="C328" t="str">
            <v>Macarena</v>
          </cell>
          <cell r="D328" t="str">
            <v>Espinoza Venegas, Macarena</v>
          </cell>
          <cell r="E328" t="str">
            <v>macarena.espinoza</v>
          </cell>
          <cell r="F328" t="str">
            <v>macarena.espinoza@professor.universidadviu.com</v>
          </cell>
          <cell r="G328" t="str">
            <v>Yes</v>
          </cell>
          <cell r="H328" t="str">
            <v>Yes</v>
          </cell>
          <cell r="I328" t="str">
            <v>Máster Universitario en Psicología General Sanitaria</v>
          </cell>
          <cell r="J328" t="str">
            <v>Programa de Doctorado en Investigación en Psicología</v>
          </cell>
          <cell r="K328" t="str">
            <v>MU Avances en Investigación y Tratamientos en Piscopatología y Salud</v>
          </cell>
          <cell r="L328" t="str">
            <v>Licenciado en Psicología. Homologado el 19/08</v>
          </cell>
          <cell r="M328" t="str">
            <v>Labour</v>
          </cell>
          <cell r="N328" t="str">
            <v>Hernández Saguar, Aida Esther</v>
          </cell>
          <cell r="O328" t="str">
            <v>CSS</v>
          </cell>
          <cell r="P328">
            <v>18</v>
          </cell>
          <cell r="Q328" t="str">
            <v>18</v>
          </cell>
          <cell r="R328"/>
          <cell r="S328" t="str">
            <v>2013-2018</v>
          </cell>
          <cell r="T328" t="str">
            <v>Sin reducción</v>
          </cell>
          <cell r="U328">
            <v>0</v>
          </cell>
          <cell r="V328"/>
          <cell r="W328"/>
          <cell r="X328">
            <v>14.8</v>
          </cell>
          <cell r="Y328">
            <v>0</v>
          </cell>
          <cell r="Z328">
            <v>0</v>
          </cell>
          <cell r="AA328"/>
          <cell r="AB328" t="str">
            <v>Active - signed</v>
          </cell>
          <cell r="AC328" t="str">
            <v>ACTIVO</v>
          </cell>
          <cell r="AD328"/>
          <cell r="AE328"/>
          <cell r="AF328"/>
          <cell r="AG328"/>
          <cell r="AH328"/>
          <cell r="AI328" t="str">
            <v>10232883E</v>
          </cell>
        </row>
        <row r="329">
          <cell r="A329" t="str">
            <v>653081L</v>
          </cell>
          <cell r="B329" t="str">
            <v>Esquivias Villalobos</v>
          </cell>
          <cell r="C329" t="str">
            <v>Antonio</v>
          </cell>
          <cell r="D329" t="str">
            <v>Esquivias Villalobos, Antonio</v>
          </cell>
          <cell r="E329" t="str">
            <v>antonio.esquivias</v>
          </cell>
          <cell r="F329" t="str">
            <v>antonio.esquivias@professional.universidadviu.com</v>
          </cell>
          <cell r="G329" t="str">
            <v>Yes</v>
          </cell>
          <cell r="H329" t="str">
            <v>NO</v>
          </cell>
          <cell r="I329" t="str">
            <v>Doctorado en Derecho</v>
          </cell>
          <cell r="J329" t="str">
            <v>Ingeniero Agronómo</v>
          </cell>
          <cell r="K329" t="str">
            <v/>
          </cell>
          <cell r="L329" t="str">
            <v/>
          </cell>
          <cell r="M329" t="str">
            <v>Professional</v>
          </cell>
          <cell r="N329" t="str">
            <v/>
          </cell>
          <cell r="O329" t="str">
            <v>CSS</v>
          </cell>
          <cell r="P329">
            <v>0</v>
          </cell>
          <cell r="Q329" t="str">
            <v xml:space="preserve"> </v>
          </cell>
          <cell r="R329"/>
          <cell r="S329"/>
          <cell r="T329" t="str">
            <v>Sin reducción</v>
          </cell>
          <cell r="U329">
            <v>0</v>
          </cell>
          <cell r="V329"/>
          <cell r="W329"/>
          <cell r="X329">
            <v>0</v>
          </cell>
          <cell r="Y329">
            <v>0</v>
          </cell>
          <cell r="Z329">
            <v>0</v>
          </cell>
          <cell r="AA329"/>
          <cell r="AB329" t="str">
            <v>Concluded</v>
          </cell>
          <cell r="AC329" t="str">
            <v>NO ACTIVO</v>
          </cell>
          <cell r="AD329"/>
          <cell r="AE329"/>
          <cell r="AF329">
            <v>45137</v>
          </cell>
          <cell r="AG329" t="str">
            <v>CESE DE CONTRATO</v>
          </cell>
          <cell r="AH329"/>
          <cell r="AI329" t="str">
            <v>653081L</v>
          </cell>
        </row>
        <row r="330">
          <cell r="A330" t="str">
            <v>12411130P</v>
          </cell>
          <cell r="B330" t="str">
            <v>Esteban Fernández</v>
          </cell>
          <cell r="C330" t="str">
            <v>Alberto</v>
          </cell>
          <cell r="D330" t="str">
            <v>Esteban Fernández, Alberto</v>
          </cell>
          <cell r="E330" t="str">
            <v>alberto.esteban.f</v>
          </cell>
          <cell r="F330" t="str">
            <v>alberto.esteban.f@professor.universidadviu.com</v>
          </cell>
          <cell r="G330" t="str">
            <v>Yes</v>
          </cell>
          <cell r="H330" t="str">
            <v>NO</v>
          </cell>
          <cell r="I330" t="str">
            <v>Medicina</v>
          </cell>
          <cell r="J330" t="str">
            <v>Investigación Médica Aplicada</v>
          </cell>
          <cell r="K330" t="str">
            <v>Máster en Nutrición y alimentación</v>
          </cell>
          <cell r="L330" t="str">
            <v>Máster en postgrado en cuidados cardiacos agudos</v>
          </cell>
          <cell r="M330" t="str">
            <v>Labour</v>
          </cell>
          <cell r="N330"/>
          <cell r="O330" t="str">
            <v>CBS</v>
          </cell>
          <cell r="P330" t="str">
            <v>40,00</v>
          </cell>
          <cell r="Q330" t="b">
            <v>0</v>
          </cell>
          <cell r="R330"/>
          <cell r="S330"/>
          <cell r="T330" t="str">
            <v>Sin reducción</v>
          </cell>
          <cell r="U330">
            <v>0</v>
          </cell>
          <cell r="V330"/>
          <cell r="W330"/>
          <cell r="X330">
            <v>0</v>
          </cell>
          <cell r="Y330">
            <v>0</v>
          </cell>
          <cell r="Z330">
            <v>0</v>
          </cell>
          <cell r="AA330"/>
          <cell r="AB330" t="str">
            <v>Concluded</v>
          </cell>
          <cell r="AC330" t="str">
            <v>NO ACTIVO</v>
          </cell>
          <cell r="AD330"/>
          <cell r="AE330"/>
          <cell r="AF330">
            <v>45169</v>
          </cell>
          <cell r="AG330" t="str">
            <v>CESE DE CONTRATO</v>
          </cell>
          <cell r="AH330"/>
          <cell r="AI330" t="str">
            <v>12411130P</v>
          </cell>
        </row>
        <row r="331">
          <cell r="A331" t="str">
            <v>70940872V</v>
          </cell>
          <cell r="B331" t="str">
            <v>Esteban Sánchez</v>
          </cell>
          <cell r="C331" t="str">
            <v>Laura</v>
          </cell>
          <cell r="D331" t="str">
            <v>Esteban Sánchez, Laura</v>
          </cell>
          <cell r="E331" t="str">
            <v>lestebans@professional.universidadviu.com</v>
          </cell>
          <cell r="F331" t="str">
            <v>lestebans@professional.universidadviu.com</v>
          </cell>
          <cell r="G331" t="str">
            <v>Yes</v>
          </cell>
          <cell r="H331" t="str">
            <v>NO</v>
          </cell>
          <cell r="I331" t="str">
            <v>Doctorado en Psicología</v>
          </cell>
          <cell r="J331" t="str">
            <v>Máster Universitario en Investigación en Discapacidad</v>
          </cell>
          <cell r="K331" t="str">
            <v>Grado en Psicología</v>
          </cell>
          <cell r="L331" t="str">
            <v/>
          </cell>
          <cell r="M331" t="str">
            <v>Professional</v>
          </cell>
          <cell r="N331" t="str">
            <v/>
          </cell>
          <cell r="O331" t="str">
            <v>CSS</v>
          </cell>
          <cell r="P331">
            <v>0</v>
          </cell>
          <cell r="Q331" t="str">
            <v xml:space="preserve"> </v>
          </cell>
          <cell r="R331"/>
          <cell r="S331"/>
          <cell r="T331" t="str">
            <v>Sin reducción</v>
          </cell>
          <cell r="U331">
            <v>0</v>
          </cell>
          <cell r="V331"/>
          <cell r="W331"/>
          <cell r="X331">
            <v>0</v>
          </cell>
          <cell r="Y331">
            <v>0</v>
          </cell>
          <cell r="Z331">
            <v>0</v>
          </cell>
          <cell r="AA331"/>
          <cell r="AB331" t="str">
            <v>Active - signed</v>
          </cell>
          <cell r="AC331" t="str">
            <v>ACTIVO</v>
          </cell>
          <cell r="AD331"/>
          <cell r="AE331"/>
          <cell r="AF331"/>
          <cell r="AG331"/>
          <cell r="AH331"/>
          <cell r="AI331" t="str">
            <v>70940872V</v>
          </cell>
        </row>
        <row r="332">
          <cell r="A332" t="str">
            <v>Y7402885G</v>
          </cell>
          <cell r="B332" t="str">
            <v>Etchezahar</v>
          </cell>
          <cell r="C332" t="str">
            <v>Edgardo Daniel</v>
          </cell>
          <cell r="D332" t="str">
            <v>Etchezahar, Edgardo Daniel</v>
          </cell>
          <cell r="E332" t="str">
            <v>edgardo.etchezahar</v>
          </cell>
          <cell r="F332"/>
          <cell r="G332" t="str">
            <v>Yes</v>
          </cell>
          <cell r="H332" t="str">
            <v>Yes</v>
          </cell>
          <cell r="I332" t="str">
            <v>Programa de Doctorado en Psicología</v>
          </cell>
          <cell r="J332" t="str">
            <v>Programa de Doctorado en Psicología</v>
          </cell>
          <cell r="K332" t="str">
            <v>Licenciado en Psicología</v>
          </cell>
          <cell r="L332" t="str">
            <v/>
          </cell>
          <cell r="M332" t="str">
            <v>Labour</v>
          </cell>
          <cell r="N332"/>
          <cell r="O332" t="str">
            <v>CSS</v>
          </cell>
          <cell r="P332">
            <v>100</v>
          </cell>
          <cell r="Q332" t="str">
            <v>50</v>
          </cell>
          <cell r="R332"/>
          <cell r="S332"/>
          <cell r="T332" t="str">
            <v>Sin reducción</v>
          </cell>
          <cell r="U332">
            <v>0</v>
          </cell>
          <cell r="V332"/>
          <cell r="W332"/>
          <cell r="X332">
            <v>0</v>
          </cell>
          <cell r="Y332">
            <v>0</v>
          </cell>
          <cell r="Z332">
            <v>0</v>
          </cell>
          <cell r="AA332"/>
          <cell r="AB332" t="str">
            <v>Concluded</v>
          </cell>
          <cell r="AC332" t="str">
            <v>NO ACTIVO</v>
          </cell>
          <cell r="AD332"/>
          <cell r="AE332"/>
          <cell r="AF332">
            <v>45328</v>
          </cell>
          <cell r="AG332" t="str">
            <v>CESE DE CONTRATO</v>
          </cell>
          <cell r="AH332"/>
          <cell r="AI332" t="str">
            <v>Y7402885G</v>
          </cell>
        </row>
        <row r="333">
          <cell r="A333" t="str">
            <v>21808521J</v>
          </cell>
          <cell r="B333" t="str">
            <v>Expósito Álvarez</v>
          </cell>
          <cell r="C333" t="str">
            <v>Cristina</v>
          </cell>
          <cell r="D333" t="str">
            <v>Expósito Álvarez, Cristina</v>
          </cell>
          <cell r="E333" t="str">
            <v>cristina.exposito.a@professor.universidadviu.com</v>
          </cell>
          <cell r="F333" t="str">
            <v>cristina.exposito.a@professor.universidadviu.com</v>
          </cell>
          <cell r="G333" t="str">
            <v>Yes</v>
          </cell>
          <cell r="H333" t="str">
            <v>NO</v>
          </cell>
          <cell r="I333" t="str">
            <v>Programa de Doctorado en Investigación en Psicología</v>
          </cell>
          <cell r="J333" t="str">
            <v>Grado en Psicología</v>
          </cell>
          <cell r="K333" t="str">
            <v>Máster universitario en Psicología General Sanitaria</v>
          </cell>
          <cell r="L333" t="str">
            <v/>
          </cell>
          <cell r="M333" t="str">
            <v>Labour</v>
          </cell>
          <cell r="N333"/>
          <cell r="O333" t="str">
            <v>CSS</v>
          </cell>
          <cell r="P333">
            <v>100</v>
          </cell>
          <cell r="Q333" t="str">
            <v>50</v>
          </cell>
          <cell r="R333"/>
          <cell r="S333"/>
          <cell r="T333" t="str">
            <v>Sin reducción</v>
          </cell>
          <cell r="U333">
            <v>0</v>
          </cell>
          <cell r="V333"/>
          <cell r="W333"/>
          <cell r="X333">
            <v>0</v>
          </cell>
          <cell r="Y333">
            <v>0</v>
          </cell>
          <cell r="Z333">
            <v>0</v>
          </cell>
          <cell r="AA333"/>
          <cell r="AB333" t="str">
            <v>Concluded</v>
          </cell>
          <cell r="AC333" t="str">
            <v>NO ACTIVO</v>
          </cell>
          <cell r="AD333"/>
          <cell r="AE333"/>
          <cell r="AF333">
            <v>45575</v>
          </cell>
          <cell r="AG333" t="str">
            <v>CESE DE CONTRATO</v>
          </cell>
          <cell r="AH333"/>
          <cell r="AI333" t="str">
            <v>21808521J</v>
          </cell>
        </row>
        <row r="334">
          <cell r="A334" t="str">
            <v>44888545C</v>
          </cell>
          <cell r="B334" t="str">
            <v>Expósito Blasco</v>
          </cell>
          <cell r="C334" t="str">
            <v>David</v>
          </cell>
          <cell r="D334" t="str">
            <v>Expósito Blasco, David</v>
          </cell>
          <cell r="E334" t="str">
            <v>dexpositob@professor.universidadviu.com</v>
          </cell>
          <cell r="F334" t="str">
            <v>dexpositob@professor.universidadviu.com</v>
          </cell>
          <cell r="G334" t="str">
            <v>Yes</v>
          </cell>
          <cell r="H334" t="str">
            <v>NO</v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>Labour</v>
          </cell>
          <cell r="N334" t="str">
            <v>Morell Esteve, Pere</v>
          </cell>
          <cell r="O334" t="str">
            <v>CBS</v>
          </cell>
          <cell r="P334">
            <v>6</v>
          </cell>
          <cell r="Q334" t="str">
            <v>6</v>
          </cell>
          <cell r="R334" t="str">
            <v>Laboralización febrero</v>
          </cell>
          <cell r="S334"/>
          <cell r="T334" t="str">
            <v>Sin reducción</v>
          </cell>
          <cell r="U334">
            <v>0</v>
          </cell>
          <cell r="V334"/>
          <cell r="W334"/>
          <cell r="X334">
            <v>0</v>
          </cell>
          <cell r="Y334">
            <v>6</v>
          </cell>
          <cell r="Z334">
            <v>0</v>
          </cell>
          <cell r="AA334"/>
          <cell r="AB334" t="str">
            <v>Active - signed</v>
          </cell>
          <cell r="AC334" t="str">
            <v>ACTIVO</v>
          </cell>
          <cell r="AD334"/>
          <cell r="AE334"/>
          <cell r="AF334"/>
          <cell r="AG334"/>
          <cell r="AH334"/>
          <cell r="AI334" t="str">
            <v>44888545C</v>
          </cell>
        </row>
        <row r="335">
          <cell r="A335" t="str">
            <v>47843707G</v>
          </cell>
          <cell r="B335" t="str">
            <v>Fagundes Vila</v>
          </cell>
          <cell r="C335" t="str">
            <v>Caterine</v>
          </cell>
          <cell r="D335" t="str">
            <v>Fagundes Vila, Caterine</v>
          </cell>
          <cell r="E335" t="str">
            <v>caterine.fagundes</v>
          </cell>
          <cell r="F335" t="str">
            <v>caterine.fagundes@professional.universidadviu.com</v>
          </cell>
          <cell r="G335" t="str">
            <v>Yes</v>
          </cell>
          <cell r="H335" t="str">
            <v>NO</v>
          </cell>
          <cell r="I335" t="str">
            <v>Programa de Calidad Educativa en un Mundo Plural</v>
          </cell>
          <cell r="J335" t="str">
            <v>Licenciada en Historia</v>
          </cell>
          <cell r="K335" t="str">
            <v/>
          </cell>
          <cell r="L335" t="str">
            <v/>
          </cell>
          <cell r="M335" t="str">
            <v>Professional</v>
          </cell>
          <cell r="N335" t="str">
            <v/>
          </cell>
          <cell r="O335" t="str">
            <v>CSS</v>
          </cell>
          <cell r="P335">
            <v>0</v>
          </cell>
          <cell r="Q335" t="str">
            <v xml:space="preserve"> </v>
          </cell>
          <cell r="R335"/>
          <cell r="S335"/>
          <cell r="T335" t="str">
            <v>Sin reducción</v>
          </cell>
          <cell r="U335">
            <v>0</v>
          </cell>
          <cell r="V335"/>
          <cell r="W335"/>
          <cell r="X335">
            <v>0</v>
          </cell>
          <cell r="Y335">
            <v>0</v>
          </cell>
          <cell r="Z335">
            <v>0</v>
          </cell>
          <cell r="AA335"/>
          <cell r="AB335" t="str">
            <v>Active - signed</v>
          </cell>
          <cell r="AC335" t="str">
            <v>ACTIVO</v>
          </cell>
          <cell r="AD335"/>
          <cell r="AE335"/>
          <cell r="AF335"/>
          <cell r="AG335"/>
          <cell r="AH335"/>
          <cell r="AI335" t="str">
            <v>47843707G</v>
          </cell>
        </row>
        <row r="336">
          <cell r="A336" t="str">
            <v>35453368H</v>
          </cell>
          <cell r="B336" t="str">
            <v>Fandiño Pascual</v>
          </cell>
          <cell r="C336" t="str">
            <v>Ricardo</v>
          </cell>
          <cell r="D336" t="str">
            <v>Fandiño Pascual, Ricardo</v>
          </cell>
          <cell r="E336" t="str">
            <v>ricardo.fandino</v>
          </cell>
          <cell r="F336" t="str">
            <v>ricardo.fandino@professional.universidadviu.com</v>
          </cell>
          <cell r="G336" t="str">
            <v>Yes</v>
          </cell>
          <cell r="H336" t="str">
            <v>NO</v>
          </cell>
          <cell r="I336" t="str">
            <v>Psicología</v>
          </cell>
          <cell r="J336" t="str">
            <v>Máster universitario en Menores en situación de desprotección y conflicto social</v>
          </cell>
          <cell r="K336" t="str">
            <v>Licenciado en filosofía y ciencias de la educación</v>
          </cell>
          <cell r="L336" t="str">
            <v>Doctorado</v>
          </cell>
          <cell r="M336" t="str">
            <v>Professional</v>
          </cell>
          <cell r="N336" t="str">
            <v/>
          </cell>
          <cell r="O336" t="str">
            <v>CSS</v>
          </cell>
          <cell r="P336">
            <v>0</v>
          </cell>
          <cell r="Q336" t="str">
            <v xml:space="preserve"> </v>
          </cell>
          <cell r="R336"/>
          <cell r="S336"/>
          <cell r="T336" t="str">
            <v>Sin reducción</v>
          </cell>
          <cell r="U336">
            <v>0</v>
          </cell>
          <cell r="V336"/>
          <cell r="W336"/>
          <cell r="X336">
            <v>0</v>
          </cell>
          <cell r="Y336">
            <v>0</v>
          </cell>
          <cell r="Z336">
            <v>0</v>
          </cell>
          <cell r="AA336"/>
          <cell r="AB336" t="str">
            <v>Active - signed</v>
          </cell>
          <cell r="AC336" t="str">
            <v>ACTIVO</v>
          </cell>
          <cell r="AD336"/>
          <cell r="AE336"/>
          <cell r="AF336"/>
          <cell r="AG336"/>
          <cell r="AH336"/>
          <cell r="AI336" t="str">
            <v>35453368H</v>
          </cell>
        </row>
        <row r="337">
          <cell r="A337" t="str">
            <v>YB0213864</v>
          </cell>
          <cell r="B337" t="str">
            <v>Farfallini</v>
          </cell>
          <cell r="C337" t="str">
            <v>Luis</v>
          </cell>
          <cell r="D337" t="str">
            <v>Farfallini, Luis</v>
          </cell>
          <cell r="E337" t="str">
            <v>luis.farfallini</v>
          </cell>
          <cell r="F337" t="str">
            <v>luis.farfallini@professional.universidadviu.com</v>
          </cell>
          <cell r="G337" t="str">
            <v>Yes</v>
          </cell>
          <cell r="H337" t="str">
            <v>NO</v>
          </cell>
          <cell r="I337" t="str">
            <v>Psicología</v>
          </cell>
          <cell r="J337" t="str">
            <v>Programa de Doctorado en Psicopatología, Salud y Neuropsicología</v>
          </cell>
          <cell r="K337" t="str">
            <v>Licenciado en Psicología</v>
          </cell>
          <cell r="L337" t="str">
            <v/>
          </cell>
          <cell r="M337" t="str">
            <v>Professional</v>
          </cell>
          <cell r="N337" t="str">
            <v/>
          </cell>
          <cell r="O337" t="str">
            <v>CSS</v>
          </cell>
          <cell r="P337">
            <v>0</v>
          </cell>
          <cell r="Q337" t="str">
            <v xml:space="preserve"> </v>
          </cell>
          <cell r="R337"/>
          <cell r="S337"/>
          <cell r="T337" t="str">
            <v>Sin reducción</v>
          </cell>
          <cell r="U337">
            <v>0</v>
          </cell>
          <cell r="V337"/>
          <cell r="W337"/>
          <cell r="X337">
            <v>0</v>
          </cell>
          <cell r="Y337">
            <v>0</v>
          </cell>
          <cell r="Z337">
            <v>0</v>
          </cell>
          <cell r="AA337"/>
          <cell r="AB337" t="str">
            <v>Active - signed</v>
          </cell>
          <cell r="AC337" t="str">
            <v>ACTIVO</v>
          </cell>
          <cell r="AD337"/>
          <cell r="AE337"/>
          <cell r="AF337"/>
          <cell r="AG337"/>
          <cell r="AH337"/>
          <cell r="AI337" t="str">
            <v>YB0213864</v>
          </cell>
        </row>
        <row r="338">
          <cell r="A338" t="str">
            <v>44477869D</v>
          </cell>
          <cell r="B338" t="str">
            <v>Fariñas Iglesias</v>
          </cell>
          <cell r="C338" t="str">
            <v>Borja</v>
          </cell>
          <cell r="D338" t="str">
            <v>Fariñas Iglesias, Borja</v>
          </cell>
          <cell r="E338" t="str">
            <v>bfarinasi@professional.universidadviu.com</v>
          </cell>
          <cell r="F338" t="str">
            <v>bfarinasi@professional.universidadviu.com</v>
          </cell>
          <cell r="G338" t="str">
            <v>NO</v>
          </cell>
          <cell r="H338" t="str">
            <v>NO</v>
          </cell>
          <cell r="I338" t="str">
            <v>Máster universitario en Psicología General Sanitaria</v>
          </cell>
          <cell r="J338" t="str">
            <v>Grado en Psicología</v>
          </cell>
          <cell r="K338" t="str">
            <v/>
          </cell>
          <cell r="L338" t="str">
            <v/>
          </cell>
          <cell r="M338" t="str">
            <v>Professional</v>
          </cell>
          <cell r="N338" t="str">
            <v/>
          </cell>
          <cell r="O338" t="str">
            <v>CSS</v>
          </cell>
          <cell r="P338">
            <v>0</v>
          </cell>
          <cell r="Q338" t="str">
            <v xml:space="preserve"> </v>
          </cell>
          <cell r="R338"/>
          <cell r="S338"/>
          <cell r="T338" t="str">
            <v>Sin reducción</v>
          </cell>
          <cell r="U338">
            <v>0</v>
          </cell>
          <cell r="V338"/>
          <cell r="W338"/>
          <cell r="X338">
            <v>0</v>
          </cell>
          <cell r="Y338">
            <v>0</v>
          </cell>
          <cell r="Z338">
            <v>0</v>
          </cell>
          <cell r="AA338"/>
          <cell r="AB338" t="str">
            <v>Active - signed</v>
          </cell>
          <cell r="AC338" t="str">
            <v>ACTIVO</v>
          </cell>
          <cell r="AD338"/>
          <cell r="AE338"/>
          <cell r="AF338"/>
          <cell r="AG338"/>
          <cell r="AH338"/>
          <cell r="AI338" t="str">
            <v>44477869D</v>
          </cell>
        </row>
        <row r="339">
          <cell r="A339" t="str">
            <v>48671016A</v>
          </cell>
          <cell r="B339" t="str">
            <v>Faura García</v>
          </cell>
          <cell r="C339" t="str">
            <v>Juan</v>
          </cell>
          <cell r="D339" t="str">
            <v>Faura García, Juan</v>
          </cell>
          <cell r="E339" t="str">
            <v>jfaurag1@professional.universidadviu.com</v>
          </cell>
          <cell r="F339" t="str">
            <v>jfaurag1@professional.universidadviu.com</v>
          </cell>
          <cell r="G339" t="str">
            <v>Yes</v>
          </cell>
          <cell r="H339" t="str">
            <v>NO</v>
          </cell>
          <cell r="I339" t="str">
            <v>Doctorado psicología</v>
          </cell>
          <cell r="J339" t="str">
            <v>Master psicologia general sanitaria</v>
          </cell>
          <cell r="K339" t="str">
            <v/>
          </cell>
          <cell r="L339" t="str">
            <v/>
          </cell>
          <cell r="M339" t="str">
            <v>Professional</v>
          </cell>
          <cell r="N339" t="str">
            <v/>
          </cell>
          <cell r="O339" t="str">
            <v>CSS</v>
          </cell>
          <cell r="P339">
            <v>0</v>
          </cell>
          <cell r="Q339" t="str">
            <v xml:space="preserve"> </v>
          </cell>
          <cell r="R339"/>
          <cell r="S339"/>
          <cell r="T339" t="str">
            <v>Sin reducción</v>
          </cell>
          <cell r="U339">
            <v>0</v>
          </cell>
          <cell r="V339"/>
          <cell r="W339"/>
          <cell r="X339">
            <v>0</v>
          </cell>
          <cell r="Y339">
            <v>0</v>
          </cell>
          <cell r="Z339">
            <v>0</v>
          </cell>
          <cell r="AA339"/>
          <cell r="AB339" t="str">
            <v>Active - signed</v>
          </cell>
          <cell r="AC339" t="str">
            <v>ACTIVO</v>
          </cell>
          <cell r="AD339"/>
          <cell r="AE339"/>
          <cell r="AF339"/>
          <cell r="AG339"/>
          <cell r="AH339"/>
          <cell r="AI339" t="str">
            <v>48671016A</v>
          </cell>
        </row>
        <row r="340">
          <cell r="A340" t="str">
            <v>20940527Q</v>
          </cell>
          <cell r="B340" t="str">
            <v>Faus Real</v>
          </cell>
          <cell r="C340" t="str">
            <v>Mireia</v>
          </cell>
          <cell r="D340" t="str">
            <v>Faus Real, Mireia</v>
          </cell>
          <cell r="E340" t="str">
            <v>mfausr@professor.universidadviu.com</v>
          </cell>
          <cell r="F340" t="str">
            <v>mfausr@professor.universidadviu.com</v>
          </cell>
          <cell r="G340" t="str">
            <v>Yes</v>
          </cell>
          <cell r="H340" t="str">
            <v>Yes</v>
          </cell>
          <cell r="I340" t="str">
            <v>Doctorado</v>
          </cell>
          <cell r="J340" t="str">
            <v>Doctorado</v>
          </cell>
          <cell r="K340" t="str">
            <v>Master Universitario en Bienestar Social: Intervención Familiar</v>
          </cell>
          <cell r="L340" t="str">
            <v>Graduada en Psicologia</v>
          </cell>
          <cell r="M340" t="str">
            <v>Labour</v>
          </cell>
          <cell r="N340"/>
          <cell r="O340" t="str">
            <v>CSS</v>
          </cell>
          <cell r="P340">
            <v>100</v>
          </cell>
          <cell r="Q340" t="str">
            <v>50</v>
          </cell>
          <cell r="R340"/>
          <cell r="S340"/>
          <cell r="T340" t="str">
            <v>Sin reducción</v>
          </cell>
          <cell r="U340">
            <v>0</v>
          </cell>
          <cell r="V340"/>
          <cell r="W340"/>
          <cell r="X340">
            <v>0</v>
          </cell>
          <cell r="Y340">
            <v>0</v>
          </cell>
          <cell r="Z340">
            <v>0</v>
          </cell>
          <cell r="AA340"/>
          <cell r="AB340" t="str">
            <v>Concluded</v>
          </cell>
          <cell r="AC340" t="str">
            <v>NO ACTIVO</v>
          </cell>
          <cell r="AD340"/>
          <cell r="AE340"/>
          <cell r="AF340">
            <v>45559</v>
          </cell>
          <cell r="AG340" t="str">
            <v>CESE DE CONTRATO</v>
          </cell>
          <cell r="AH340"/>
          <cell r="AI340" t="str">
            <v>20940527Q</v>
          </cell>
        </row>
        <row r="341">
          <cell r="A341" t="str">
            <v>53389628G</v>
          </cell>
          <cell r="B341" t="str">
            <v>Fausor de Castro</v>
          </cell>
          <cell r="C341" t="str">
            <v>Rocío</v>
          </cell>
          <cell r="D341" t="str">
            <v>Fausor de Castro, Rocío</v>
          </cell>
          <cell r="E341" t="str">
            <v>rocio.fausor</v>
          </cell>
          <cell r="F341" t="str">
            <v>rocio.fausor@professor.universidadviu.com</v>
          </cell>
          <cell r="G341" t="str">
            <v>Yes</v>
          </cell>
          <cell r="H341" t="str">
            <v>Yes</v>
          </cell>
          <cell r="I341" t="str">
            <v>Licenciada en Psicología</v>
          </cell>
          <cell r="J341" t="str">
            <v>Programa de Doctorado en Psicología</v>
          </cell>
          <cell r="K341" t="str">
            <v>Máster Universitario en Psicología General Sanitaria</v>
          </cell>
          <cell r="L341" t="str">
            <v/>
          </cell>
          <cell r="M341" t="str">
            <v>Labour</v>
          </cell>
          <cell r="N341" t="str">
            <v>Consultar a Facultad de Educación</v>
          </cell>
          <cell r="O341" t="str">
            <v>CSS</v>
          </cell>
          <cell r="P341">
            <v>100</v>
          </cell>
          <cell r="Q341" t="str">
            <v>50</v>
          </cell>
          <cell r="R341"/>
          <cell r="S341"/>
          <cell r="T341" t="str">
            <v>Sin reducción</v>
          </cell>
          <cell r="U341">
            <v>0</v>
          </cell>
          <cell r="V341">
            <v>30</v>
          </cell>
          <cell r="W341" t="str">
            <v>EDUCACIÓN</v>
          </cell>
          <cell r="X341">
            <v>14.1</v>
          </cell>
          <cell r="Y341">
            <v>0</v>
          </cell>
          <cell r="Z341">
            <v>0</v>
          </cell>
          <cell r="AA341"/>
          <cell r="AB341" t="str">
            <v>Active - signed</v>
          </cell>
          <cell r="AC341" t="str">
            <v>ACTIVO</v>
          </cell>
          <cell r="AD341"/>
          <cell r="AE341"/>
          <cell r="AF341"/>
          <cell r="AG341"/>
          <cell r="AH341"/>
          <cell r="AI341" t="str">
            <v>53389628G</v>
          </cell>
        </row>
        <row r="342">
          <cell r="A342" t="str">
            <v>CL178946161</v>
          </cell>
          <cell r="B342" t="str">
            <v>Favre Rodríguez</v>
          </cell>
          <cell r="C342" t="str">
            <v>Carlos</v>
          </cell>
          <cell r="D342" t="str">
            <v>Favre Rodríguez, Carlos</v>
          </cell>
          <cell r="E342" t="str">
            <v>cfavrer@professional.universidadviu.com</v>
          </cell>
          <cell r="F342" t="str">
            <v>cfavrer@professional.universidadviu.com</v>
          </cell>
          <cell r="G342" t="str">
            <v>Yes</v>
          </cell>
          <cell r="H342" t="str">
            <v>NO</v>
          </cell>
          <cell r="I342" t="str">
            <v>Doctorado en Educación</v>
          </cell>
          <cell r="J342" t="str">
            <v>Magíster en Educación, con especialización en Inclusión Educativa y Convivencia Escolar</v>
          </cell>
          <cell r="K342" t="str">
            <v>Licenciado en Educación y Profesor de Lengua Castellana y Comunicación</v>
          </cell>
          <cell r="L342" t="str">
            <v/>
          </cell>
          <cell r="M342" t="str">
            <v>Professional</v>
          </cell>
          <cell r="N342"/>
          <cell r="O342" t="str">
            <v>CSS</v>
          </cell>
          <cell r="P342">
            <v>0</v>
          </cell>
          <cell r="Q342" t="str">
            <v xml:space="preserve"> </v>
          </cell>
          <cell r="R342"/>
          <cell r="S342"/>
          <cell r="T342" t="str">
            <v>Sin reducción</v>
          </cell>
          <cell r="U342">
            <v>0</v>
          </cell>
          <cell r="V342"/>
          <cell r="W342"/>
          <cell r="X342">
            <v>0</v>
          </cell>
          <cell r="Y342">
            <v>0</v>
          </cell>
          <cell r="Z342">
            <v>0</v>
          </cell>
          <cell r="AA342"/>
          <cell r="AB342" t="str">
            <v>Active - signed</v>
          </cell>
          <cell r="AC342" t="str">
            <v>ACTIVO</v>
          </cell>
          <cell r="AD342"/>
          <cell r="AE342"/>
          <cell r="AF342"/>
          <cell r="AG342"/>
          <cell r="AH342"/>
          <cell r="AI342" t="str">
            <v>CL178946161</v>
          </cell>
        </row>
        <row r="343">
          <cell r="A343" t="str">
            <v>44854216F</v>
          </cell>
          <cell r="B343" t="str">
            <v>Fayos Monfort</v>
          </cell>
          <cell r="C343" t="str">
            <v>Isabel</v>
          </cell>
          <cell r="D343" t="str">
            <v>Fayos Monfort, Isabel</v>
          </cell>
          <cell r="E343" t="str">
            <v>isabel.fayos</v>
          </cell>
          <cell r="F343" t="str">
            <v>isabel.fayos@professor.universidadviu.com</v>
          </cell>
          <cell r="G343" t="str">
            <v>NO</v>
          </cell>
          <cell r="H343" t="str">
            <v>NO</v>
          </cell>
          <cell r="I343" t="str">
            <v>Ingeniera Técnica en informática de sistemas</v>
          </cell>
          <cell r="J343" t="str">
            <v/>
          </cell>
          <cell r="K343" t="str">
            <v/>
          </cell>
          <cell r="L343" t="str">
            <v/>
          </cell>
          <cell r="M343" t="str">
            <v>Labour</v>
          </cell>
          <cell r="N343" t="str">
            <v>Consultar a Escuela de Ciencias, Ingeniería y Arquitectura</v>
          </cell>
          <cell r="O343" t="str">
            <v>CBS</v>
          </cell>
          <cell r="P343">
            <v>100</v>
          </cell>
          <cell r="Q343" t="str">
            <v>50</v>
          </cell>
          <cell r="R343"/>
          <cell r="S343"/>
          <cell r="T343" t="str">
            <v>Sin reducción</v>
          </cell>
          <cell r="U343">
            <v>0</v>
          </cell>
          <cell r="V343">
            <v>44</v>
          </cell>
          <cell r="W343" t="str">
            <v>ESCUELA</v>
          </cell>
          <cell r="X343">
            <v>0</v>
          </cell>
          <cell r="Y343">
            <v>0</v>
          </cell>
          <cell r="Z343">
            <v>6</v>
          </cell>
          <cell r="AA343"/>
          <cell r="AB343" t="str">
            <v>Active - signed</v>
          </cell>
          <cell r="AC343" t="str">
            <v>ACTIVO</v>
          </cell>
          <cell r="AD343"/>
          <cell r="AE343"/>
          <cell r="AF343"/>
          <cell r="AG343"/>
          <cell r="AH343"/>
          <cell r="AI343" t="str">
            <v>44854216F</v>
          </cell>
        </row>
        <row r="344">
          <cell r="A344" t="str">
            <v>53215194w</v>
          </cell>
          <cell r="B344" t="str">
            <v>Femenia Mulet</v>
          </cell>
          <cell r="C344" t="str">
            <v>Sabrina</v>
          </cell>
          <cell r="D344" t="str">
            <v>Femenia Mulet, Sabrina</v>
          </cell>
          <cell r="E344" t="str">
            <v>sabrina.femenia</v>
          </cell>
          <cell r="F344" t="str">
            <v>sabrina.femenia@professional.universidadviu.com</v>
          </cell>
          <cell r="G344" t="str">
            <v>Yes</v>
          </cell>
          <cell r="H344" t="str">
            <v>NO</v>
          </cell>
          <cell r="I344" t="str">
            <v>Cooperación y desarrollo internacional</v>
          </cell>
          <cell r="J344" t="str">
            <v>Master Desarrollo Estratégico Talento</v>
          </cell>
          <cell r="K344" t="str">
            <v>Máster en Gestión Ciencia e Innovación</v>
          </cell>
          <cell r="L344" t="str">
            <v>ADE</v>
          </cell>
          <cell r="M344" t="str">
            <v>Professional</v>
          </cell>
          <cell r="N344" t="str">
            <v/>
          </cell>
          <cell r="O344" t="str">
            <v>CBS</v>
          </cell>
          <cell r="P344">
            <v>0</v>
          </cell>
          <cell r="Q344" t="str">
            <v xml:space="preserve"> </v>
          </cell>
          <cell r="R344"/>
          <cell r="S344"/>
          <cell r="T344" t="str">
            <v>Sin reducción</v>
          </cell>
          <cell r="U344">
            <v>0</v>
          </cell>
          <cell r="V344"/>
          <cell r="W344"/>
          <cell r="X344">
            <v>0</v>
          </cell>
          <cell r="Y344">
            <v>0</v>
          </cell>
          <cell r="Z344">
            <v>0</v>
          </cell>
          <cell r="AA344"/>
          <cell r="AB344" t="str">
            <v>Active - signed</v>
          </cell>
          <cell r="AC344" t="str">
            <v>ACTIVO</v>
          </cell>
          <cell r="AD344"/>
          <cell r="AE344"/>
          <cell r="AF344"/>
          <cell r="AG344"/>
          <cell r="AH344"/>
          <cell r="AI344" t="str">
            <v>53215194w</v>
          </cell>
        </row>
        <row r="345">
          <cell r="A345" t="str">
            <v>53493720K</v>
          </cell>
          <cell r="B345" t="str">
            <v>Fernández Alcaraz</v>
          </cell>
          <cell r="C345" t="str">
            <v>Camino</v>
          </cell>
          <cell r="D345" t="str">
            <v>Fernández Alcaraz, Camino</v>
          </cell>
          <cell r="E345" t="str">
            <v>camino.fernandez.a</v>
          </cell>
          <cell r="F345" t="str">
            <v>camino.fernandez.a@professor.universidadviu.com</v>
          </cell>
          <cell r="G345" t="str">
            <v>Yes</v>
          </cell>
          <cell r="H345" t="str">
            <v>Yes</v>
          </cell>
          <cell r="I345" t="str">
            <v>Psicología</v>
          </cell>
          <cell r="J345" t="str">
            <v>Programa de Doctorado en Psicología Clínica y de la Salud</v>
          </cell>
          <cell r="K345" t="str">
            <v>Diploma de Estudios Avanzados</v>
          </cell>
          <cell r="L345" t="str">
            <v>Licenciada en Psicología</v>
          </cell>
          <cell r="M345" t="str">
            <v>Labour</v>
          </cell>
          <cell r="N345" t="str">
            <v>Aliño Costa, Marta</v>
          </cell>
          <cell r="O345" t="str">
            <v>CSS</v>
          </cell>
          <cell r="P345">
            <v>100</v>
          </cell>
          <cell r="Q345" t="str">
            <v>50</v>
          </cell>
          <cell r="R345"/>
          <cell r="S345"/>
          <cell r="T345" t="str">
            <v>Sin reducción</v>
          </cell>
          <cell r="U345">
            <v>0</v>
          </cell>
          <cell r="V345"/>
          <cell r="W345"/>
          <cell r="X345">
            <v>47.6</v>
          </cell>
          <cell r="Y345">
            <v>0</v>
          </cell>
          <cell r="Z345">
            <v>2</v>
          </cell>
          <cell r="AA345"/>
          <cell r="AB345" t="str">
            <v>Active - signed</v>
          </cell>
          <cell r="AC345" t="str">
            <v>ACTIVO</v>
          </cell>
          <cell r="AD345"/>
          <cell r="AE345"/>
          <cell r="AF345"/>
          <cell r="AG345"/>
          <cell r="AH345"/>
          <cell r="AI345" t="str">
            <v>53493720K</v>
          </cell>
        </row>
        <row r="346">
          <cell r="A346" t="str">
            <v>23938848B</v>
          </cell>
          <cell r="B346" t="str">
            <v>Fernández Álvarez</v>
          </cell>
          <cell r="C346" t="str">
            <v>Ana</v>
          </cell>
          <cell r="D346" t="str">
            <v>Fernández Álvarez, Ana</v>
          </cell>
          <cell r="E346" t="str">
            <v>ana.fernandez.a</v>
          </cell>
          <cell r="F346" t="str">
            <v>ana.fernandez.a@professional.universidadviu.com</v>
          </cell>
          <cell r="G346" t="str">
            <v>Yes</v>
          </cell>
          <cell r="H346" t="str">
            <v>NO</v>
          </cell>
          <cell r="I346" t="str">
            <v>Bioquímica</v>
          </cell>
          <cell r="J346" t="str">
            <v>Bioquimica y Biologia Molecular</v>
          </cell>
          <cell r="K346" t="str">
            <v/>
          </cell>
          <cell r="L346" t="str">
            <v/>
          </cell>
          <cell r="M346" t="str">
            <v>Professional</v>
          </cell>
          <cell r="N346" t="str">
            <v/>
          </cell>
          <cell r="O346" t="str">
            <v>CBS</v>
          </cell>
          <cell r="P346">
            <v>0</v>
          </cell>
          <cell r="Q346" t="str">
            <v xml:space="preserve"> </v>
          </cell>
          <cell r="R346"/>
          <cell r="S346"/>
          <cell r="T346" t="str">
            <v>Sin reducción</v>
          </cell>
          <cell r="U346">
            <v>0</v>
          </cell>
          <cell r="V346"/>
          <cell r="W346"/>
          <cell r="X346">
            <v>0</v>
          </cell>
          <cell r="Y346">
            <v>0</v>
          </cell>
          <cell r="Z346">
            <v>0</v>
          </cell>
          <cell r="AA346"/>
          <cell r="AB346" t="str">
            <v>Active - signed</v>
          </cell>
          <cell r="AC346" t="str">
            <v>ACTIVO</v>
          </cell>
          <cell r="AD346"/>
          <cell r="AE346"/>
          <cell r="AF346"/>
          <cell r="AG346"/>
          <cell r="AH346"/>
          <cell r="AI346" t="str">
            <v>23938848B</v>
          </cell>
        </row>
        <row r="347">
          <cell r="A347" t="str">
            <v>71658627B</v>
          </cell>
          <cell r="B347" t="str">
            <v>Fernández Artamendi</v>
          </cell>
          <cell r="C347" t="str">
            <v>Sergio</v>
          </cell>
          <cell r="D347" t="str">
            <v>Fernández Artamendi, Sergio</v>
          </cell>
          <cell r="E347" t="str">
            <v>sfernandeza@professional.universidadviu.com</v>
          </cell>
          <cell r="F347" t="str">
            <v>sfernandeza@professional.universidadviu.com</v>
          </cell>
          <cell r="G347" t="str">
            <v>Yes</v>
          </cell>
          <cell r="H347" t="str">
            <v>Yes</v>
          </cell>
          <cell r="I347" t="str">
            <v>Doctor Internacional en Psicología</v>
          </cell>
          <cell r="J347" t="str">
            <v>Licenciado en Psicología</v>
          </cell>
          <cell r="K347" t="str">
            <v/>
          </cell>
          <cell r="L347" t="str">
            <v/>
          </cell>
          <cell r="M347" t="str">
            <v>Professional</v>
          </cell>
          <cell r="N347" t="str">
            <v/>
          </cell>
          <cell r="O347" t="str">
            <v>CSS</v>
          </cell>
          <cell r="P347">
            <v>0</v>
          </cell>
          <cell r="Q347" t="str">
            <v xml:space="preserve"> </v>
          </cell>
          <cell r="R347"/>
          <cell r="S347"/>
          <cell r="T347" t="str">
            <v>Sin reducción</v>
          </cell>
          <cell r="U347">
            <v>0</v>
          </cell>
          <cell r="V347"/>
          <cell r="W347"/>
          <cell r="X347">
            <v>0</v>
          </cell>
          <cell r="Y347">
            <v>0</v>
          </cell>
          <cell r="Z347">
            <v>0</v>
          </cell>
          <cell r="AA347"/>
          <cell r="AB347" t="str">
            <v>Active - signed</v>
          </cell>
          <cell r="AC347" t="str">
            <v>ACTIVO</v>
          </cell>
          <cell r="AD347"/>
          <cell r="AE347"/>
          <cell r="AF347"/>
          <cell r="AG347"/>
          <cell r="AH347"/>
          <cell r="AI347" t="str">
            <v>71658627B</v>
          </cell>
        </row>
        <row r="348">
          <cell r="A348" t="str">
            <v>45834629E</v>
          </cell>
          <cell r="B348" t="str">
            <v>Fernández Benítez</v>
          </cell>
          <cell r="C348" t="str">
            <v>Sara</v>
          </cell>
          <cell r="D348" t="str">
            <v>Fernández Benítez, Sara</v>
          </cell>
          <cell r="E348" t="str">
            <v>sfernandezb@professor.universidadviu.com</v>
          </cell>
          <cell r="F348" t="str">
            <v>sfernandezb@professor.universidadviu.com</v>
          </cell>
          <cell r="G348" t="str">
            <v>NO</v>
          </cell>
          <cell r="H348" t="str">
            <v>NO</v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>Labour</v>
          </cell>
          <cell r="N348" t="str">
            <v>Hernández Saguar, Aida Esther</v>
          </cell>
          <cell r="O348" t="str">
            <v>CSS</v>
          </cell>
          <cell r="P348">
            <v>100</v>
          </cell>
          <cell r="Q348" t="str">
            <v>50</v>
          </cell>
          <cell r="R348"/>
          <cell r="S348"/>
          <cell r="T348" t="str">
            <v>Sin reducción</v>
          </cell>
          <cell r="U348">
            <v>0</v>
          </cell>
          <cell r="V348"/>
          <cell r="W348"/>
          <cell r="X348">
            <v>45.8</v>
          </cell>
          <cell r="Y348">
            <v>0</v>
          </cell>
          <cell r="Z348">
            <v>0</v>
          </cell>
          <cell r="AA348"/>
          <cell r="AB348" t="str">
            <v>Active - signed</v>
          </cell>
          <cell r="AC348" t="str">
            <v>ACTIVO</v>
          </cell>
          <cell r="AD348"/>
          <cell r="AE348"/>
          <cell r="AF348"/>
          <cell r="AG348"/>
          <cell r="AH348"/>
          <cell r="AI348" t="str">
            <v>45834629E</v>
          </cell>
        </row>
        <row r="349">
          <cell r="A349" t="str">
            <v>48633916W</v>
          </cell>
          <cell r="B349" t="str">
            <v>Fernández Carreño</v>
          </cell>
          <cell r="C349" t="str">
            <v>David</v>
          </cell>
          <cell r="D349" t="str">
            <v>Fernández Carreño, David</v>
          </cell>
          <cell r="E349" t="str">
            <v>david.fernandez2@professional.universidadviu.com</v>
          </cell>
          <cell r="F349" t="str">
            <v>david.fernandez2@professional.universidadviu.com</v>
          </cell>
          <cell r="G349" t="str">
            <v>Yes</v>
          </cell>
          <cell r="H349" t="str">
            <v>NO</v>
          </cell>
          <cell r="I349" t="str">
            <v>Doctor en Salud, Psicología y Psiquiatría</v>
          </cell>
          <cell r="J349" t="str">
            <v>Máster Universitario en Análisis Funcional en Contextos Clínicos y de la Salud</v>
          </cell>
          <cell r="K349" t="str">
            <v>Licenciado en Psicología</v>
          </cell>
          <cell r="L349" t="str">
            <v/>
          </cell>
          <cell r="M349" t="str">
            <v>Professional</v>
          </cell>
          <cell r="N349" t="str">
            <v/>
          </cell>
          <cell r="O349" t="str">
            <v>CSS</v>
          </cell>
          <cell r="P349">
            <v>0</v>
          </cell>
          <cell r="Q349" t="str">
            <v xml:space="preserve"> </v>
          </cell>
          <cell r="R349"/>
          <cell r="S349"/>
          <cell r="T349" t="str">
            <v>Sin reducción</v>
          </cell>
          <cell r="U349">
            <v>0</v>
          </cell>
          <cell r="V349"/>
          <cell r="W349"/>
          <cell r="X349">
            <v>0</v>
          </cell>
          <cell r="Y349">
            <v>0</v>
          </cell>
          <cell r="Z349">
            <v>0</v>
          </cell>
          <cell r="AA349"/>
          <cell r="AB349" t="str">
            <v>Concluded</v>
          </cell>
          <cell r="AC349" t="str">
            <v>NO ACTIVO</v>
          </cell>
          <cell r="AD349"/>
          <cell r="AE349"/>
          <cell r="AF349"/>
          <cell r="AG349" t="str">
            <v>CESE DE CONTRATO</v>
          </cell>
          <cell r="AH349"/>
          <cell r="AI349" t="str">
            <v>48633916W</v>
          </cell>
        </row>
        <row r="350">
          <cell r="A350" t="str">
            <v>26758576P</v>
          </cell>
          <cell r="B350" t="str">
            <v>Fernández Carrión</v>
          </cell>
          <cell r="C350" t="str">
            <v>Rebeca</v>
          </cell>
          <cell r="D350" t="str">
            <v>Fernández Carrión, Rebeca</v>
          </cell>
          <cell r="E350" t="str">
            <v>rfernandezc@professional.universidadviu.com</v>
          </cell>
          <cell r="F350" t="str">
            <v>rfernandezc@professional.universidadviu.com</v>
          </cell>
          <cell r="G350" t="str">
            <v>Yes</v>
          </cell>
          <cell r="H350" t="str">
            <v>NO</v>
          </cell>
          <cell r="I350" t="str">
            <v>Doctorado en Medicina</v>
          </cell>
          <cell r="J350" t="str">
            <v>Máster en Calidad y Seguridad Alimentaria</v>
          </cell>
          <cell r="K350" t="str">
            <v>Graduado en Nutrición Humana y Dietética</v>
          </cell>
          <cell r="L350" t="str">
            <v/>
          </cell>
          <cell r="M350" t="str">
            <v>Professional</v>
          </cell>
          <cell r="N350"/>
          <cell r="O350" t="str">
            <v>CBS</v>
          </cell>
          <cell r="P350">
            <v>0</v>
          </cell>
          <cell r="Q350" t="str">
            <v xml:space="preserve"> </v>
          </cell>
          <cell r="R350"/>
          <cell r="S350"/>
          <cell r="T350" t="str">
            <v>Sin reducción</v>
          </cell>
          <cell r="U350">
            <v>0</v>
          </cell>
          <cell r="V350"/>
          <cell r="W350"/>
          <cell r="X350">
            <v>0</v>
          </cell>
          <cell r="Y350">
            <v>0</v>
          </cell>
          <cell r="Z350">
            <v>0</v>
          </cell>
          <cell r="AA350"/>
          <cell r="AB350" t="str">
            <v>Active - signed</v>
          </cell>
          <cell r="AC350" t="str">
            <v>ACTIVO</v>
          </cell>
          <cell r="AD350"/>
          <cell r="AE350"/>
          <cell r="AF350"/>
          <cell r="AG350"/>
          <cell r="AH350"/>
          <cell r="AI350" t="str">
            <v>26758576P</v>
          </cell>
        </row>
        <row r="351">
          <cell r="A351" t="str">
            <v>50123439e</v>
          </cell>
          <cell r="B351" t="str">
            <v>Fernández Catalina</v>
          </cell>
          <cell r="C351" t="str">
            <v>Paola</v>
          </cell>
          <cell r="D351" t="str">
            <v>Fernández Catalina, Paola</v>
          </cell>
          <cell r="E351" t="str">
            <v>pfernandezc@professional.universidadviu.com</v>
          </cell>
          <cell r="F351" t="str">
            <v>pfernandezc@professional.universidadviu.com</v>
          </cell>
          <cell r="G351" t="str">
            <v>Yes</v>
          </cell>
          <cell r="H351" t="str">
            <v>NO</v>
          </cell>
          <cell r="I351" t="str">
            <v>Doctorado en personalidad evaluación y psicología clínica</v>
          </cell>
          <cell r="J351" t="str">
            <v>Master psicología clínica y de la salud</v>
          </cell>
          <cell r="K351" t="str">
            <v>licenciada psicología ucm</v>
          </cell>
          <cell r="L351" t="str">
            <v/>
          </cell>
          <cell r="M351" t="str">
            <v>Professional</v>
          </cell>
          <cell r="N351" t="str">
            <v/>
          </cell>
          <cell r="O351" t="str">
            <v>CSS</v>
          </cell>
          <cell r="P351">
            <v>0</v>
          </cell>
          <cell r="Q351" t="str">
            <v xml:space="preserve"> </v>
          </cell>
          <cell r="R351"/>
          <cell r="S351"/>
          <cell r="T351" t="str">
            <v>Sin reducción</v>
          </cell>
          <cell r="U351">
            <v>0</v>
          </cell>
          <cell r="V351"/>
          <cell r="W351"/>
          <cell r="X351">
            <v>0</v>
          </cell>
          <cell r="Y351">
            <v>0</v>
          </cell>
          <cell r="Z351">
            <v>0</v>
          </cell>
          <cell r="AA351"/>
          <cell r="AB351" t="str">
            <v>Active - signed</v>
          </cell>
          <cell r="AC351" t="str">
            <v>ACTIVO</v>
          </cell>
          <cell r="AD351"/>
          <cell r="AE351"/>
          <cell r="AF351"/>
          <cell r="AG351"/>
          <cell r="AH351"/>
          <cell r="AI351" t="str">
            <v>50123439e</v>
          </cell>
        </row>
        <row r="352">
          <cell r="A352" t="str">
            <v>70891046D</v>
          </cell>
          <cell r="B352" t="str">
            <v>Fernández Dolón</v>
          </cell>
          <cell r="C352" t="str">
            <v>Juan</v>
          </cell>
          <cell r="D352" t="str">
            <v>Fernández Dolón, Juan</v>
          </cell>
          <cell r="E352" t="str">
            <v>juan.fernandez.d</v>
          </cell>
          <cell r="F352" t="str">
            <v>juan.fernandez.d@professor.universidadviu.com</v>
          </cell>
          <cell r="G352" t="str">
            <v>Yes</v>
          </cell>
          <cell r="H352" t="str">
            <v>NO</v>
          </cell>
          <cell r="I352" t="str">
            <v>Doctorado</v>
          </cell>
          <cell r="J352" t="str">
            <v>Doctorado</v>
          </cell>
          <cell r="K352" t="str">
            <v>MASTER UNIVERSITARIO EN DIRECCIÓN Y GESTIÓN SANITARIA</v>
          </cell>
          <cell r="L352" t="str">
            <v>Graduado/a en Enfermeria</v>
          </cell>
          <cell r="M352" t="str">
            <v>Labour</v>
          </cell>
          <cell r="N352" t="str">
            <v>Pellín Carcelén, Ana</v>
          </cell>
          <cell r="O352" t="str">
            <v>CBS</v>
          </cell>
          <cell r="P352">
            <v>40</v>
          </cell>
          <cell r="Q352" t="str">
            <v>32</v>
          </cell>
          <cell r="R352"/>
          <cell r="S352"/>
          <cell r="T352" t="str">
            <v>Sin reducción</v>
          </cell>
          <cell r="U352">
            <v>0</v>
          </cell>
          <cell r="V352"/>
          <cell r="W352"/>
          <cell r="X352">
            <v>0</v>
          </cell>
          <cell r="Y352">
            <v>0</v>
          </cell>
          <cell r="Z352">
            <v>32.799999999999997</v>
          </cell>
          <cell r="AA352"/>
          <cell r="AB352" t="str">
            <v>Active - signed</v>
          </cell>
          <cell r="AC352" t="str">
            <v>ACTIVO</v>
          </cell>
          <cell r="AD352"/>
          <cell r="AE352"/>
          <cell r="AF352"/>
          <cell r="AG352"/>
          <cell r="AH352"/>
          <cell r="AI352" t="str">
            <v>70891046D</v>
          </cell>
        </row>
        <row r="353">
          <cell r="A353" t="str">
            <v>71355987M</v>
          </cell>
          <cell r="B353" t="str">
            <v>Fernández Fillol</v>
          </cell>
          <cell r="C353" t="str">
            <v>Carmen</v>
          </cell>
          <cell r="D353" t="str">
            <v>Fernández Fillol, Carmen</v>
          </cell>
          <cell r="E353" t="str">
            <v>carmen.fernandez6</v>
          </cell>
          <cell r="F353" t="str">
            <v>carmen.fernandez6@professor.universidadviu.com</v>
          </cell>
          <cell r="G353" t="str">
            <v>Yes</v>
          </cell>
          <cell r="H353" t="str">
            <v>NO</v>
          </cell>
          <cell r="I353" t="str">
            <v>Psicología</v>
          </cell>
          <cell r="J353" t="str">
            <v>Doctorado en Psicología</v>
          </cell>
          <cell r="K353" t="str">
            <v>Máster Psicología General Sanitaria</v>
          </cell>
          <cell r="L353" t="str">
            <v>Grado en Psicología</v>
          </cell>
          <cell r="M353" t="str">
            <v>Labour</v>
          </cell>
          <cell r="N353" t="str">
            <v>Rama Galdón, Encarnación</v>
          </cell>
          <cell r="O353" t="str">
            <v>CSS</v>
          </cell>
          <cell r="P353">
            <v>100</v>
          </cell>
          <cell r="Q353" t="str">
            <v>50</v>
          </cell>
          <cell r="R353"/>
          <cell r="S353"/>
          <cell r="T353" t="str">
            <v>Sin reducción</v>
          </cell>
          <cell r="U353">
            <v>0</v>
          </cell>
          <cell r="V353"/>
          <cell r="W353"/>
          <cell r="X353">
            <v>40.5</v>
          </cell>
          <cell r="Y353">
            <v>0</v>
          </cell>
          <cell r="Z353">
            <v>2</v>
          </cell>
          <cell r="AA353"/>
          <cell r="AB353" t="str">
            <v>Active - signed</v>
          </cell>
          <cell r="AC353" t="str">
            <v>ACTIVO</v>
          </cell>
          <cell r="AD353"/>
          <cell r="AE353"/>
          <cell r="AF353"/>
          <cell r="AG353"/>
          <cell r="AH353"/>
          <cell r="AI353" t="str">
            <v>71355987M</v>
          </cell>
        </row>
        <row r="354">
          <cell r="A354" t="str">
            <v>42418860Y</v>
          </cell>
          <cell r="B354" t="str">
            <v>Fernández González</v>
          </cell>
          <cell r="C354" t="str">
            <v>María Cristina</v>
          </cell>
          <cell r="D354" t="str">
            <v>Fernández González, María Cristina</v>
          </cell>
          <cell r="E354" t="str">
            <v>cristina.fernandez.gon</v>
          </cell>
          <cell r="F354" t="str">
            <v>cristina.fernandez.gon@professor.universidadviu.com</v>
          </cell>
          <cell r="G354" t="str">
            <v>Yes</v>
          </cell>
          <cell r="H354" t="str">
            <v>NO</v>
          </cell>
          <cell r="I354" t="str">
            <v>Doctorado en Estado de Derecho y Gobernanza Global</v>
          </cell>
          <cell r="J354" t="str">
            <v>Master universitario en estrategias anticorrupción y politicas de integridad</v>
          </cell>
          <cell r="K354" t="str">
            <v>Graduada en criminologia</v>
          </cell>
          <cell r="L354" t="str">
            <v/>
          </cell>
          <cell r="M354" t="str">
            <v>Labour</v>
          </cell>
          <cell r="N354"/>
          <cell r="O354" t="str">
            <v>CSS</v>
          </cell>
          <cell r="P354" t="str">
            <v>40,00</v>
          </cell>
          <cell r="Q354" t="b">
            <v>0</v>
          </cell>
          <cell r="R354"/>
          <cell r="S354"/>
          <cell r="T354" t="str">
            <v>Sin reducción</v>
          </cell>
          <cell r="U354">
            <v>0</v>
          </cell>
          <cell r="V354">
            <v>24</v>
          </cell>
          <cell r="W354" t="str">
            <v>JURÍDICO</v>
          </cell>
          <cell r="X354">
            <v>0</v>
          </cell>
          <cell r="Y354">
            <v>0</v>
          </cell>
          <cell r="Z354">
            <v>0</v>
          </cell>
          <cell r="AA354"/>
          <cell r="AB354" t="str">
            <v>Concluded</v>
          </cell>
          <cell r="AC354" t="str">
            <v>NO ACTIVO</v>
          </cell>
          <cell r="AD354"/>
          <cell r="AE354"/>
          <cell r="AF354">
            <v>45411</v>
          </cell>
          <cell r="AG354" t="str">
            <v>CESE DE CONTRATO</v>
          </cell>
          <cell r="AH354"/>
          <cell r="AI354" t="str">
            <v>42418860Y</v>
          </cell>
        </row>
        <row r="355">
          <cell r="A355" t="str">
            <v>26661365H</v>
          </cell>
          <cell r="B355" t="str">
            <v>Fernández Kirszman</v>
          </cell>
          <cell r="C355" t="str">
            <v>Javier</v>
          </cell>
          <cell r="D355" t="str">
            <v>Fernández Kirszman, Javier</v>
          </cell>
          <cell r="E355" t="str">
            <v>javier.fernandez.k</v>
          </cell>
          <cell r="F355" t="str">
            <v>javier.fernandez.k@professional.universidadviu.com</v>
          </cell>
          <cell r="G355" t="str">
            <v>Yes</v>
          </cell>
          <cell r="H355" t="str">
            <v>NO</v>
          </cell>
          <cell r="I355" t="str">
            <v>Psicología</v>
          </cell>
          <cell r="J355" t="str">
            <v>Master universitario Psicología General Sanitaria</v>
          </cell>
          <cell r="K355" t="str">
            <v/>
          </cell>
          <cell r="L355" t="str">
            <v/>
          </cell>
          <cell r="M355" t="str">
            <v>Professional</v>
          </cell>
          <cell r="N355" t="str">
            <v/>
          </cell>
          <cell r="O355" t="str">
            <v>CSS</v>
          </cell>
          <cell r="P355">
            <v>0</v>
          </cell>
          <cell r="Q355" t="str">
            <v xml:space="preserve"> </v>
          </cell>
          <cell r="R355"/>
          <cell r="S355"/>
          <cell r="T355" t="str">
            <v>Sin reducción</v>
          </cell>
          <cell r="U355">
            <v>0</v>
          </cell>
          <cell r="V355"/>
          <cell r="W355"/>
          <cell r="X355">
            <v>0</v>
          </cell>
          <cell r="Y355">
            <v>0</v>
          </cell>
          <cell r="Z355">
            <v>0</v>
          </cell>
          <cell r="AA355"/>
          <cell r="AB355" t="str">
            <v>Active - signed</v>
          </cell>
          <cell r="AC355" t="str">
            <v>ACTIVO</v>
          </cell>
          <cell r="AD355"/>
          <cell r="AE355"/>
          <cell r="AF355"/>
          <cell r="AG355"/>
          <cell r="AH355"/>
          <cell r="AI355" t="str">
            <v>26661365H</v>
          </cell>
        </row>
        <row r="356">
          <cell r="A356" t="str">
            <v>74638917f</v>
          </cell>
          <cell r="B356" t="str">
            <v>Fernández Leyva</v>
          </cell>
          <cell r="C356" t="str">
            <v>Christian</v>
          </cell>
          <cell r="D356" t="str">
            <v>Fernández Leyva, Christian</v>
          </cell>
          <cell r="E356" t="str">
            <v>christian.fernandez@professional.universidadviu.co</v>
          </cell>
          <cell r="F356" t="str">
            <v>christian.fernandez@professional.universidadviu.co</v>
          </cell>
          <cell r="G356" t="str">
            <v>Yes</v>
          </cell>
          <cell r="H356" t="str">
            <v>NO</v>
          </cell>
          <cell r="I356" t="str">
            <v>Doctorado en Ciencias de la Educación</v>
          </cell>
          <cell r="J356" t="str">
            <v>Licenciatura en Pedagogía</v>
          </cell>
          <cell r="K356" t="str">
            <v>Máster en Intervención Psicopedagógica</v>
          </cell>
          <cell r="L356" t="str">
            <v/>
          </cell>
          <cell r="M356" t="str">
            <v>Professional</v>
          </cell>
          <cell r="N356" t="str">
            <v/>
          </cell>
          <cell r="O356" t="str">
            <v>CSS</v>
          </cell>
          <cell r="P356">
            <v>0</v>
          </cell>
          <cell r="Q356" t="str">
            <v xml:space="preserve"> </v>
          </cell>
          <cell r="R356"/>
          <cell r="S356"/>
          <cell r="T356" t="str">
            <v>Sin reducción</v>
          </cell>
          <cell r="U356">
            <v>0</v>
          </cell>
          <cell r="V356"/>
          <cell r="W356"/>
          <cell r="X356">
            <v>0</v>
          </cell>
          <cell r="Y356">
            <v>0</v>
          </cell>
          <cell r="Z356">
            <v>0</v>
          </cell>
          <cell r="AA356"/>
          <cell r="AB356" t="str">
            <v>Active - signed</v>
          </cell>
          <cell r="AC356" t="str">
            <v>ACTIVO</v>
          </cell>
          <cell r="AD356"/>
          <cell r="AE356"/>
          <cell r="AF356"/>
          <cell r="AG356"/>
          <cell r="AH356"/>
          <cell r="AI356" t="str">
            <v>74638917f</v>
          </cell>
        </row>
        <row r="357">
          <cell r="A357" t="str">
            <v>34270908B</v>
          </cell>
          <cell r="B357" t="str">
            <v>Fernández López</v>
          </cell>
          <cell r="C357" t="str">
            <v>Maria</v>
          </cell>
          <cell r="D357" t="str">
            <v>Fernández López, Maria</v>
          </cell>
          <cell r="E357" t="str">
            <v>mfernandezl@professional.universidadviu.com</v>
          </cell>
          <cell r="F357" t="str">
            <v>mfernandezl@professional.universidadviu.com</v>
          </cell>
          <cell r="G357" t="str">
            <v>Yes</v>
          </cell>
          <cell r="H357" t="str">
            <v>Yes</v>
          </cell>
          <cell r="I357" t="str">
            <v>Doctorado en Lectura y comprensión</v>
          </cell>
          <cell r="J357" t="str">
            <v>Máster en Neurociencia Cognitiva y Necesidades Específicas de Apoyo Educativo</v>
          </cell>
          <cell r="K357" t="str">
            <v>Grado de Psicología</v>
          </cell>
          <cell r="L357" t="str">
            <v/>
          </cell>
          <cell r="M357" t="str">
            <v>Professional</v>
          </cell>
          <cell r="N357"/>
          <cell r="O357" t="str">
            <v>CSS</v>
          </cell>
          <cell r="P357">
            <v>0</v>
          </cell>
          <cell r="Q357" t="str">
            <v xml:space="preserve"> </v>
          </cell>
          <cell r="R357"/>
          <cell r="S357"/>
          <cell r="T357" t="str">
            <v>Sin reducción</v>
          </cell>
          <cell r="U357">
            <v>0</v>
          </cell>
          <cell r="V357"/>
          <cell r="W357"/>
          <cell r="X357">
            <v>0</v>
          </cell>
          <cell r="Y357">
            <v>0</v>
          </cell>
          <cell r="Z357">
            <v>0</v>
          </cell>
          <cell r="AA357"/>
          <cell r="AB357" t="str">
            <v>Active - signed</v>
          </cell>
          <cell r="AC357" t="str">
            <v>ACTIVO</v>
          </cell>
          <cell r="AD357"/>
          <cell r="AE357"/>
          <cell r="AF357"/>
          <cell r="AG357"/>
          <cell r="AH357"/>
          <cell r="AI357" t="str">
            <v>34270908B</v>
          </cell>
        </row>
        <row r="358">
          <cell r="A358" t="str">
            <v>29199912D</v>
          </cell>
          <cell r="B358" t="str">
            <v>Fernández Musoles</v>
          </cell>
          <cell r="C358" t="str">
            <v>Ricardo</v>
          </cell>
          <cell r="D358" t="str">
            <v>Fernández Musoles, Ricardo</v>
          </cell>
          <cell r="E358" t="str">
            <v>ricardo.fernandez</v>
          </cell>
          <cell r="F358" t="str">
            <v>ricardo.fernandez@professor.universidadviu.com</v>
          </cell>
          <cell r="G358" t="str">
            <v>Yes</v>
          </cell>
          <cell r="H358" t="str">
            <v>NO</v>
          </cell>
          <cell r="I358" t="str">
            <v>Doctorado en Medicina Preventiva, Salud Pública, Bromatología, Toxicología y Medicina Legal</v>
          </cell>
          <cell r="J358" t="str">
            <v>Doctorado en Medicina Preventiva, Salud Pública, Bromatología, Toxicología y Medicina Legal</v>
          </cell>
          <cell r="K358" t="str">
            <v>Licenciado en Ciencias Biológicas</v>
          </cell>
          <cell r="L358" t="str">
            <v>Licenciado en Ciencia y Tecnología de los alimentos</v>
          </cell>
          <cell r="M358" t="str">
            <v>Labour</v>
          </cell>
          <cell r="N358" t="str">
            <v>García Tejedor, Aurora</v>
          </cell>
          <cell r="O358" t="str">
            <v>CBS</v>
          </cell>
          <cell r="P358">
            <v>100</v>
          </cell>
          <cell r="Q358" t="str">
            <v>50</v>
          </cell>
          <cell r="R358"/>
          <cell r="S358"/>
          <cell r="T358" t="str">
            <v>Dirección de título Máster Universitario &lt;60 - 1 edición</v>
          </cell>
          <cell r="U358" t="str">
            <v>26</v>
          </cell>
          <cell r="V358"/>
          <cell r="W358"/>
          <cell r="X358">
            <v>0</v>
          </cell>
          <cell r="Y358">
            <v>19.8</v>
          </cell>
          <cell r="Z358">
            <v>0</v>
          </cell>
          <cell r="AA358"/>
          <cell r="AB358" t="str">
            <v>Active - signed</v>
          </cell>
          <cell r="AC358" t="str">
            <v>ACTIVO</v>
          </cell>
          <cell r="AD358"/>
          <cell r="AE358"/>
          <cell r="AF358"/>
          <cell r="AG358"/>
          <cell r="AH358"/>
          <cell r="AI358" t="str">
            <v>29199912D</v>
          </cell>
        </row>
        <row r="359">
          <cell r="A359" t="str">
            <v>78938790F</v>
          </cell>
          <cell r="B359" t="str">
            <v>Fernández Presa</v>
          </cell>
          <cell r="C359" t="str">
            <v>Urko</v>
          </cell>
          <cell r="D359" t="str">
            <v>Fernández Presa, Urko</v>
          </cell>
          <cell r="E359" t="str">
            <v>urko.fernandez</v>
          </cell>
          <cell r="F359" t="str">
            <v>urko.fernandez@professional.universidadviu.com</v>
          </cell>
          <cell r="G359" t="str">
            <v>NO</v>
          </cell>
          <cell r="H359" t="str">
            <v>NO</v>
          </cell>
          <cell r="I359" t="str">
            <v>Enfermería</v>
          </cell>
          <cell r="J359" t="str">
            <v/>
          </cell>
          <cell r="K359" t="str">
            <v/>
          </cell>
          <cell r="L359" t="str">
            <v/>
          </cell>
          <cell r="M359" t="str">
            <v>Professional</v>
          </cell>
          <cell r="N359" t="str">
            <v/>
          </cell>
          <cell r="O359" t="str">
            <v>CBS</v>
          </cell>
          <cell r="P359">
            <v>0</v>
          </cell>
          <cell r="Q359" t="str">
            <v xml:space="preserve"> </v>
          </cell>
          <cell r="R359"/>
          <cell r="S359"/>
          <cell r="T359" t="str">
            <v>Sin reducción</v>
          </cell>
          <cell r="U359">
            <v>0</v>
          </cell>
          <cell r="V359"/>
          <cell r="W359"/>
          <cell r="X359">
            <v>0</v>
          </cell>
          <cell r="Y359">
            <v>0</v>
          </cell>
          <cell r="Z359">
            <v>0</v>
          </cell>
          <cell r="AA359"/>
          <cell r="AB359" t="str">
            <v>Active - signed</v>
          </cell>
          <cell r="AC359" t="str">
            <v>ACTIVO</v>
          </cell>
          <cell r="AD359"/>
          <cell r="AE359"/>
          <cell r="AF359"/>
          <cell r="AG359"/>
          <cell r="AH359"/>
          <cell r="AI359" t="str">
            <v>78938790F</v>
          </cell>
        </row>
        <row r="360">
          <cell r="A360" t="str">
            <v>76066361W</v>
          </cell>
          <cell r="B360" t="str">
            <v>Fernández Puerta</v>
          </cell>
          <cell r="C360" t="str">
            <v>Laura</v>
          </cell>
          <cell r="D360" t="str">
            <v>Fernández Puerta, Laura</v>
          </cell>
          <cell r="E360" t="str">
            <v>lfernandezp@professional.universidadviu.com</v>
          </cell>
          <cell r="F360" t="str">
            <v>lfernandezp@professional.universidadviu.com</v>
          </cell>
          <cell r="G360" t="str">
            <v>Yes</v>
          </cell>
          <cell r="H360" t="str">
            <v>NO</v>
          </cell>
          <cell r="I360" t="str">
            <v>Medicina Clínica y Salud Pública</v>
          </cell>
          <cell r="J360" t="str">
            <v>Máster en Investigación y Avances en Medicina Preventiva y Salud Pública</v>
          </cell>
          <cell r="K360" t="str">
            <v>Grado en Enfermería</v>
          </cell>
          <cell r="L360" t="str">
            <v/>
          </cell>
          <cell r="M360" t="str">
            <v>Professional</v>
          </cell>
          <cell r="N360" t="str">
            <v/>
          </cell>
          <cell r="O360" t="str">
            <v>CBS/CSS</v>
          </cell>
          <cell r="P360">
            <v>0</v>
          </cell>
          <cell r="Q360" t="str">
            <v xml:space="preserve"> </v>
          </cell>
          <cell r="R360"/>
          <cell r="S360"/>
          <cell r="T360" t="str">
            <v>Sin reducción</v>
          </cell>
          <cell r="U360">
            <v>0</v>
          </cell>
          <cell r="V360"/>
          <cell r="W360"/>
          <cell r="X360">
            <v>0</v>
          </cell>
          <cell r="Y360">
            <v>0</v>
          </cell>
          <cell r="Z360">
            <v>0</v>
          </cell>
          <cell r="AA360"/>
          <cell r="AB360" t="str">
            <v>Active - signed</v>
          </cell>
          <cell r="AC360" t="str">
            <v>ACTIVO</v>
          </cell>
          <cell r="AD360"/>
          <cell r="AE360"/>
          <cell r="AF360"/>
          <cell r="AG360"/>
          <cell r="AH360"/>
          <cell r="AI360" t="str">
            <v>76066361W</v>
          </cell>
        </row>
        <row r="361">
          <cell r="A361" t="str">
            <v>16553340X</v>
          </cell>
          <cell r="B361" t="str">
            <v>Fernández Recio</v>
          </cell>
          <cell r="C361" t="str">
            <v>Juan</v>
          </cell>
          <cell r="D361" t="str">
            <v>Fernández Recio, Juan</v>
          </cell>
          <cell r="E361" t="str">
            <v>juan.fernandez.r</v>
          </cell>
          <cell r="F361" t="str">
            <v>juan.fernandez.r@professional.universidadviu.com</v>
          </cell>
          <cell r="G361" t="str">
            <v>Yes</v>
          </cell>
          <cell r="H361" t="str">
            <v>Yes</v>
          </cell>
          <cell r="I361" t="str">
            <v>Bioquímica</v>
          </cell>
          <cell r="J361" t="str">
            <v>Bioquímica y Biología Molecular y Celular</v>
          </cell>
          <cell r="K361" t="str">
            <v>Licenciatura en Ciencias (Químicas)</v>
          </cell>
          <cell r="L361" t="str">
            <v/>
          </cell>
          <cell r="M361" t="str">
            <v>Professional</v>
          </cell>
          <cell r="N361" t="str">
            <v/>
          </cell>
          <cell r="O361" t="str">
            <v>CBS</v>
          </cell>
          <cell r="P361">
            <v>0</v>
          </cell>
          <cell r="Q361" t="str">
            <v xml:space="preserve"> </v>
          </cell>
          <cell r="R361"/>
          <cell r="S361"/>
          <cell r="T361" t="str">
            <v>Sin reducción</v>
          </cell>
          <cell r="U361">
            <v>0</v>
          </cell>
          <cell r="V361"/>
          <cell r="W361"/>
          <cell r="X361">
            <v>0</v>
          </cell>
          <cell r="Y361">
            <v>0</v>
          </cell>
          <cell r="Z361">
            <v>0</v>
          </cell>
          <cell r="AA361"/>
          <cell r="AB361" t="str">
            <v>Active - signed</v>
          </cell>
          <cell r="AC361" t="str">
            <v>ACTIVO</v>
          </cell>
          <cell r="AD361"/>
          <cell r="AE361"/>
          <cell r="AF361"/>
          <cell r="AG361"/>
          <cell r="AH361"/>
          <cell r="AI361" t="str">
            <v>16553340X</v>
          </cell>
        </row>
        <row r="362">
          <cell r="A362" t="str">
            <v>47703540E</v>
          </cell>
          <cell r="B362" t="str">
            <v>Fernández Sabatés</v>
          </cell>
          <cell r="C362" t="str">
            <v>Mònica</v>
          </cell>
          <cell r="D362" t="str">
            <v>Fernández Sabatés, Mònica</v>
          </cell>
          <cell r="E362" t="str">
            <v>monica.fernandez.s</v>
          </cell>
          <cell r="F362" t="str">
            <v>monica.fernandez.s@professional.universidadviu.com</v>
          </cell>
          <cell r="G362" t="str">
            <v>NO</v>
          </cell>
          <cell r="H362" t="str">
            <v>NO</v>
          </cell>
          <cell r="I362" t="str">
            <v>Enfermería</v>
          </cell>
          <cell r="J362" t="str">
            <v>Master universitario en educación en salud escolar</v>
          </cell>
          <cell r="K362" t="str">
            <v/>
          </cell>
          <cell r="L362" t="str">
            <v/>
          </cell>
          <cell r="M362" t="str">
            <v>Professional</v>
          </cell>
          <cell r="N362" t="str">
            <v/>
          </cell>
          <cell r="O362" t="str">
            <v>CBS</v>
          </cell>
          <cell r="P362">
            <v>0</v>
          </cell>
          <cell r="Q362" t="str">
            <v xml:space="preserve"> </v>
          </cell>
          <cell r="R362"/>
          <cell r="S362"/>
          <cell r="T362" t="str">
            <v>Sin reducción</v>
          </cell>
          <cell r="U362">
            <v>0</v>
          </cell>
          <cell r="V362"/>
          <cell r="W362"/>
          <cell r="X362">
            <v>0</v>
          </cell>
          <cell r="Y362">
            <v>0</v>
          </cell>
          <cell r="Z362">
            <v>0</v>
          </cell>
          <cell r="AA362"/>
          <cell r="AB362" t="str">
            <v>Active - signed</v>
          </cell>
          <cell r="AC362" t="str">
            <v>ACTIVO</v>
          </cell>
          <cell r="AD362"/>
          <cell r="AE362"/>
          <cell r="AF362"/>
          <cell r="AG362"/>
          <cell r="AH362"/>
          <cell r="AI362" t="str">
            <v>47703540E</v>
          </cell>
        </row>
        <row r="363">
          <cell r="A363" t="str">
            <v>70077781R</v>
          </cell>
          <cell r="B363" t="str">
            <v>Fernández Salinero San Martín</v>
          </cell>
          <cell r="C363" t="str">
            <v>Samuel</v>
          </cell>
          <cell r="D363" t="str">
            <v>Fernández Salinero San Martín, Samuel</v>
          </cell>
          <cell r="E363" t="str">
            <v>samuel.fernandez</v>
          </cell>
          <cell r="F363" t="str">
            <v>samuel.fernandez@professional.universidadviu.com</v>
          </cell>
          <cell r="G363" t="str">
            <v>Yes</v>
          </cell>
          <cell r="H363" t="str">
            <v>Yes</v>
          </cell>
          <cell r="I363" t="str">
            <v>Programa de Doctorado en Psicología de la Salud</v>
          </cell>
          <cell r="J363" t="str">
            <v>Graduado en Psicología</v>
          </cell>
          <cell r="K363" t="str">
            <v>Máster en Psicoterapia Psicoanalítica y Salud Mental</v>
          </cell>
          <cell r="L363" t="str">
            <v>Máster Universitario en Investigación en Psicología</v>
          </cell>
          <cell r="M363" t="str">
            <v>Professional</v>
          </cell>
          <cell r="N363" t="str">
            <v/>
          </cell>
          <cell r="O363" t="str">
            <v>CSS</v>
          </cell>
          <cell r="P363">
            <v>0</v>
          </cell>
          <cell r="Q363" t="str">
            <v xml:space="preserve"> </v>
          </cell>
          <cell r="R363"/>
          <cell r="S363"/>
          <cell r="T363" t="str">
            <v>Sin reducción</v>
          </cell>
          <cell r="U363">
            <v>0</v>
          </cell>
          <cell r="V363"/>
          <cell r="W363"/>
          <cell r="X363">
            <v>0</v>
          </cell>
          <cell r="Y363">
            <v>0</v>
          </cell>
          <cell r="Z363">
            <v>0</v>
          </cell>
          <cell r="AA363"/>
          <cell r="AB363" t="str">
            <v>Active - signed</v>
          </cell>
          <cell r="AC363" t="str">
            <v>ACTIVO</v>
          </cell>
          <cell r="AD363"/>
          <cell r="AE363"/>
          <cell r="AF363"/>
          <cell r="AG363"/>
          <cell r="AH363"/>
          <cell r="AI363" t="str">
            <v>70077781R</v>
          </cell>
        </row>
        <row r="364">
          <cell r="A364" t="str">
            <v>70897405C</v>
          </cell>
          <cell r="B364" t="str">
            <v>Fernández Sánchez</v>
          </cell>
          <cell r="C364" t="str">
            <v>Maria</v>
          </cell>
          <cell r="D364" t="str">
            <v>Fernández Sánchez, Maria</v>
          </cell>
          <cell r="E364" t="str">
            <v>maria.fer</v>
          </cell>
          <cell r="F364" t="str">
            <v>maria.fer@professional.universidadviu.com</v>
          </cell>
          <cell r="G364" t="str">
            <v>Yes</v>
          </cell>
          <cell r="H364" t="str">
            <v>Yes</v>
          </cell>
          <cell r="I364" t="str">
            <v>Psicología</v>
          </cell>
          <cell r="J364" t="str">
            <v>Master universitario en Profesorado de Educación secundaria obligatoria</v>
          </cell>
          <cell r="K364" t="str">
            <v>Licenciatura en Psicología</v>
          </cell>
          <cell r="L364" t="str">
            <v/>
          </cell>
          <cell r="M364" t="str">
            <v>Professional</v>
          </cell>
          <cell r="N364" t="str">
            <v/>
          </cell>
          <cell r="O364" t="str">
            <v>CSS</v>
          </cell>
          <cell r="P364">
            <v>0</v>
          </cell>
          <cell r="Q364" t="str">
            <v xml:space="preserve"> </v>
          </cell>
          <cell r="R364"/>
          <cell r="S364"/>
          <cell r="T364" t="str">
            <v>Sin reducción</v>
          </cell>
          <cell r="U364">
            <v>0</v>
          </cell>
          <cell r="V364"/>
          <cell r="W364"/>
          <cell r="X364">
            <v>0</v>
          </cell>
          <cell r="Y364">
            <v>0</v>
          </cell>
          <cell r="Z364">
            <v>0</v>
          </cell>
          <cell r="AA364"/>
          <cell r="AB364" t="str">
            <v>Active - signed</v>
          </cell>
          <cell r="AC364" t="str">
            <v>ACTIVO</v>
          </cell>
          <cell r="AD364"/>
          <cell r="AE364"/>
          <cell r="AF364"/>
          <cell r="AG364"/>
          <cell r="AH364"/>
          <cell r="AI364" t="str">
            <v>70897405C</v>
          </cell>
        </row>
        <row r="365">
          <cell r="A365" t="str">
            <v>75109883W</v>
          </cell>
          <cell r="B365" t="str">
            <v>Fernández Sánchez</v>
          </cell>
          <cell r="C365" t="str">
            <v>María Dolores</v>
          </cell>
          <cell r="D365" t="str">
            <v>Fernández Sánchez, María Dolores</v>
          </cell>
          <cell r="E365" t="str">
            <v>mfernandezs@professional.universidadviu.com</v>
          </cell>
          <cell r="F365" t="str">
            <v>mfernandezs@professional.universidadviu.com</v>
          </cell>
          <cell r="G365" t="str">
            <v>Yes</v>
          </cell>
          <cell r="H365" t="str">
            <v>NO</v>
          </cell>
          <cell r="I365" t="str">
            <v>Doctora en Psicología, dentro del Programa oficial de Doctora en Ciencias de la Salud</v>
          </cell>
          <cell r="J365" t="str">
            <v>Licenciatura en Psicología</v>
          </cell>
          <cell r="K365" t="str">
            <v/>
          </cell>
          <cell r="L365" t="str">
            <v/>
          </cell>
          <cell r="M365" t="str">
            <v>Professional</v>
          </cell>
          <cell r="N365" t="str">
            <v/>
          </cell>
          <cell r="O365" t="str">
            <v>CSS</v>
          </cell>
          <cell r="P365">
            <v>0</v>
          </cell>
          <cell r="Q365" t="str">
            <v xml:space="preserve"> </v>
          </cell>
          <cell r="R365"/>
          <cell r="S365"/>
          <cell r="T365" t="str">
            <v>Sin reducción</v>
          </cell>
          <cell r="U365">
            <v>0</v>
          </cell>
          <cell r="V365"/>
          <cell r="W365" t="str">
            <v>Jurídico</v>
          </cell>
          <cell r="X365">
            <v>0</v>
          </cell>
          <cell r="Y365">
            <v>0</v>
          </cell>
          <cell r="Z365">
            <v>0</v>
          </cell>
          <cell r="AA365"/>
          <cell r="AB365" t="str">
            <v>Active - signed</v>
          </cell>
          <cell r="AC365" t="str">
            <v>ACTIVO</v>
          </cell>
          <cell r="AD365"/>
          <cell r="AE365"/>
          <cell r="AF365"/>
          <cell r="AG365"/>
          <cell r="AH365"/>
          <cell r="AI365" t="str">
            <v>75109883W</v>
          </cell>
        </row>
        <row r="366">
          <cell r="A366" t="str">
            <v>77711115A</v>
          </cell>
          <cell r="B366" t="str">
            <v>Fernández Serrano</v>
          </cell>
          <cell r="C366" t="str">
            <v>Ana Belén</v>
          </cell>
          <cell r="D366" t="str">
            <v>Fernández Serrano, Ana Belén</v>
          </cell>
          <cell r="E366" t="str">
            <v>anabelen.fernandez.s</v>
          </cell>
          <cell r="F366" t="str">
            <v>anabelen.fernandez.s@professional.universidadviu.com</v>
          </cell>
          <cell r="G366" t="str">
            <v>Yes</v>
          </cell>
          <cell r="H366" t="str">
            <v>NO</v>
          </cell>
          <cell r="I366" t="str">
            <v>Psicología</v>
          </cell>
          <cell r="J366" t="str">
            <v>Máster en Universitario Psicología General Sanitario</v>
          </cell>
          <cell r="K366" t="str">
            <v>Doctorado en Ciencias de la Salud</v>
          </cell>
          <cell r="L366" t="str">
            <v/>
          </cell>
          <cell r="M366" t="str">
            <v>Professional</v>
          </cell>
          <cell r="N366" t="str">
            <v/>
          </cell>
          <cell r="O366" t="str">
            <v>CSS</v>
          </cell>
          <cell r="P366">
            <v>0</v>
          </cell>
          <cell r="Q366" t="str">
            <v xml:space="preserve"> </v>
          </cell>
          <cell r="R366"/>
          <cell r="S366"/>
          <cell r="T366" t="str">
            <v>Sin reducción</v>
          </cell>
          <cell r="U366">
            <v>0</v>
          </cell>
          <cell r="V366"/>
          <cell r="W366"/>
          <cell r="X366">
            <v>0</v>
          </cell>
          <cell r="Y366">
            <v>0</v>
          </cell>
          <cell r="Z366">
            <v>0</v>
          </cell>
          <cell r="AA366"/>
          <cell r="AB366" t="str">
            <v>Active - signed</v>
          </cell>
          <cell r="AC366" t="str">
            <v>ACTIVO</v>
          </cell>
          <cell r="AD366"/>
          <cell r="AE366"/>
          <cell r="AF366"/>
          <cell r="AG366"/>
          <cell r="AH366"/>
          <cell r="AI366" t="str">
            <v>77711115A</v>
          </cell>
        </row>
        <row r="367">
          <cell r="A367" t="str">
            <v>18050027H</v>
          </cell>
          <cell r="B367" t="str">
            <v>Fernández Tobar</v>
          </cell>
          <cell r="C367" t="str">
            <v>Blanca Isabel</v>
          </cell>
          <cell r="D367" t="str">
            <v>Fernández Tobar, Blanca Isabel</v>
          </cell>
          <cell r="E367" t="str">
            <v>blancaisabel.fernandez</v>
          </cell>
          <cell r="F367" t="str">
            <v>blancaisabel.fernandez@professional.universidadviu.com</v>
          </cell>
          <cell r="G367" t="str">
            <v>Yes</v>
          </cell>
          <cell r="H367" t="str">
            <v>NO</v>
          </cell>
          <cell r="I367" t="str">
            <v>Psicología</v>
          </cell>
          <cell r="J367" t="str">
            <v>Doctorado en Psicología Clínica</v>
          </cell>
          <cell r="K367" t="str">
            <v/>
          </cell>
          <cell r="L367" t="str">
            <v/>
          </cell>
          <cell r="M367" t="str">
            <v>Professional</v>
          </cell>
          <cell r="N367" t="str">
            <v/>
          </cell>
          <cell r="O367" t="str">
            <v>CSS</v>
          </cell>
          <cell r="P367">
            <v>0</v>
          </cell>
          <cell r="Q367" t="str">
            <v xml:space="preserve"> </v>
          </cell>
          <cell r="R367"/>
          <cell r="S367"/>
          <cell r="T367" t="str">
            <v>Sin reducción</v>
          </cell>
          <cell r="U367">
            <v>0</v>
          </cell>
          <cell r="V367"/>
          <cell r="W367"/>
          <cell r="X367">
            <v>0</v>
          </cell>
          <cell r="Y367">
            <v>0</v>
          </cell>
          <cell r="Z367">
            <v>0</v>
          </cell>
          <cell r="AA367"/>
          <cell r="AB367" t="str">
            <v>Active - signed</v>
          </cell>
          <cell r="AC367" t="str">
            <v>ACTIVO</v>
          </cell>
          <cell r="AD367"/>
          <cell r="AE367"/>
          <cell r="AF367"/>
          <cell r="AG367"/>
          <cell r="AH367"/>
          <cell r="AI367" t="str">
            <v>18050027H</v>
          </cell>
        </row>
        <row r="368">
          <cell r="A368" t="str">
            <v>48444776Z</v>
          </cell>
          <cell r="B368" t="str">
            <v>Ferrando Ramada</v>
          </cell>
          <cell r="C368" t="str">
            <v>Carlos</v>
          </cell>
          <cell r="D368" t="str">
            <v>Ferrando Ramada, Carlos</v>
          </cell>
          <cell r="E368" t="str">
            <v>carlos.ferrando</v>
          </cell>
          <cell r="F368"/>
          <cell r="G368" t="str">
            <v>NO</v>
          </cell>
          <cell r="H368" t="str">
            <v>NO</v>
          </cell>
          <cell r="I368" t="str">
            <v>Máster Universitario en Calidad y Gestión Alimentaria</v>
          </cell>
          <cell r="J368" t="str">
            <v>Diplomatura en Nutrición Humana y Dietética</v>
          </cell>
          <cell r="K368" t="str">
            <v/>
          </cell>
          <cell r="L368" t="str">
            <v/>
          </cell>
          <cell r="M368" t="str">
            <v>Professional</v>
          </cell>
          <cell r="N368"/>
          <cell r="O368" t="str">
            <v>CBS</v>
          </cell>
          <cell r="P368">
            <v>0</v>
          </cell>
          <cell r="Q368" t="str">
            <v xml:space="preserve"> </v>
          </cell>
          <cell r="R368"/>
          <cell r="S368"/>
          <cell r="T368" t="str">
            <v>Sin reducción</v>
          </cell>
          <cell r="U368">
            <v>0</v>
          </cell>
          <cell r="V368"/>
          <cell r="W368"/>
          <cell r="X368">
            <v>0</v>
          </cell>
          <cell r="Y368">
            <v>0</v>
          </cell>
          <cell r="Z368">
            <v>0</v>
          </cell>
          <cell r="AA368"/>
          <cell r="AB368" t="str">
            <v>Concluded</v>
          </cell>
          <cell r="AC368" t="str">
            <v>ACTIVO</v>
          </cell>
          <cell r="AD368"/>
          <cell r="AE368"/>
          <cell r="AF368"/>
          <cell r="AG368"/>
          <cell r="AH368"/>
          <cell r="AI368" t="str">
            <v>48444776Z</v>
          </cell>
        </row>
        <row r="369">
          <cell r="A369" t="str">
            <v>X9525674V</v>
          </cell>
          <cell r="B369" t="str">
            <v>Figueiredo de Magalhaes Peres</v>
          </cell>
          <cell r="C369" t="str">
            <v>Hugo Miguel</v>
          </cell>
          <cell r="D369" t="str">
            <v>Figueiredo de Magalhaes Peres, Hugo Miguel</v>
          </cell>
          <cell r="E369" t="str">
            <v>hugomiguel.figueiredodemagalhaes</v>
          </cell>
          <cell r="F369"/>
          <cell r="G369" t="str">
            <v>Yes</v>
          </cell>
          <cell r="H369" t="str">
            <v>Yes</v>
          </cell>
          <cell r="I369" t="str">
            <v>Programa de doctorado:  Psicología social y psicología de las organizaciones</v>
          </cell>
          <cell r="J369" t="str">
            <v>Programa de doctorado:  Psicología social y psicología de las organizaciones</v>
          </cell>
          <cell r="K369" t="str">
            <v>Licenciado en Psicología</v>
          </cell>
          <cell r="L369" t="str">
            <v/>
          </cell>
          <cell r="M369" t="str">
            <v>Labour</v>
          </cell>
          <cell r="N369" t="str">
            <v>Consultar a Facultad Ciencias Sociales y Jurídicas</v>
          </cell>
          <cell r="O369" t="str">
            <v>CSS</v>
          </cell>
          <cell r="P369">
            <v>100</v>
          </cell>
          <cell r="Q369" t="str">
            <v>50</v>
          </cell>
          <cell r="R369"/>
          <cell r="S369"/>
          <cell r="T369" t="str">
            <v>Sin reducción</v>
          </cell>
          <cell r="U369">
            <v>0</v>
          </cell>
          <cell r="V369">
            <v>38</v>
          </cell>
          <cell r="W369" t="str">
            <v>Empresa</v>
          </cell>
          <cell r="X369">
            <v>0</v>
          </cell>
          <cell r="Y369">
            <v>0</v>
          </cell>
          <cell r="Z369">
            <v>0</v>
          </cell>
          <cell r="AA369"/>
          <cell r="AB369" t="str">
            <v>Active - signed</v>
          </cell>
          <cell r="AC369" t="str">
            <v>ACTIVO</v>
          </cell>
          <cell r="AD369"/>
          <cell r="AE369"/>
          <cell r="AF369"/>
          <cell r="AG369"/>
          <cell r="AH369"/>
          <cell r="AI369" t="str">
            <v>X9525674V</v>
          </cell>
        </row>
        <row r="370">
          <cell r="A370" t="str">
            <v>X9244166Y</v>
          </cell>
          <cell r="B370" t="str">
            <v>Figueiredo Duarte Heiber</v>
          </cell>
          <cell r="C370" t="str">
            <v>Rafael</v>
          </cell>
          <cell r="D370" t="str">
            <v>Figueiredo Duarte Heiber, Rafael</v>
          </cell>
          <cell r="E370" t="str">
            <v>rfigueiredoduarteh@professional.universidadviu.com</v>
          </cell>
          <cell r="F370" t="str">
            <v>rfigueiredoduarteh@professional.universidadviu.com</v>
          </cell>
          <cell r="G370" t="str">
            <v>Yes</v>
          </cell>
          <cell r="H370" t="str">
            <v>NO</v>
          </cell>
          <cell r="I370" t="str">
            <v>Doctorado en Sociología y Antropología</v>
          </cell>
          <cell r="J370" t="str">
            <v>Licenciado en Geografía- Homolación en España</v>
          </cell>
          <cell r="K370" t="str">
            <v/>
          </cell>
          <cell r="L370" t="str">
            <v/>
          </cell>
          <cell r="M370" t="str">
            <v>Professional</v>
          </cell>
          <cell r="N370"/>
          <cell r="O370" t="str">
            <v>CSS</v>
          </cell>
          <cell r="P370"/>
          <cell r="Q370" t="str">
            <v xml:space="preserve"> </v>
          </cell>
          <cell r="R370"/>
          <cell r="S370"/>
          <cell r="T370" t="str">
            <v>Sin reducción</v>
          </cell>
          <cell r="U370">
            <v>0</v>
          </cell>
          <cell r="V370"/>
          <cell r="W370"/>
          <cell r="X370">
            <v>0</v>
          </cell>
          <cell r="Y370">
            <v>0</v>
          </cell>
          <cell r="Z370">
            <v>0</v>
          </cell>
          <cell r="AA370"/>
          <cell r="AB370" t="str">
            <v>Active - signed</v>
          </cell>
          <cell r="AC370" t="str">
            <v>ACTIVO</v>
          </cell>
          <cell r="AD370"/>
          <cell r="AE370"/>
          <cell r="AF370"/>
          <cell r="AG370"/>
          <cell r="AH370"/>
          <cell r="AI370" t="str">
            <v>X9244166Y</v>
          </cell>
        </row>
        <row r="371">
          <cell r="A371" t="str">
            <v>75259854J</v>
          </cell>
          <cell r="B371" t="str">
            <v>Figueredo Canosa</v>
          </cell>
          <cell r="C371" t="str">
            <v>Victoria</v>
          </cell>
          <cell r="D371" t="str">
            <v>Figueredo Canosa, Victoria</v>
          </cell>
          <cell r="E371" t="str">
            <v>victoria.figueredo</v>
          </cell>
          <cell r="F371"/>
          <cell r="G371" t="str">
            <v>Yes</v>
          </cell>
          <cell r="H371" t="str">
            <v>Yes</v>
          </cell>
          <cell r="I371" t="str">
            <v>Doctorado en Educación</v>
          </cell>
          <cell r="J371" t="str">
            <v>MÁSTER UNIVERSITARIO EN ESTUDIOS E INTERVENCIÓN SOCIAL EN IMIGRACIÓN, DESARROLLO Y GRUPOS VULNERABLES</v>
          </cell>
          <cell r="K371" t="str">
            <v>LICENCIATURA EN PEDAGOGÍA</v>
          </cell>
          <cell r="L371" t="str">
            <v/>
          </cell>
          <cell r="M371" t="str">
            <v>Professional</v>
          </cell>
          <cell r="N371" t="str">
            <v/>
          </cell>
          <cell r="O371" t="str">
            <v>CSS</v>
          </cell>
          <cell r="P371">
            <v>0</v>
          </cell>
          <cell r="Q371" t="str">
            <v xml:space="preserve"> </v>
          </cell>
          <cell r="R371"/>
          <cell r="S371"/>
          <cell r="T371" t="str">
            <v>Sin reducción</v>
          </cell>
          <cell r="U371">
            <v>0</v>
          </cell>
          <cell r="V371"/>
          <cell r="W371"/>
          <cell r="X371">
            <v>0</v>
          </cell>
          <cell r="Y371">
            <v>0</v>
          </cell>
          <cell r="Z371">
            <v>0</v>
          </cell>
          <cell r="AA371"/>
          <cell r="AB371" t="str">
            <v>Active - signed</v>
          </cell>
          <cell r="AC371" t="str">
            <v>ACTIVO</v>
          </cell>
          <cell r="AD371"/>
          <cell r="AE371"/>
          <cell r="AF371"/>
          <cell r="AG371"/>
          <cell r="AH371"/>
          <cell r="AI371" t="str">
            <v>75259854J</v>
          </cell>
        </row>
        <row r="372">
          <cell r="A372" t="str">
            <v>53378917B</v>
          </cell>
          <cell r="B372" t="str">
            <v>Flor Arasil</v>
          </cell>
          <cell r="C372" t="str">
            <v>Patricia</v>
          </cell>
          <cell r="D372" t="str">
            <v>Flor Arasil, Patricia</v>
          </cell>
          <cell r="E372" t="str">
            <v>patricia.flor</v>
          </cell>
          <cell r="F372" t="str">
            <v>patricia.flor@professor.universidadviu.com</v>
          </cell>
          <cell r="G372" t="str">
            <v>Yes</v>
          </cell>
          <cell r="H372" t="str">
            <v>Yes</v>
          </cell>
          <cell r="I372" t="str">
            <v>Doctorado en Psicologia</v>
          </cell>
          <cell r="J372" t="str">
            <v>Doctorado en Psicologia</v>
          </cell>
          <cell r="K372" t="str">
            <v>Grado en Psicología</v>
          </cell>
          <cell r="L372" t="str">
            <v/>
          </cell>
          <cell r="M372" t="str">
            <v>Labour</v>
          </cell>
          <cell r="N372" t="str">
            <v>Vázquez Orellana, Nuria</v>
          </cell>
          <cell r="O372" t="str">
            <v>CSS</v>
          </cell>
          <cell r="P372">
            <v>100</v>
          </cell>
          <cell r="Q372" t="str">
            <v>50</v>
          </cell>
          <cell r="R372"/>
          <cell r="S372"/>
          <cell r="T372" t="str">
            <v>Sin reducción</v>
          </cell>
          <cell r="U372">
            <v>0</v>
          </cell>
          <cell r="V372"/>
          <cell r="W372"/>
          <cell r="X372">
            <v>46.8</v>
          </cell>
          <cell r="Y372">
            <v>0</v>
          </cell>
          <cell r="Z372">
            <v>0</v>
          </cell>
          <cell r="AA372"/>
          <cell r="AB372" t="str">
            <v>Active - signed</v>
          </cell>
          <cell r="AC372" t="str">
            <v>ACTIVO</v>
          </cell>
          <cell r="AD372"/>
          <cell r="AE372"/>
          <cell r="AF372"/>
          <cell r="AG372"/>
          <cell r="AH372"/>
          <cell r="AI372" t="str">
            <v>53378917B</v>
          </cell>
        </row>
        <row r="373">
          <cell r="A373" t="str">
            <v>MXFOPL820907471</v>
          </cell>
          <cell r="B373" t="str">
            <v>Flores Plata</v>
          </cell>
          <cell r="C373" t="str">
            <v>Lorena Alejandra</v>
          </cell>
          <cell r="D373" t="str">
            <v>Flores Plata, Lorena Alejandra</v>
          </cell>
          <cell r="E373" t="str">
            <v>lorenaalejandra.flores</v>
          </cell>
          <cell r="F373" t="str">
            <v>lorenaalejandra.flores@professional.universidadviu.com</v>
          </cell>
          <cell r="G373" t="str">
            <v>NO</v>
          </cell>
          <cell r="H373" t="str">
            <v>NO</v>
          </cell>
          <cell r="I373" t="str">
            <v>Psicología</v>
          </cell>
          <cell r="J373" t="str">
            <v/>
          </cell>
          <cell r="K373" t="str">
            <v/>
          </cell>
          <cell r="L373" t="str">
            <v/>
          </cell>
          <cell r="M373" t="str">
            <v>Professional</v>
          </cell>
          <cell r="N373" t="str">
            <v/>
          </cell>
          <cell r="O373" t="str">
            <v>CSS</v>
          </cell>
          <cell r="P373">
            <v>0</v>
          </cell>
          <cell r="Q373" t="str">
            <v xml:space="preserve"> </v>
          </cell>
          <cell r="R373"/>
          <cell r="S373"/>
          <cell r="T373" t="str">
            <v>Sin reducción</v>
          </cell>
          <cell r="U373">
            <v>0</v>
          </cell>
          <cell r="V373"/>
          <cell r="W373"/>
          <cell r="X373">
            <v>0</v>
          </cell>
          <cell r="Y373">
            <v>0</v>
          </cell>
          <cell r="Z373">
            <v>0</v>
          </cell>
          <cell r="AA373"/>
          <cell r="AB373" t="str">
            <v>Active - signed</v>
          </cell>
          <cell r="AC373" t="str">
            <v>ACTIVO</v>
          </cell>
          <cell r="AD373"/>
          <cell r="AE373"/>
          <cell r="AF373"/>
          <cell r="AG373"/>
          <cell r="AH373"/>
          <cell r="AI373" t="str">
            <v>MXFOPL820907471</v>
          </cell>
        </row>
        <row r="374">
          <cell r="A374" t="str">
            <v>44889294X</v>
          </cell>
          <cell r="B374" t="str">
            <v>Fonseca Baeza</v>
          </cell>
          <cell r="C374" t="str">
            <v>Sara</v>
          </cell>
          <cell r="D374" t="str">
            <v>Fonseca Baeza, Sara</v>
          </cell>
          <cell r="E374" t="str">
            <v>sfonsecab@professional.universidadviu.com</v>
          </cell>
          <cell r="F374" t="str">
            <v>sfonsecab@professional.universidadviu.com</v>
          </cell>
          <cell r="G374" t="str">
            <v>Yes</v>
          </cell>
          <cell r="H374" t="str">
            <v>NO</v>
          </cell>
          <cell r="I374" t="str">
            <v>Doctorado: Investigación en Psicología 3133RD 99/2011// Línea de Investigación: Psicología Clínica y Salud</v>
          </cell>
          <cell r="J374" t="str">
            <v>Máster Universitario en Psicología General Sanitaria</v>
          </cell>
          <cell r="K374" t="str">
            <v/>
          </cell>
          <cell r="L374" t="str">
            <v/>
          </cell>
          <cell r="M374" t="str">
            <v>Professional</v>
          </cell>
          <cell r="N374" t="str">
            <v/>
          </cell>
          <cell r="O374" t="str">
            <v>CSS</v>
          </cell>
          <cell r="P374">
            <v>0</v>
          </cell>
          <cell r="Q374" t="str">
            <v xml:space="preserve"> </v>
          </cell>
          <cell r="R374"/>
          <cell r="S374"/>
          <cell r="T374" t="str">
            <v>Sin reducción</v>
          </cell>
          <cell r="U374">
            <v>0</v>
          </cell>
          <cell r="V374"/>
          <cell r="W374"/>
          <cell r="X374">
            <v>0</v>
          </cell>
          <cell r="Y374">
            <v>0</v>
          </cell>
          <cell r="Z374">
            <v>0</v>
          </cell>
          <cell r="AA374"/>
          <cell r="AB374" t="str">
            <v>Active - signed</v>
          </cell>
          <cell r="AC374" t="str">
            <v>ACTIVO</v>
          </cell>
          <cell r="AD374"/>
          <cell r="AE374"/>
          <cell r="AF374"/>
          <cell r="AG374"/>
          <cell r="AH374"/>
          <cell r="AI374" t="str">
            <v>44889294X</v>
          </cell>
        </row>
        <row r="375">
          <cell r="A375" t="str">
            <v>43430877T</v>
          </cell>
          <cell r="B375" t="str">
            <v>Forn Villanova</v>
          </cell>
          <cell r="C375" t="str">
            <v>Maria Lourdes</v>
          </cell>
          <cell r="D375" t="str">
            <v>Forn Villanova, Maria Lourdes</v>
          </cell>
          <cell r="E375" t="str">
            <v>mfornv@professional.universidadviu.com</v>
          </cell>
          <cell r="F375" t="str">
            <v>mfornv@professional.universidadviu.com</v>
          </cell>
          <cell r="G375" t="str">
            <v>Yes</v>
          </cell>
          <cell r="H375" t="str">
            <v>NO</v>
          </cell>
          <cell r="I375" t="str">
            <v>Magister Psicologia i Envelliment</v>
          </cell>
          <cell r="J375" t="str">
            <v>Llicenciatura en Psicologia</v>
          </cell>
          <cell r="K375" t="str">
            <v/>
          </cell>
          <cell r="L375" t="str">
            <v/>
          </cell>
          <cell r="M375" t="str">
            <v>Professional</v>
          </cell>
          <cell r="N375"/>
          <cell r="O375" t="str">
            <v>CSS</v>
          </cell>
          <cell r="P375"/>
          <cell r="Q375" t="str">
            <v xml:space="preserve"> </v>
          </cell>
          <cell r="R375"/>
          <cell r="S375"/>
          <cell r="T375" t="str">
            <v>Sin reducción</v>
          </cell>
          <cell r="U375">
            <v>0</v>
          </cell>
          <cell r="V375"/>
          <cell r="W375"/>
          <cell r="X375">
            <v>0</v>
          </cell>
          <cell r="Y375">
            <v>0</v>
          </cell>
          <cell r="Z375">
            <v>0</v>
          </cell>
          <cell r="AA375"/>
          <cell r="AB375" t="str">
            <v>Active - signed</v>
          </cell>
          <cell r="AC375" t="str">
            <v>ACTIVO</v>
          </cell>
          <cell r="AD375"/>
          <cell r="AE375"/>
          <cell r="AF375"/>
          <cell r="AG375"/>
          <cell r="AH375"/>
          <cell r="AI375" t="str">
            <v>43430877T</v>
          </cell>
        </row>
        <row r="376">
          <cell r="A376" t="str">
            <v>20087166R</v>
          </cell>
          <cell r="B376" t="str">
            <v>Fornes Romero</v>
          </cell>
          <cell r="C376" t="str">
            <v>Gertrudis</v>
          </cell>
          <cell r="D376" t="str">
            <v>Fornes Romero, Gertrudis</v>
          </cell>
          <cell r="E376" t="str">
            <v>gertrudis.fornes</v>
          </cell>
          <cell r="F376" t="str">
            <v>gertrudis.fornes@professional.universidadviu.com</v>
          </cell>
          <cell r="G376" t="str">
            <v>Yes</v>
          </cell>
          <cell r="H376" t="str">
            <v>NO</v>
          </cell>
          <cell r="I376" t="str">
            <v>Psicología</v>
          </cell>
          <cell r="J376" t="str">
            <v>Programa Oficial de Doctorado en Investigación en Psicología</v>
          </cell>
          <cell r="K376" t="str">
            <v/>
          </cell>
          <cell r="L376" t="str">
            <v/>
          </cell>
          <cell r="M376" t="str">
            <v>Professional</v>
          </cell>
          <cell r="N376" t="str">
            <v/>
          </cell>
          <cell r="O376" t="str">
            <v>CSS</v>
          </cell>
          <cell r="P376">
            <v>0</v>
          </cell>
          <cell r="Q376" t="str">
            <v xml:space="preserve"> </v>
          </cell>
          <cell r="R376"/>
          <cell r="S376"/>
          <cell r="T376" t="str">
            <v>Sin reducción</v>
          </cell>
          <cell r="U376">
            <v>0</v>
          </cell>
          <cell r="V376"/>
          <cell r="W376"/>
          <cell r="X376">
            <v>0</v>
          </cell>
          <cell r="Y376">
            <v>0</v>
          </cell>
          <cell r="Z376">
            <v>0</v>
          </cell>
          <cell r="AA376"/>
          <cell r="AB376" t="str">
            <v>Active - signed</v>
          </cell>
          <cell r="AC376" t="str">
            <v>ACTIVO</v>
          </cell>
          <cell r="AD376"/>
          <cell r="AE376"/>
          <cell r="AF376"/>
          <cell r="AG376"/>
          <cell r="AH376"/>
          <cell r="AI376" t="str">
            <v>20087166R</v>
          </cell>
        </row>
        <row r="377">
          <cell r="A377" t="str">
            <v>79140419H</v>
          </cell>
          <cell r="B377" t="str">
            <v>Fortea García</v>
          </cell>
          <cell r="C377" t="str">
            <v>Encarna</v>
          </cell>
          <cell r="D377" t="str">
            <v>Fortea García, Encarna</v>
          </cell>
          <cell r="E377" t="str">
            <v>encarna.fortea</v>
          </cell>
          <cell r="F377" t="str">
            <v>encarna.fortea@professional.universidadviu.com</v>
          </cell>
          <cell r="G377" t="str">
            <v>NO</v>
          </cell>
          <cell r="H377" t="str">
            <v>NO</v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>Professional</v>
          </cell>
          <cell r="N377" t="str">
            <v/>
          </cell>
          <cell r="O377" t="str">
            <v>CBS</v>
          </cell>
          <cell r="P377">
            <v>0</v>
          </cell>
          <cell r="Q377" t="str">
            <v xml:space="preserve"> </v>
          </cell>
          <cell r="R377"/>
          <cell r="S377"/>
          <cell r="T377" t="str">
            <v>Sin reducción</v>
          </cell>
          <cell r="U377">
            <v>0</v>
          </cell>
          <cell r="V377"/>
          <cell r="W377"/>
          <cell r="X377">
            <v>0</v>
          </cell>
          <cell r="Y377">
            <v>0</v>
          </cell>
          <cell r="Z377">
            <v>0</v>
          </cell>
          <cell r="AA377"/>
          <cell r="AB377" t="str">
            <v>Active - signed</v>
          </cell>
          <cell r="AC377" t="str">
            <v>ACTIVO</v>
          </cell>
          <cell r="AD377"/>
          <cell r="AE377"/>
          <cell r="AF377"/>
          <cell r="AG377"/>
          <cell r="AH377"/>
          <cell r="AI377" t="str">
            <v>79140419H</v>
          </cell>
        </row>
        <row r="378">
          <cell r="A378" t="str">
            <v>01926502E</v>
          </cell>
          <cell r="B378" t="str">
            <v>Fouce Ferández</v>
          </cell>
          <cell r="C378" t="str">
            <v>José Guillermo</v>
          </cell>
          <cell r="D378" t="str">
            <v>Fouce Ferández, José Guillermo</v>
          </cell>
          <cell r="E378" t="str">
            <v>jfoucefernandezf@professional.universidadviu.com</v>
          </cell>
          <cell r="F378" t="str">
            <v>jfoucefernandezf@professional.universidadviu.com</v>
          </cell>
          <cell r="G378" t="str">
            <v>Yes</v>
          </cell>
          <cell r="H378" t="str">
            <v>Yes</v>
          </cell>
          <cell r="I378" t="str">
            <v>Licenciado en Psicología</v>
          </cell>
          <cell r="J378" t="str">
            <v>Doctorado en Psicología Social</v>
          </cell>
          <cell r="K378" t="str">
            <v/>
          </cell>
          <cell r="L378" t="str">
            <v/>
          </cell>
          <cell r="M378" t="str">
            <v>Professional</v>
          </cell>
          <cell r="N378" t="str">
            <v/>
          </cell>
          <cell r="O378" t="str">
            <v>CSS</v>
          </cell>
          <cell r="P378">
            <v>0</v>
          </cell>
          <cell r="Q378" t="str">
            <v xml:space="preserve"> </v>
          </cell>
          <cell r="R378"/>
          <cell r="S378"/>
          <cell r="T378" t="str">
            <v>Sin reducción</v>
          </cell>
          <cell r="U378">
            <v>0</v>
          </cell>
          <cell r="V378"/>
          <cell r="W378"/>
          <cell r="X378">
            <v>0</v>
          </cell>
          <cell r="Y378">
            <v>0</v>
          </cell>
          <cell r="Z378">
            <v>0</v>
          </cell>
          <cell r="AA378"/>
          <cell r="AB378" t="str">
            <v>Active - signed</v>
          </cell>
          <cell r="AC378" t="str">
            <v>ACTIVO</v>
          </cell>
          <cell r="AD378"/>
          <cell r="AE378"/>
          <cell r="AF378"/>
          <cell r="AG378"/>
          <cell r="AH378"/>
          <cell r="AI378" t="str">
            <v>01926502E</v>
          </cell>
        </row>
        <row r="379">
          <cell r="A379" t="str">
            <v>47361323E</v>
          </cell>
          <cell r="B379" t="str">
            <v>Fraga Seijas</v>
          </cell>
          <cell r="C379" t="str">
            <v>Carlota</v>
          </cell>
          <cell r="D379" t="str">
            <v>Fraga Seijas, Carlota</v>
          </cell>
          <cell r="E379" t="str">
            <v>cfragas@professional.universidadviu.com</v>
          </cell>
          <cell r="F379" t="str">
            <v>cfragas@professional.universidadviu.com</v>
          </cell>
          <cell r="G379" t="str">
            <v>NO</v>
          </cell>
          <cell r="H379" t="str">
            <v>NO</v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>Professional</v>
          </cell>
          <cell r="N379"/>
          <cell r="O379" t="str">
            <v>CBS</v>
          </cell>
          <cell r="P379">
            <v>0</v>
          </cell>
          <cell r="Q379" t="str">
            <v xml:space="preserve"> </v>
          </cell>
          <cell r="R379"/>
          <cell r="S379"/>
          <cell r="T379" t="str">
            <v>Sin reducción</v>
          </cell>
          <cell r="U379">
            <v>0</v>
          </cell>
          <cell r="V379"/>
          <cell r="W379"/>
          <cell r="X379">
            <v>0</v>
          </cell>
          <cell r="Y379">
            <v>0</v>
          </cell>
          <cell r="Z379">
            <v>0</v>
          </cell>
          <cell r="AA379"/>
          <cell r="AB379" t="str">
            <v>Active - signed</v>
          </cell>
          <cell r="AC379" t="str">
            <v>ACTIVO</v>
          </cell>
          <cell r="AD379"/>
          <cell r="AE379"/>
          <cell r="AF379"/>
          <cell r="AG379"/>
          <cell r="AH379"/>
          <cell r="AI379" t="str">
            <v>47361323E</v>
          </cell>
        </row>
        <row r="380">
          <cell r="A380" t="str">
            <v>41572845T</v>
          </cell>
          <cell r="B380" t="str">
            <v>Franch Socias</v>
          </cell>
          <cell r="C380" t="str">
            <v>Caterina Maria</v>
          </cell>
          <cell r="D380" t="str">
            <v>Franch Socias, Caterina Maria</v>
          </cell>
          <cell r="E380" t="str">
            <v>caterina.franch@professional.universidadviu.com</v>
          </cell>
          <cell r="F380" t="str">
            <v>caterina.franch@professional.universidadviu.com</v>
          </cell>
          <cell r="G380" t="str">
            <v>NO</v>
          </cell>
          <cell r="H380" t="str">
            <v>NO</v>
          </cell>
          <cell r="I380" t="str">
            <v>Programa Intervención Educativa: Métodos, Evaluación, Diagnóstico y Orientación</v>
          </cell>
          <cell r="J380" t="str">
            <v>Programa Intervención Educativa: Métodos, Evaluación, Diagnóstico y Orientación</v>
          </cell>
          <cell r="K380" t="str">
            <v>Licenciada en Traducción e Interpretación</v>
          </cell>
          <cell r="L380" t="str">
            <v/>
          </cell>
          <cell r="M380" t="str">
            <v>Professional</v>
          </cell>
          <cell r="N380" t="str">
            <v/>
          </cell>
          <cell r="O380" t="str">
            <v>CBS</v>
          </cell>
          <cell r="P380">
            <v>0</v>
          </cell>
          <cell r="Q380" t="str">
            <v xml:space="preserve"> </v>
          </cell>
          <cell r="R380"/>
          <cell r="S380"/>
          <cell r="T380" t="str">
            <v>Sin reducción</v>
          </cell>
          <cell r="U380">
            <v>0</v>
          </cell>
          <cell r="V380"/>
          <cell r="W380"/>
          <cell r="X380">
            <v>0</v>
          </cell>
          <cell r="Y380">
            <v>0</v>
          </cell>
          <cell r="Z380">
            <v>0</v>
          </cell>
          <cell r="AA380"/>
          <cell r="AB380" t="str">
            <v>Active - signed</v>
          </cell>
          <cell r="AC380" t="str">
            <v>ACTIVO</v>
          </cell>
          <cell r="AD380"/>
          <cell r="AE380"/>
          <cell r="AF380"/>
          <cell r="AG380"/>
          <cell r="AH380"/>
          <cell r="AI380" t="str">
            <v>41572845T</v>
          </cell>
        </row>
        <row r="381">
          <cell r="A381" t="str">
            <v>44651843B</v>
          </cell>
          <cell r="B381" t="str">
            <v>Fuentes Abolafio</v>
          </cell>
          <cell r="C381" t="str">
            <v>Iván José</v>
          </cell>
          <cell r="D381" t="str">
            <v>Fuentes Abolafio, Iván José</v>
          </cell>
          <cell r="E381" t="str">
            <v>ivanjose.fuentes</v>
          </cell>
          <cell r="F381" t="str">
            <v>ivanjose.fuentes@professor.universidadviu.com</v>
          </cell>
          <cell r="G381" t="str">
            <v>Yes</v>
          </cell>
          <cell r="H381" t="str">
            <v>Yes</v>
          </cell>
          <cell r="I381" t="str">
            <v>Ciencias de la Salud</v>
          </cell>
          <cell r="J381" t="str">
            <v>Ciencias de la Salud</v>
          </cell>
          <cell r="K381" t="str">
            <v>Master universitario en nuevas tendencias en investigacion en ciencias de la salud</v>
          </cell>
          <cell r="L381" t="str">
            <v>Graduado en fisioterapia</v>
          </cell>
          <cell r="M381" t="str">
            <v>Labour</v>
          </cell>
          <cell r="N381"/>
          <cell r="O381" t="str">
            <v>CBS</v>
          </cell>
          <cell r="P381" t="str">
            <v>40,00</v>
          </cell>
          <cell r="Q381" t="b">
            <v>0</v>
          </cell>
          <cell r="R381"/>
          <cell r="S381"/>
          <cell r="T381" t="str">
            <v>Sin reducción</v>
          </cell>
          <cell r="U381">
            <v>0</v>
          </cell>
          <cell r="V381"/>
          <cell r="W381"/>
          <cell r="X381">
            <v>0</v>
          </cell>
          <cell r="Y381">
            <v>0</v>
          </cell>
          <cell r="Z381">
            <v>0</v>
          </cell>
          <cell r="AA381"/>
          <cell r="AB381" t="str">
            <v>Concluded</v>
          </cell>
          <cell r="AC381" t="str">
            <v>NO ACTIVO</v>
          </cell>
          <cell r="AD381"/>
          <cell r="AE381"/>
          <cell r="AF381">
            <v>45738</v>
          </cell>
          <cell r="AG381" t="str">
            <v>CESE DE CONTRATO</v>
          </cell>
          <cell r="AH381"/>
          <cell r="AI381" t="str">
            <v>44651843B</v>
          </cell>
        </row>
        <row r="382">
          <cell r="A382" t="str">
            <v>47757871G</v>
          </cell>
          <cell r="B382" t="str">
            <v>Fuentes De Frutos</v>
          </cell>
          <cell r="C382" t="str">
            <v>Silvia</v>
          </cell>
          <cell r="D382" t="str">
            <v>Fuentes De Frutos, Silvia</v>
          </cell>
          <cell r="E382" t="str">
            <v>silvia.fuentes</v>
          </cell>
          <cell r="F382" t="str">
            <v>silvia.fuentes@professional.universidadviu.com</v>
          </cell>
          <cell r="G382" t="str">
            <v>Yes</v>
          </cell>
          <cell r="H382" t="str">
            <v>Yes</v>
          </cell>
          <cell r="I382" t="str">
            <v>Psicología</v>
          </cell>
          <cell r="J382" t="str">
            <v>Programa Metabolismo y Nutrici n""</v>
          </cell>
          <cell r="K382" t="str">
            <v>Programa "Metabolismo y Nutrici n"</v>
          </cell>
          <cell r="L382" t="str">
            <v/>
          </cell>
          <cell r="M382" t="str">
            <v>Professional</v>
          </cell>
          <cell r="N382" t="str">
            <v/>
          </cell>
          <cell r="O382" t="str">
            <v>CSS</v>
          </cell>
          <cell r="P382">
            <v>0</v>
          </cell>
          <cell r="Q382" t="str">
            <v xml:space="preserve"> </v>
          </cell>
          <cell r="R382"/>
          <cell r="S382"/>
          <cell r="T382" t="str">
            <v>Sin reducción</v>
          </cell>
          <cell r="U382">
            <v>0</v>
          </cell>
          <cell r="V382"/>
          <cell r="W382"/>
          <cell r="X382">
            <v>0</v>
          </cell>
          <cell r="Y382">
            <v>0</v>
          </cell>
          <cell r="Z382">
            <v>0</v>
          </cell>
          <cell r="AA382"/>
          <cell r="AB382" t="str">
            <v>Active - signed</v>
          </cell>
          <cell r="AC382" t="str">
            <v>ACTIVO</v>
          </cell>
          <cell r="AD382"/>
          <cell r="AE382"/>
          <cell r="AF382"/>
          <cell r="AG382"/>
          <cell r="AH382"/>
          <cell r="AI382" t="str">
            <v>47757871G</v>
          </cell>
        </row>
        <row r="383">
          <cell r="A383" t="str">
            <v>Z2401146C</v>
          </cell>
          <cell r="B383" t="str">
            <v>Fuentes Ferrada</v>
          </cell>
          <cell r="C383" t="str">
            <v>Reiner Emmanuel</v>
          </cell>
          <cell r="D383" t="str">
            <v>Fuentes Ferrada, Reiner Emmanuel</v>
          </cell>
          <cell r="E383" t="str">
            <v>rfuentesf@professional.universidadviu.com</v>
          </cell>
          <cell r="F383" t="str">
            <v>rfuentesf@professional.universidadviu.com</v>
          </cell>
          <cell r="G383" t="str">
            <v>NO</v>
          </cell>
          <cell r="H383" t="str">
            <v>NO</v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>Professional</v>
          </cell>
          <cell r="N383"/>
          <cell r="O383" t="str">
            <v>CSS</v>
          </cell>
          <cell r="P383">
            <v>0</v>
          </cell>
          <cell r="Q383" t="str">
            <v xml:space="preserve"> </v>
          </cell>
          <cell r="R383"/>
          <cell r="S383"/>
          <cell r="T383" t="str">
            <v>Sin reducción</v>
          </cell>
          <cell r="U383">
            <v>0</v>
          </cell>
          <cell r="V383"/>
          <cell r="W383"/>
          <cell r="X383">
            <v>0</v>
          </cell>
          <cell r="Y383">
            <v>0</v>
          </cell>
          <cell r="Z383">
            <v>0</v>
          </cell>
          <cell r="AA383"/>
          <cell r="AB383" t="str">
            <v>Active - signed</v>
          </cell>
          <cell r="AC383" t="str">
            <v>ACTIVO</v>
          </cell>
          <cell r="AD383"/>
          <cell r="AE383"/>
          <cell r="AF383"/>
          <cell r="AG383"/>
          <cell r="AH383"/>
          <cell r="AI383" t="str">
            <v>Z2401146C</v>
          </cell>
        </row>
        <row r="384">
          <cell r="A384" t="str">
            <v>23271802B</v>
          </cell>
          <cell r="B384" t="str">
            <v>Fuentes Guaza</v>
          </cell>
          <cell r="C384" t="str">
            <v>Luisa</v>
          </cell>
          <cell r="D384" t="str">
            <v>Fuentes Guaza, Luisa</v>
          </cell>
          <cell r="E384" t="str">
            <v>luisa.fuentes@professor.universidadviu.com</v>
          </cell>
          <cell r="F384" t="str">
            <v>luisa.fuentes@professor.universidadviu.com</v>
          </cell>
          <cell r="G384" t="str">
            <v>NO</v>
          </cell>
          <cell r="H384" t="str">
            <v>NO</v>
          </cell>
          <cell r="I384" t="str">
            <v>Máster Universitario en Propiedad Intelectual</v>
          </cell>
          <cell r="J384" t="str">
            <v>Licenciatura en Derecho</v>
          </cell>
          <cell r="K384" t="str">
            <v/>
          </cell>
          <cell r="L384" t="str">
            <v/>
          </cell>
          <cell r="M384" t="str">
            <v>Labour</v>
          </cell>
          <cell r="N384"/>
          <cell r="O384" t="str">
            <v>CSS</v>
          </cell>
          <cell r="P384" t="str">
            <v>6,00</v>
          </cell>
          <cell r="Q384" t="b">
            <v>0</v>
          </cell>
          <cell r="R384"/>
          <cell r="S384"/>
          <cell r="T384" t="str">
            <v>Sin reducción</v>
          </cell>
          <cell r="U384">
            <v>0</v>
          </cell>
          <cell r="V384"/>
          <cell r="W384"/>
          <cell r="X384">
            <v>0</v>
          </cell>
          <cell r="Y384">
            <v>0</v>
          </cell>
          <cell r="Z384">
            <v>0</v>
          </cell>
          <cell r="AA384"/>
          <cell r="AB384" t="str">
            <v>Decoupling</v>
          </cell>
          <cell r="AC384" t="str">
            <v>NO ACTIVO</v>
          </cell>
          <cell r="AD384"/>
          <cell r="AE384"/>
          <cell r="AF384">
            <v>45464</v>
          </cell>
          <cell r="AG384" t="str">
            <v>CESE DE CONTRATO</v>
          </cell>
          <cell r="AH384"/>
          <cell r="AI384" t="str">
            <v>23271802B</v>
          </cell>
        </row>
        <row r="385">
          <cell r="A385" t="str">
            <v>06286446V</v>
          </cell>
          <cell r="B385" t="str">
            <v>Fuentes Sánchez</v>
          </cell>
          <cell r="C385" t="str">
            <v>Nieves</v>
          </cell>
          <cell r="D385" t="str">
            <v>Fuentes Sánchez, Nieves</v>
          </cell>
          <cell r="E385" t="str">
            <v>nieves.fuentes</v>
          </cell>
          <cell r="F385" t="str">
            <v>nieves.fuentes@professor.universidadviu.com</v>
          </cell>
          <cell r="G385" t="str">
            <v>Yes</v>
          </cell>
          <cell r="H385" t="str">
            <v>Yes</v>
          </cell>
          <cell r="I385" t="str">
            <v>Doctorado en Psicología</v>
          </cell>
          <cell r="J385" t="str">
            <v>Doctorado en Psicología</v>
          </cell>
          <cell r="K385" t="str">
            <v>Máster universitario de Investigación en Cerebro y Conducta</v>
          </cell>
          <cell r="L385" t="str">
            <v>Grado en Psicología</v>
          </cell>
          <cell r="M385" t="str">
            <v>Labour</v>
          </cell>
          <cell r="N385"/>
          <cell r="O385" t="str">
            <v>CSS</v>
          </cell>
          <cell r="P385">
            <v>100</v>
          </cell>
          <cell r="Q385" t="str">
            <v>50</v>
          </cell>
          <cell r="R385"/>
          <cell r="S385"/>
          <cell r="T385" t="str">
            <v>Sin reducción</v>
          </cell>
          <cell r="U385">
            <v>0</v>
          </cell>
          <cell r="V385"/>
          <cell r="W385"/>
          <cell r="X385">
            <v>0</v>
          </cell>
          <cell r="Y385">
            <v>0</v>
          </cell>
          <cell r="Z385">
            <v>0</v>
          </cell>
          <cell r="AA385"/>
          <cell r="AB385" t="str">
            <v>Concluded</v>
          </cell>
          <cell r="AC385" t="str">
            <v>NO ACTIVO</v>
          </cell>
          <cell r="AD385"/>
          <cell r="AE385"/>
          <cell r="AF385">
            <v>45169</v>
          </cell>
          <cell r="AG385" t="str">
            <v>CESE DE CONTRATO</v>
          </cell>
          <cell r="AH385"/>
          <cell r="AI385" t="str">
            <v>06286446V</v>
          </cell>
        </row>
        <row r="386">
          <cell r="A386" t="str">
            <v>46073069K</v>
          </cell>
          <cell r="B386" t="str">
            <v>Fuentes Trillo</v>
          </cell>
          <cell r="C386" t="str">
            <v>Azahara</v>
          </cell>
          <cell r="D386" t="str">
            <v>Fuentes Trillo, Azahara</v>
          </cell>
          <cell r="E386" t="str">
            <v>azahara.fuentes</v>
          </cell>
          <cell r="F386" t="str">
            <v>azahara.fuentes@professional.universidadviu.com</v>
          </cell>
          <cell r="G386" t="str">
            <v>NO</v>
          </cell>
          <cell r="H386" t="str">
            <v>NO</v>
          </cell>
          <cell r="I386" t="str">
            <v>Bioquímica</v>
          </cell>
          <cell r="J386" t="str">
            <v>Master universitario en bioinformatica</v>
          </cell>
          <cell r="K386" t="str">
            <v>Graduada en bioquimica</v>
          </cell>
          <cell r="L386" t="str">
            <v/>
          </cell>
          <cell r="M386" t="str">
            <v>Professional</v>
          </cell>
          <cell r="N386" t="str">
            <v/>
          </cell>
          <cell r="O386" t="str">
            <v>CBS</v>
          </cell>
          <cell r="P386">
            <v>0</v>
          </cell>
          <cell r="Q386" t="str">
            <v xml:space="preserve"> </v>
          </cell>
          <cell r="R386"/>
          <cell r="S386"/>
          <cell r="T386" t="str">
            <v>Sin reducción</v>
          </cell>
          <cell r="U386">
            <v>0</v>
          </cell>
          <cell r="V386"/>
          <cell r="W386"/>
          <cell r="X386">
            <v>0</v>
          </cell>
          <cell r="Y386">
            <v>0</v>
          </cell>
          <cell r="Z386">
            <v>0</v>
          </cell>
          <cell r="AA386"/>
          <cell r="AB386" t="str">
            <v>Concluded</v>
          </cell>
          <cell r="AC386" t="str">
            <v>NO ACTIVO</v>
          </cell>
          <cell r="AD386"/>
          <cell r="AE386"/>
          <cell r="AF386">
            <v>45230</v>
          </cell>
          <cell r="AG386" t="str">
            <v>CESE DE CONTRATO</v>
          </cell>
          <cell r="AH386"/>
          <cell r="AI386" t="str">
            <v>46073069K</v>
          </cell>
        </row>
        <row r="387">
          <cell r="A387" t="str">
            <v>32059147E</v>
          </cell>
          <cell r="B387" t="str">
            <v>Gago Capote</v>
          </cell>
          <cell r="C387" t="str">
            <v>José Antonio</v>
          </cell>
          <cell r="D387" t="str">
            <v>Gago Capote, José Antonio</v>
          </cell>
          <cell r="E387" t="str">
            <v>jose.gago</v>
          </cell>
          <cell r="F387" t="str">
            <v>jose.gago@professional.universidadviu.com</v>
          </cell>
          <cell r="G387" t="str">
            <v>NO</v>
          </cell>
          <cell r="H387" t="str">
            <v>NO</v>
          </cell>
          <cell r="I387" t="str">
            <v>Enfermería</v>
          </cell>
          <cell r="J387" t="str">
            <v>Master universitario en salud internacional</v>
          </cell>
          <cell r="K387" t="str">
            <v>Máster en Cuidados Especializados de Enfermeria de Urgencias, areas de pacientes críticos y postanestesia</v>
          </cell>
          <cell r="L387" t="str">
            <v/>
          </cell>
          <cell r="M387" t="str">
            <v>Professional</v>
          </cell>
          <cell r="N387" t="str">
            <v/>
          </cell>
          <cell r="O387" t="str">
            <v>CBS</v>
          </cell>
          <cell r="P387">
            <v>0</v>
          </cell>
          <cell r="Q387" t="str">
            <v xml:space="preserve"> </v>
          </cell>
          <cell r="R387"/>
          <cell r="S387"/>
          <cell r="T387" t="str">
            <v>Sin reducción</v>
          </cell>
          <cell r="U387">
            <v>0</v>
          </cell>
          <cell r="V387"/>
          <cell r="W387"/>
          <cell r="X387">
            <v>0</v>
          </cell>
          <cell r="Y387">
            <v>0</v>
          </cell>
          <cell r="Z387">
            <v>0</v>
          </cell>
          <cell r="AA387"/>
          <cell r="AB387" t="str">
            <v>Active - signed</v>
          </cell>
          <cell r="AC387" t="str">
            <v>ACTIVO</v>
          </cell>
          <cell r="AD387"/>
          <cell r="AE387"/>
          <cell r="AF387"/>
          <cell r="AG387"/>
          <cell r="AH387"/>
          <cell r="AI387" t="str">
            <v>32059147E</v>
          </cell>
        </row>
        <row r="388">
          <cell r="A388" t="str">
            <v>44883241Y</v>
          </cell>
          <cell r="B388" t="str">
            <v>Galán Chilet</v>
          </cell>
          <cell r="C388" t="str">
            <v>Inmaculada</v>
          </cell>
          <cell r="D388" t="str">
            <v>Galán Chilet, Inmaculada</v>
          </cell>
          <cell r="E388" t="str">
            <v>inmaculada.galan</v>
          </cell>
          <cell r="F388" t="str">
            <v>inmaculada.galan@professional.universidadviu.com</v>
          </cell>
          <cell r="G388" t="str">
            <v>Yes</v>
          </cell>
          <cell r="H388" t="str">
            <v>NO</v>
          </cell>
          <cell r="I388" t="str">
            <v>Bioquímica</v>
          </cell>
          <cell r="J388" t="str">
            <v>Doctora Bioquímica y Biomedicina</v>
          </cell>
          <cell r="K388" t="str">
            <v>Competència de profesor en valencià</v>
          </cell>
          <cell r="L388" t="str">
            <v>Máster Universitario en Formación del Profesorado de Secundaria, Bachillerato, Formación Profesional y Enseñanzas de Idiomas.</v>
          </cell>
          <cell r="M388" t="str">
            <v>Professional</v>
          </cell>
          <cell r="N388" t="str">
            <v/>
          </cell>
          <cell r="O388" t="str">
            <v>CBS</v>
          </cell>
          <cell r="P388">
            <v>0</v>
          </cell>
          <cell r="Q388" t="str">
            <v xml:space="preserve"> </v>
          </cell>
          <cell r="R388"/>
          <cell r="S388"/>
          <cell r="T388" t="str">
            <v>Sin reducción</v>
          </cell>
          <cell r="U388">
            <v>0</v>
          </cell>
          <cell r="V388"/>
          <cell r="W388"/>
          <cell r="X388">
            <v>0</v>
          </cell>
          <cell r="Y388">
            <v>0</v>
          </cell>
          <cell r="Z388">
            <v>0</v>
          </cell>
          <cell r="AA388"/>
          <cell r="AB388" t="str">
            <v>Active - signed</v>
          </cell>
          <cell r="AC388" t="str">
            <v>ACTIVO</v>
          </cell>
          <cell r="AD388"/>
          <cell r="AE388"/>
          <cell r="AF388"/>
          <cell r="AG388"/>
          <cell r="AH388"/>
          <cell r="AI388" t="str">
            <v>44883241Y</v>
          </cell>
        </row>
        <row r="389">
          <cell r="A389" t="str">
            <v>71032793F</v>
          </cell>
          <cell r="B389" t="str">
            <v>Galán Morillo</v>
          </cell>
          <cell r="C389" t="str">
            <v>Manuel</v>
          </cell>
          <cell r="D389" t="str">
            <v>Galán Morillo, Manuel</v>
          </cell>
          <cell r="E389" t="str">
            <v>manuel.galan</v>
          </cell>
          <cell r="F389" t="str">
            <v>manuel.galan@professional.universidadviu.com</v>
          </cell>
          <cell r="G389" t="str">
            <v>NO</v>
          </cell>
          <cell r="H389" t="str">
            <v>NO</v>
          </cell>
          <cell r="I389" t="str">
            <v>Psicología</v>
          </cell>
          <cell r="J389" t="str">
            <v>Máster Universitario en Psicología Jurídica y Forense</v>
          </cell>
          <cell r="K389" t="str">
            <v>Máster Universitario en Piscología General Sanitaria</v>
          </cell>
          <cell r="L389" t="str">
            <v/>
          </cell>
          <cell r="M389" t="str">
            <v>Professional</v>
          </cell>
          <cell r="N389" t="str">
            <v/>
          </cell>
          <cell r="O389" t="str">
            <v>CSS</v>
          </cell>
          <cell r="P389">
            <v>0</v>
          </cell>
          <cell r="Q389" t="str">
            <v xml:space="preserve"> </v>
          </cell>
          <cell r="R389"/>
          <cell r="S389"/>
          <cell r="T389" t="str">
            <v>Sin reducción</v>
          </cell>
          <cell r="U389">
            <v>0</v>
          </cell>
          <cell r="V389"/>
          <cell r="W389"/>
          <cell r="X389">
            <v>0</v>
          </cell>
          <cell r="Y389">
            <v>0</v>
          </cell>
          <cell r="Z389">
            <v>0</v>
          </cell>
          <cell r="AA389"/>
          <cell r="AB389" t="str">
            <v>Active - signed</v>
          </cell>
          <cell r="AC389" t="str">
            <v>ACTIVO</v>
          </cell>
          <cell r="AD389"/>
          <cell r="AE389"/>
          <cell r="AF389"/>
          <cell r="AG389"/>
          <cell r="AH389"/>
          <cell r="AI389" t="str">
            <v>71032793F</v>
          </cell>
        </row>
        <row r="390">
          <cell r="A390" t="str">
            <v>Y1401632A</v>
          </cell>
          <cell r="B390" t="str">
            <v>Galano Frutos</v>
          </cell>
          <cell r="C390" t="str">
            <v>Juan José</v>
          </cell>
          <cell r="D390" t="str">
            <v>Galano Frutos, Juan José</v>
          </cell>
          <cell r="E390" t="str">
            <v>juanjose.galano</v>
          </cell>
          <cell r="F390" t="str">
            <v>juanjose.galano@professor.universidadviu.com</v>
          </cell>
          <cell r="G390" t="str">
            <v>Yes</v>
          </cell>
          <cell r="H390" t="str">
            <v>Yes</v>
          </cell>
          <cell r="I390" t="str">
            <v>Programa Oficial de Doctorado en Bioquímica y Biología Molecular</v>
          </cell>
          <cell r="J390" t="str">
            <v>Programa Oficial de Doctorado en Bioquímica y Biología Molecular</v>
          </cell>
          <cell r="K390" t="str">
            <v>Máster en Biología Molecular y Celular</v>
          </cell>
          <cell r="L390" t="str">
            <v xml:space="preserve">Licenciado en Química </v>
          </cell>
          <cell r="M390" t="str">
            <v>Labour</v>
          </cell>
          <cell r="N390"/>
          <cell r="O390" t="str">
            <v>CBS</v>
          </cell>
          <cell r="P390">
            <v>100</v>
          </cell>
          <cell r="Q390" t="str">
            <v>50</v>
          </cell>
          <cell r="R390"/>
          <cell r="S390"/>
          <cell r="T390" t="str">
            <v>Sin reducción</v>
          </cell>
          <cell r="U390">
            <v>0</v>
          </cell>
          <cell r="V390"/>
          <cell r="W390"/>
          <cell r="X390">
            <v>0</v>
          </cell>
          <cell r="Y390">
            <v>0</v>
          </cell>
          <cell r="Z390">
            <v>0</v>
          </cell>
          <cell r="AA390"/>
          <cell r="AB390" t="str">
            <v>Concluded</v>
          </cell>
          <cell r="AC390" t="str">
            <v>NO ACTIVO</v>
          </cell>
          <cell r="AD390"/>
          <cell r="AE390"/>
          <cell r="AF390">
            <v>45138</v>
          </cell>
          <cell r="AG390" t="str">
            <v>CESE DE CONTRATO</v>
          </cell>
          <cell r="AH390"/>
          <cell r="AI390" t="str">
            <v>Y1401632A</v>
          </cell>
        </row>
        <row r="391">
          <cell r="A391" t="str">
            <v>75935987S</v>
          </cell>
          <cell r="B391" t="str">
            <v>Gallardo Montes</v>
          </cell>
          <cell r="C391" t="str">
            <v>Carmen del Pilar</v>
          </cell>
          <cell r="D391" t="str">
            <v>Gallardo Montes, Carmen del Pilar</v>
          </cell>
          <cell r="E391" t="str">
            <v>cgallardom@professional.universidadviu.com</v>
          </cell>
          <cell r="F391" t="str">
            <v>cgallardom@professional.universidadviu.com</v>
          </cell>
          <cell r="G391" t="str">
            <v>Yes</v>
          </cell>
          <cell r="H391" t="str">
            <v>Yes</v>
          </cell>
          <cell r="I391" t="str">
            <v>Doctorado en ciencias de la Educación</v>
          </cell>
          <cell r="J391" t="str">
            <v>Máster en Intervención Psicopedagógica</v>
          </cell>
          <cell r="K391" t="str">
            <v>Grado en Pedagogía</v>
          </cell>
          <cell r="L391" t="str">
            <v/>
          </cell>
          <cell r="M391" t="str">
            <v>Professional</v>
          </cell>
          <cell r="N391" t="str">
            <v/>
          </cell>
          <cell r="O391" t="str">
            <v>CSS</v>
          </cell>
          <cell r="P391">
            <v>0</v>
          </cell>
          <cell r="Q391" t="str">
            <v xml:space="preserve"> </v>
          </cell>
          <cell r="R391"/>
          <cell r="S391"/>
          <cell r="T391" t="str">
            <v>Sin reducción</v>
          </cell>
          <cell r="U391">
            <v>0</v>
          </cell>
          <cell r="V391"/>
          <cell r="W391"/>
          <cell r="X391">
            <v>0</v>
          </cell>
          <cell r="Y391">
            <v>0</v>
          </cell>
          <cell r="Z391">
            <v>0</v>
          </cell>
          <cell r="AA391"/>
          <cell r="AB391" t="str">
            <v>Active - signed</v>
          </cell>
          <cell r="AC391" t="str">
            <v>ACTIVO</v>
          </cell>
          <cell r="AD391"/>
          <cell r="AE391"/>
          <cell r="AF391"/>
          <cell r="AG391"/>
          <cell r="AH391"/>
          <cell r="AI391" t="str">
            <v>75935987S</v>
          </cell>
        </row>
        <row r="392">
          <cell r="A392" t="str">
            <v>18446459E</v>
          </cell>
          <cell r="B392" t="str">
            <v>Gallardo Ortin</v>
          </cell>
          <cell r="C392" t="str">
            <v>Laura</v>
          </cell>
          <cell r="D392" t="str">
            <v>Gallardo Ortin, Laura</v>
          </cell>
          <cell r="E392" t="str">
            <v>laura.gallardo</v>
          </cell>
          <cell r="F392" t="str">
            <v>laura.gallardo@professional.universidadviu.com</v>
          </cell>
          <cell r="G392" t="str">
            <v>Yes</v>
          </cell>
          <cell r="H392" t="str">
            <v>Yes</v>
          </cell>
          <cell r="I392" t="str">
            <v>Psicología</v>
          </cell>
          <cell r="J392" t="str">
            <v>Programa de Doctorado en Sociología de las Políticas Públicas y Sociales</v>
          </cell>
          <cell r="K392" t="str">
            <v/>
          </cell>
          <cell r="L392" t="str">
            <v/>
          </cell>
          <cell r="M392" t="str">
            <v>Professional</v>
          </cell>
          <cell r="N392" t="str">
            <v/>
          </cell>
          <cell r="O392" t="str">
            <v>CSS</v>
          </cell>
          <cell r="P392">
            <v>0</v>
          </cell>
          <cell r="Q392" t="str">
            <v xml:space="preserve"> </v>
          </cell>
          <cell r="R392"/>
          <cell r="S392"/>
          <cell r="T392" t="str">
            <v>Sin reducción</v>
          </cell>
          <cell r="U392">
            <v>0</v>
          </cell>
          <cell r="V392"/>
          <cell r="W392"/>
          <cell r="X392">
            <v>0</v>
          </cell>
          <cell r="Y392">
            <v>0</v>
          </cell>
          <cell r="Z392">
            <v>0</v>
          </cell>
          <cell r="AA392"/>
          <cell r="AB392" t="str">
            <v>Active - signed</v>
          </cell>
          <cell r="AC392" t="str">
            <v>ACTIVO</v>
          </cell>
          <cell r="AD392"/>
          <cell r="AE392"/>
          <cell r="AF392"/>
          <cell r="AG392"/>
          <cell r="AH392"/>
          <cell r="AI392" t="str">
            <v>18446459E</v>
          </cell>
        </row>
        <row r="393">
          <cell r="A393" t="str">
            <v>47685300K</v>
          </cell>
          <cell r="B393" t="str">
            <v>Gallart Palau</v>
          </cell>
          <cell r="C393" t="str">
            <v>Xavier</v>
          </cell>
          <cell r="D393" t="str">
            <v>Gallart Palau, Xavier</v>
          </cell>
          <cell r="E393" t="str">
            <v>xavier.gallart</v>
          </cell>
          <cell r="F393" t="str">
            <v>xavier.gallart@professional.universidadviu.com</v>
          </cell>
          <cell r="G393" t="str">
            <v>Yes</v>
          </cell>
          <cell r="H393" t="str">
            <v>NO</v>
          </cell>
          <cell r="I393" t="str">
            <v>Programa Oficial de Doctorado en Salud</v>
          </cell>
          <cell r="J393" t="str">
            <v>Máster Universitario en Neurociencias</v>
          </cell>
          <cell r="K393" t="str">
            <v/>
          </cell>
          <cell r="L393" t="str">
            <v/>
          </cell>
          <cell r="M393" t="str">
            <v>Professional</v>
          </cell>
          <cell r="N393" t="str">
            <v/>
          </cell>
          <cell r="O393" t="str">
            <v>CBS/CSS</v>
          </cell>
          <cell r="P393">
            <v>0</v>
          </cell>
          <cell r="Q393" t="str">
            <v xml:space="preserve"> </v>
          </cell>
          <cell r="R393"/>
          <cell r="S393"/>
          <cell r="T393" t="str">
            <v>Sin reducción</v>
          </cell>
          <cell r="U393">
            <v>0</v>
          </cell>
          <cell r="V393"/>
          <cell r="W393"/>
          <cell r="X393">
            <v>0</v>
          </cell>
          <cell r="Y393">
            <v>0</v>
          </cell>
          <cell r="Z393">
            <v>0</v>
          </cell>
          <cell r="AA393"/>
          <cell r="AB393" t="str">
            <v>Active - signed</v>
          </cell>
          <cell r="AC393" t="str">
            <v>ACTIVO</v>
          </cell>
          <cell r="AD393"/>
          <cell r="AE393"/>
          <cell r="AF393"/>
          <cell r="AG393"/>
          <cell r="AH393"/>
          <cell r="AI393" t="str">
            <v>47685300K</v>
          </cell>
        </row>
        <row r="394">
          <cell r="A394" t="str">
            <v>53172557F</v>
          </cell>
          <cell r="B394" t="str">
            <v>Gallego González</v>
          </cell>
          <cell r="C394" t="str">
            <v>Raquel</v>
          </cell>
          <cell r="D394" t="str">
            <v>Gallego González, Raquel</v>
          </cell>
          <cell r="E394" t="e">
            <v>#VALUE!</v>
          </cell>
          <cell r="F394" t="str">
            <v>raquel.gallego.g@professor.universidadviu.com</v>
          </cell>
          <cell r="G394" t="e">
            <v>#VALUE!</v>
          </cell>
          <cell r="H394" t="e">
            <v>#VALUE!</v>
          </cell>
          <cell r="I394" t="str">
            <v>Programa de Doctorado en Psicología del Trabajo y las Organizaciones, Jurídica-Forense y del Consumidor y Usuario</v>
          </cell>
          <cell r="J394" t="str">
            <v>Programa de Doctorado en Psicología del Trabajo y las Organizaciones, Jurídica-Forense y del Consumidor y Usuario</v>
          </cell>
          <cell r="K394" t="str">
            <v>Graduada en Psicología</v>
          </cell>
          <cell r="L394" t="str">
            <v>Máster Universitario en Psicología del Trabajo y las Organizaciones</v>
          </cell>
          <cell r="M394" t="e">
            <v>#VALUE!</v>
          </cell>
          <cell r="N394" t="str">
            <v>González Amado, Bárbara</v>
          </cell>
          <cell r="O394" t="str">
            <v>CSS</v>
          </cell>
          <cell r="P394" t="str">
            <v xml:space="preserve"> </v>
          </cell>
          <cell r="Q394" t="b">
            <v>0</v>
          </cell>
          <cell r="R394"/>
          <cell r="S394"/>
          <cell r="T394" t="str">
            <v>Sin reducción</v>
          </cell>
          <cell r="U394">
            <v>0</v>
          </cell>
          <cell r="V394"/>
          <cell r="W394"/>
          <cell r="X394">
            <v>0</v>
          </cell>
          <cell r="Y394">
            <v>0</v>
          </cell>
          <cell r="Z394">
            <v>0</v>
          </cell>
          <cell r="AA394"/>
          <cell r="AB394" t="e">
            <v>#VALUE!</v>
          </cell>
          <cell r="AC394" t="str">
            <v>BAJA TEMPORAL</v>
          </cell>
          <cell r="AD394">
            <v>45427</v>
          </cell>
          <cell r="AE394">
            <v>46767</v>
          </cell>
          <cell r="AF394"/>
          <cell r="AG394" t="str">
            <v>EXCEDENCIA</v>
          </cell>
          <cell r="AH394" t="str">
            <v>No sabemos fecha fin</v>
          </cell>
          <cell r="AI394" t="str">
            <v>53172557F</v>
          </cell>
        </row>
        <row r="395">
          <cell r="A395" t="str">
            <v>45633357T</v>
          </cell>
          <cell r="B395" t="str">
            <v>Gallent Torres</v>
          </cell>
          <cell r="C395" t="str">
            <v>Cinta</v>
          </cell>
          <cell r="D395" t="str">
            <v>Gallent Torres, Cinta</v>
          </cell>
          <cell r="E395" t="str">
            <v>cinta.gallent</v>
          </cell>
          <cell r="F395" t="str">
            <v>cinta.gallent@professor.universidadviu.com</v>
          </cell>
          <cell r="G395" t="str">
            <v>Yes</v>
          </cell>
          <cell r="H395" t="str">
            <v>Yes</v>
          </cell>
          <cell r="I395" t="str">
            <v>Programa Intervención Educativa: Métodos, Evaluación, Diagnóstico y Orientación</v>
          </cell>
          <cell r="J395" t="str">
            <v>Programa Intervención Educativa: Métodos, Evaluación, Diagnóstico y Orientación</v>
          </cell>
          <cell r="K395" t="str">
            <v>Licenciada en Traducción e Interpretación</v>
          </cell>
          <cell r="L395" t="str">
            <v/>
          </cell>
          <cell r="M395" t="str">
            <v>Labour</v>
          </cell>
          <cell r="N395"/>
          <cell r="O395" t="str">
            <v>CSS</v>
          </cell>
          <cell r="P395">
            <v>100</v>
          </cell>
          <cell r="Q395" t="str">
            <v>50</v>
          </cell>
          <cell r="R395"/>
          <cell r="S395"/>
          <cell r="T395" t="str">
            <v>Sin reducción</v>
          </cell>
          <cell r="U395">
            <v>0</v>
          </cell>
          <cell r="V395">
            <v>46</v>
          </cell>
          <cell r="W395" t="str">
            <v>EDUCACIÓN</v>
          </cell>
          <cell r="X395">
            <v>0</v>
          </cell>
          <cell r="Y395">
            <v>0</v>
          </cell>
          <cell r="Z395">
            <v>0</v>
          </cell>
          <cell r="AA395"/>
          <cell r="AB395" t="str">
            <v>Concluded</v>
          </cell>
          <cell r="AC395" t="str">
            <v>NO ACTIVO</v>
          </cell>
          <cell r="AD395"/>
          <cell r="AE395"/>
          <cell r="AF395">
            <v>45554</v>
          </cell>
          <cell r="AG395" t="str">
            <v>CESE DE CONTRATO</v>
          </cell>
          <cell r="AH395"/>
          <cell r="AI395" t="str">
            <v>45633357T</v>
          </cell>
        </row>
        <row r="396">
          <cell r="A396" t="str">
            <v>Y4998448X</v>
          </cell>
          <cell r="B396" t="str">
            <v>Gallo Giunzioni</v>
          </cell>
          <cell r="C396" t="str">
            <v>Karla Gabriela</v>
          </cell>
          <cell r="D396" t="str">
            <v>Gallo Giunzioni, Karla Gabriela</v>
          </cell>
          <cell r="E396" t="str">
            <v>karla.gallo@professional.universidadviu.com</v>
          </cell>
          <cell r="F396" t="str">
            <v>karla.gallo@professional.universidadviu.com</v>
          </cell>
          <cell r="G396" t="str">
            <v>Yes</v>
          </cell>
          <cell r="H396" t="str">
            <v>NO</v>
          </cell>
          <cell r="I396" t="str">
            <v>Doctorado en Individuo, Familia y Sociedad: una visión multidisciplinar</v>
          </cell>
          <cell r="J396" t="str">
            <v>Máster en psicología general sanitaria</v>
          </cell>
          <cell r="K396" t="str">
            <v>Grado en psicología</v>
          </cell>
          <cell r="L396" t="str">
            <v/>
          </cell>
          <cell r="M396" t="str">
            <v>Professional</v>
          </cell>
          <cell r="N396"/>
          <cell r="O396" t="str">
            <v>CSS</v>
          </cell>
          <cell r="P396">
            <v>0</v>
          </cell>
          <cell r="Q396" t="str">
            <v xml:space="preserve"> </v>
          </cell>
          <cell r="R396"/>
          <cell r="S396"/>
          <cell r="T396" t="str">
            <v>Sin reducción</v>
          </cell>
          <cell r="U396">
            <v>0</v>
          </cell>
          <cell r="V396"/>
          <cell r="W396"/>
          <cell r="X396">
            <v>0</v>
          </cell>
          <cell r="Y396">
            <v>0</v>
          </cell>
          <cell r="Z396">
            <v>0</v>
          </cell>
          <cell r="AA396"/>
          <cell r="AB396" t="str">
            <v>Active - signed</v>
          </cell>
          <cell r="AC396" t="str">
            <v>ACTIVO</v>
          </cell>
          <cell r="AD396"/>
          <cell r="AE396"/>
          <cell r="AF396"/>
          <cell r="AG396"/>
          <cell r="AH396"/>
          <cell r="AI396" t="str">
            <v>Y4998448X</v>
          </cell>
        </row>
        <row r="397">
          <cell r="A397" t="str">
            <v>78427358A</v>
          </cell>
          <cell r="B397" t="str">
            <v>Gálvez Sánchez</v>
          </cell>
          <cell r="C397" t="str">
            <v>Carmen María</v>
          </cell>
          <cell r="D397" t="str">
            <v>Gálvez Sánchez, Carmen María</v>
          </cell>
          <cell r="E397" t="str">
            <v>carmenmaria.galvez</v>
          </cell>
          <cell r="F397" t="str">
            <v>carmenmaria.galvez@professional.universidadviu.com</v>
          </cell>
          <cell r="G397" t="str">
            <v>Yes</v>
          </cell>
          <cell r="H397" t="str">
            <v>Yes</v>
          </cell>
          <cell r="I397" t="str">
            <v>Psicología</v>
          </cell>
          <cell r="J397" t="str">
            <v>Máster Universitario en Investigación e Innovación en Salud, Cuidados y Calidad de Vida</v>
          </cell>
          <cell r="K397" t="str">
            <v/>
          </cell>
          <cell r="L397" t="str">
            <v/>
          </cell>
          <cell r="M397" t="str">
            <v>Professional</v>
          </cell>
          <cell r="N397" t="str">
            <v/>
          </cell>
          <cell r="O397" t="str">
            <v>CSS</v>
          </cell>
          <cell r="P397">
            <v>0</v>
          </cell>
          <cell r="Q397" t="str">
            <v xml:space="preserve"> </v>
          </cell>
          <cell r="R397"/>
          <cell r="S397"/>
          <cell r="T397" t="str">
            <v>Sin reducción</v>
          </cell>
          <cell r="U397">
            <v>0</v>
          </cell>
          <cell r="V397"/>
          <cell r="W397"/>
          <cell r="X397">
            <v>0</v>
          </cell>
          <cell r="Y397">
            <v>0</v>
          </cell>
          <cell r="Z397">
            <v>0</v>
          </cell>
          <cell r="AA397"/>
          <cell r="AB397" t="str">
            <v>Active - signed</v>
          </cell>
          <cell r="AC397" t="str">
            <v>ACTIVO</v>
          </cell>
          <cell r="AD397"/>
          <cell r="AE397"/>
          <cell r="AF397"/>
          <cell r="AG397"/>
          <cell r="AH397"/>
          <cell r="AI397" t="str">
            <v>78427358A</v>
          </cell>
        </row>
        <row r="398">
          <cell r="A398" t="str">
            <v>53520740Q</v>
          </cell>
          <cell r="B398" t="str">
            <v>Gancedo Fernández</v>
          </cell>
          <cell r="C398" t="str">
            <v>Yurena</v>
          </cell>
          <cell r="D398" t="str">
            <v>Gancedo Fernández, Yurena</v>
          </cell>
          <cell r="E398" t="str">
            <v>yurena.gancedo</v>
          </cell>
          <cell r="F398" t="str">
            <v>yurena.gancedo@professor.universidadviu.com</v>
          </cell>
          <cell r="G398" t="str">
            <v>Yes</v>
          </cell>
          <cell r="H398" t="str">
            <v>NO</v>
          </cell>
          <cell r="I398" t="str">
            <v>Programa de doctorado en Psicología del Trabajo y las Organizaciones, Jurídica-Forense y del Consumidor y Usuario.</v>
          </cell>
          <cell r="J398" t="str">
            <v>Programa de doctorado en Psicología del Trabajo y las Organizaciones, Jurídica-Forense y del Consumidor y Usuario.</v>
          </cell>
          <cell r="K398" t="str">
            <v>Graduado/a en Psicología</v>
          </cell>
          <cell r="L398" t="str">
            <v>Máster universitario en psicología del trabajo y de las organizaciones, psicología jurídica-forense e intervención social</v>
          </cell>
          <cell r="M398" t="str">
            <v>Labour</v>
          </cell>
          <cell r="N398"/>
          <cell r="O398" t="str">
            <v>CSS</v>
          </cell>
          <cell r="P398" t="str">
            <v>30,00</v>
          </cell>
          <cell r="Q398" t="b">
            <v>0</v>
          </cell>
          <cell r="R398"/>
          <cell r="S398"/>
          <cell r="T398" t="str">
            <v>Sin reducción</v>
          </cell>
          <cell r="U398">
            <v>0</v>
          </cell>
          <cell r="V398"/>
          <cell r="W398"/>
          <cell r="X398">
            <v>0</v>
          </cell>
          <cell r="Y398">
            <v>0</v>
          </cell>
          <cell r="Z398">
            <v>0</v>
          </cell>
          <cell r="AA398"/>
          <cell r="AB398" t="str">
            <v>Concluded</v>
          </cell>
          <cell r="AC398" t="str">
            <v>NO ACTIVO</v>
          </cell>
          <cell r="AD398"/>
          <cell r="AE398"/>
          <cell r="AF398">
            <v>45798</v>
          </cell>
          <cell r="AG398" t="str">
            <v>CESE DE CONTRATO</v>
          </cell>
          <cell r="AH398"/>
          <cell r="AI398" t="str">
            <v>53520740Q</v>
          </cell>
        </row>
        <row r="399">
          <cell r="A399" t="str">
            <v>09441563V</v>
          </cell>
          <cell r="B399" t="str">
            <v>García Álvarez</v>
          </cell>
          <cell r="C399" t="str">
            <v>Leticia</v>
          </cell>
          <cell r="D399" t="str">
            <v>García Álvarez, Leticia</v>
          </cell>
          <cell r="E399" t="str">
            <v>lgarciaa@professor.universidadviu.com</v>
          </cell>
          <cell r="F399" t="str">
            <v>lgarciaa@professor.universidadviu.com</v>
          </cell>
          <cell r="G399" t="str">
            <v>Yes</v>
          </cell>
          <cell r="H399" t="str">
            <v>Yes</v>
          </cell>
          <cell r="I399" t="str">
            <v>Programa de doctorado en Ciencias de la Salud</v>
          </cell>
          <cell r="J399" t="str">
            <v>Licenciada en Psicología</v>
          </cell>
          <cell r="K399" t="str">
            <v>Máster Universitario en psicoterapia: Terapias de Tercera Generación</v>
          </cell>
          <cell r="L399" t="str">
            <v>Máster universitario en Formación del profesorado de Educación Secundaria Obligatoria y Bachillerato, Formación profesional y Enseñanza de Idiomas</v>
          </cell>
          <cell r="M399" t="str">
            <v>Labour</v>
          </cell>
          <cell r="N399"/>
          <cell r="O399" t="str">
            <v>CSS</v>
          </cell>
          <cell r="P399" t="str">
            <v>50,00</v>
          </cell>
          <cell r="Q399" t="b">
            <v>0</v>
          </cell>
          <cell r="R399"/>
          <cell r="S399"/>
          <cell r="T399" t="str">
            <v>Sin reducción</v>
          </cell>
          <cell r="U399">
            <v>0</v>
          </cell>
          <cell r="V399"/>
          <cell r="W399"/>
          <cell r="X399">
            <v>0</v>
          </cell>
          <cell r="Y399">
            <v>0</v>
          </cell>
          <cell r="Z399">
            <v>0</v>
          </cell>
          <cell r="AA399"/>
          <cell r="AB399" t="str">
            <v>Concluded</v>
          </cell>
          <cell r="AC399" t="str">
            <v>NO ACTIVO</v>
          </cell>
          <cell r="AD399"/>
          <cell r="AE399"/>
          <cell r="AF399">
            <v>45693</v>
          </cell>
          <cell r="AG399" t="str">
            <v>CESE DE CONTRATO</v>
          </cell>
          <cell r="AH399"/>
          <cell r="AI399" t="str">
            <v>09441563V</v>
          </cell>
        </row>
        <row r="400">
          <cell r="A400" t="str">
            <v>45752839C</v>
          </cell>
          <cell r="B400" t="str">
            <v>García Atutxa</v>
          </cell>
          <cell r="C400" t="str">
            <v>Igor</v>
          </cell>
          <cell r="D400" t="str">
            <v>García Atutxa, Igor</v>
          </cell>
          <cell r="E400" t="str">
            <v>igarciaa@professional.universidadviu.com</v>
          </cell>
          <cell r="F400" t="str">
            <v>igarciaa@professional.universidadviu.com</v>
          </cell>
          <cell r="G400" t="str">
            <v>NO</v>
          </cell>
          <cell r="H400" t="str">
            <v>NO</v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>Professional</v>
          </cell>
          <cell r="N400"/>
          <cell r="O400" t="str">
            <v>CBS</v>
          </cell>
          <cell r="P400"/>
          <cell r="Q400" t="str">
            <v xml:space="preserve"> </v>
          </cell>
          <cell r="R400"/>
          <cell r="S400"/>
          <cell r="T400" t="str">
            <v>Sin reducción</v>
          </cell>
          <cell r="U400">
            <v>0</v>
          </cell>
          <cell r="V400"/>
          <cell r="W400"/>
          <cell r="X400">
            <v>0</v>
          </cell>
          <cell r="Y400">
            <v>0</v>
          </cell>
          <cell r="Z400">
            <v>0</v>
          </cell>
          <cell r="AA400"/>
          <cell r="AB400" t="str">
            <v>Active - signed</v>
          </cell>
          <cell r="AC400" t="str">
            <v>ACTIVO</v>
          </cell>
          <cell r="AD400"/>
          <cell r="AE400"/>
          <cell r="AF400"/>
          <cell r="AG400"/>
          <cell r="AH400"/>
          <cell r="AI400" t="str">
            <v>45752839C</v>
          </cell>
        </row>
        <row r="401">
          <cell r="A401" t="str">
            <v>53454331P</v>
          </cell>
          <cell r="B401" t="str">
            <v>García Barrera</v>
          </cell>
          <cell r="C401" t="str">
            <v>Alba</v>
          </cell>
          <cell r="D401" t="str">
            <v>García Barrera, Alba</v>
          </cell>
          <cell r="E401" t="str">
            <v>agarciab@professional.universidadviu.com</v>
          </cell>
          <cell r="F401" t="str">
            <v>agarciab@professional.universidadviu.com</v>
          </cell>
          <cell r="G401" t="str">
            <v>Yes</v>
          </cell>
          <cell r="H401" t="str">
            <v>Yes</v>
          </cell>
          <cell r="I401" t="str">
            <v>Doctorado en Educación</v>
          </cell>
          <cell r="J401" t="str">
            <v>Máster Universitario en Tecnologías de la Información y la Comunicación en Educación y Formación</v>
          </cell>
          <cell r="K401" t="str">
            <v>Máster Universitario en Calidad y Mejora de la Educación. Especialidad en Calidad en Programas de Atención a la diversidad</v>
          </cell>
          <cell r="L401" t="str">
            <v/>
          </cell>
          <cell r="M401" t="str">
            <v>Professional</v>
          </cell>
          <cell r="N401"/>
          <cell r="O401" t="str">
            <v>CSS</v>
          </cell>
          <cell r="P401">
            <v>0</v>
          </cell>
          <cell r="Q401" t="str">
            <v xml:space="preserve"> </v>
          </cell>
          <cell r="R401"/>
          <cell r="S401"/>
          <cell r="T401" t="str">
            <v>Sin reducción</v>
          </cell>
          <cell r="U401">
            <v>0</v>
          </cell>
          <cell r="V401"/>
          <cell r="W401"/>
          <cell r="X401">
            <v>0</v>
          </cell>
          <cell r="Y401">
            <v>0</v>
          </cell>
          <cell r="Z401">
            <v>0</v>
          </cell>
          <cell r="AA401"/>
          <cell r="AB401" t="str">
            <v>Active - signed</v>
          </cell>
          <cell r="AC401" t="str">
            <v>ACTIVO</v>
          </cell>
          <cell r="AD401"/>
          <cell r="AE401"/>
          <cell r="AF401"/>
          <cell r="AG401"/>
          <cell r="AH401"/>
          <cell r="AI401" t="str">
            <v>53454331P</v>
          </cell>
        </row>
        <row r="402">
          <cell r="A402" t="str">
            <v>45996998B</v>
          </cell>
          <cell r="B402" t="str">
            <v>García Candau</v>
          </cell>
          <cell r="C402" t="str">
            <v>María del Mar</v>
          </cell>
          <cell r="D402" t="str">
            <v>García Candau, María del Mar</v>
          </cell>
          <cell r="E402" t="str">
            <v>mariadelmar.garcia.c</v>
          </cell>
          <cell r="F402" t="str">
            <v>mariadelmar.garcia.c@professional.universidadviu.com</v>
          </cell>
          <cell r="G402" t="str">
            <v>NO</v>
          </cell>
          <cell r="H402" t="str">
            <v>NO</v>
          </cell>
          <cell r="I402" t="str">
            <v>Máster Universitario en Psicología General Sanitaria</v>
          </cell>
          <cell r="J402" t="str">
            <v>Grado en Psicología</v>
          </cell>
          <cell r="K402" t="str">
            <v/>
          </cell>
          <cell r="L402" t="str">
            <v/>
          </cell>
          <cell r="M402" t="str">
            <v>Professional</v>
          </cell>
          <cell r="N402" t="str">
            <v/>
          </cell>
          <cell r="O402" t="str">
            <v>CSS</v>
          </cell>
          <cell r="P402">
            <v>0</v>
          </cell>
          <cell r="Q402" t="str">
            <v xml:space="preserve"> </v>
          </cell>
          <cell r="R402"/>
          <cell r="S402"/>
          <cell r="T402" t="str">
            <v>Sin reducción</v>
          </cell>
          <cell r="U402">
            <v>0</v>
          </cell>
          <cell r="V402"/>
          <cell r="W402"/>
          <cell r="X402">
            <v>0</v>
          </cell>
          <cell r="Y402">
            <v>0</v>
          </cell>
          <cell r="Z402">
            <v>0</v>
          </cell>
          <cell r="AA402"/>
          <cell r="AB402" t="str">
            <v>Active - signed</v>
          </cell>
          <cell r="AC402" t="str">
            <v>ACTIVO</v>
          </cell>
          <cell r="AD402"/>
          <cell r="AE402"/>
          <cell r="AF402"/>
          <cell r="AG402"/>
          <cell r="AH402"/>
          <cell r="AI402" t="str">
            <v>45996998B</v>
          </cell>
        </row>
        <row r="403">
          <cell r="A403" t="str">
            <v>48450133N</v>
          </cell>
          <cell r="B403" t="str">
            <v>García Cano</v>
          </cell>
          <cell r="C403" t="str">
            <v>Andrés</v>
          </cell>
          <cell r="D403" t="str">
            <v>García Cano, Andrés</v>
          </cell>
          <cell r="E403" t="str">
            <v>agarciac@professor.universidadviu.com</v>
          </cell>
          <cell r="F403" t="str">
            <v>agarciac@professor.universidadviu.com</v>
          </cell>
          <cell r="G403" t="str">
            <v>Yes</v>
          </cell>
          <cell r="H403" t="str">
            <v>NO</v>
          </cell>
          <cell r="I403" t="str">
            <v>Doctorado en Psicología</v>
          </cell>
          <cell r="J403" t="str">
            <v>Máster Oficial en Psicología de la Intervención Social</v>
          </cell>
          <cell r="K403" t="str">
            <v>Licenciado en Psicología</v>
          </cell>
          <cell r="L403" t="str">
            <v/>
          </cell>
          <cell r="M403" t="str">
            <v>Labour</v>
          </cell>
          <cell r="N403" t="str">
            <v>Jiménez García-Escribano, Patricia</v>
          </cell>
          <cell r="O403" t="str">
            <v>CSS</v>
          </cell>
          <cell r="P403">
            <v>40</v>
          </cell>
          <cell r="Q403" t="str">
            <v>32</v>
          </cell>
          <cell r="R403"/>
          <cell r="S403"/>
          <cell r="T403" t="str">
            <v>Sin reducción</v>
          </cell>
          <cell r="U403">
            <v>0</v>
          </cell>
          <cell r="V403"/>
          <cell r="W403"/>
          <cell r="X403">
            <v>24.9</v>
          </cell>
          <cell r="Y403">
            <v>0</v>
          </cell>
          <cell r="Z403">
            <v>0</v>
          </cell>
          <cell r="AA403"/>
          <cell r="AB403" t="str">
            <v>Active - signed</v>
          </cell>
          <cell r="AC403" t="str">
            <v>ACTIVO</v>
          </cell>
          <cell r="AD403"/>
          <cell r="AE403"/>
          <cell r="AF403"/>
          <cell r="AG403"/>
          <cell r="AH403"/>
          <cell r="AI403" t="str">
            <v>48450133N</v>
          </cell>
        </row>
        <row r="404">
          <cell r="A404" t="str">
            <v>73220449H</v>
          </cell>
          <cell r="B404" t="str">
            <v>García Cebollada</v>
          </cell>
          <cell r="C404" t="str">
            <v>Helena</v>
          </cell>
          <cell r="D404" t="str">
            <v>García Cebollada, Helena</v>
          </cell>
          <cell r="E404" t="str">
            <v>helena.garcia.c</v>
          </cell>
          <cell r="F404" t="str">
            <v>helena.garcia.c@professional.universidadviu.com</v>
          </cell>
          <cell r="G404" t="str">
            <v>Yes</v>
          </cell>
          <cell r="H404" t="str">
            <v>NO</v>
          </cell>
          <cell r="I404" t="str">
            <v>Biotecnología</v>
          </cell>
          <cell r="J404" t="str">
            <v>Doctorado en Bioquímica y Biología Molecular</v>
          </cell>
          <cell r="K404" t="str">
            <v>Máster Universitario en Biología Molecular y Celular</v>
          </cell>
          <cell r="L404" t="str">
            <v/>
          </cell>
          <cell r="M404" t="str">
            <v>Professional</v>
          </cell>
          <cell r="N404" t="str">
            <v/>
          </cell>
          <cell r="O404" t="str">
            <v>CBS</v>
          </cell>
          <cell r="P404">
            <v>0</v>
          </cell>
          <cell r="Q404" t="str">
            <v xml:space="preserve"> </v>
          </cell>
          <cell r="R404"/>
          <cell r="S404"/>
          <cell r="T404" t="str">
            <v>Sin reducción</v>
          </cell>
          <cell r="U404">
            <v>0</v>
          </cell>
          <cell r="V404"/>
          <cell r="W404"/>
          <cell r="X404">
            <v>0</v>
          </cell>
          <cell r="Y404">
            <v>0</v>
          </cell>
          <cell r="Z404">
            <v>0</v>
          </cell>
          <cell r="AA404"/>
          <cell r="AB404" t="str">
            <v>Active - signed</v>
          </cell>
          <cell r="AC404" t="str">
            <v>ACTIVO</v>
          </cell>
          <cell r="AD404"/>
          <cell r="AE404"/>
          <cell r="AF404"/>
          <cell r="AG404"/>
          <cell r="AH404"/>
          <cell r="AI404" t="str">
            <v>73220449H</v>
          </cell>
        </row>
        <row r="405">
          <cell r="A405" t="str">
            <v>71137515X</v>
          </cell>
          <cell r="B405" t="str">
            <v>García Crespo</v>
          </cell>
          <cell r="C405" t="str">
            <v>Ana</v>
          </cell>
          <cell r="D405" t="str">
            <v>García Crespo, Ana</v>
          </cell>
          <cell r="E405" t="str">
            <v>ana.garcia.crespo</v>
          </cell>
          <cell r="F405" t="str">
            <v>ana.garcia.crespo@professor.universidadviu.com</v>
          </cell>
          <cell r="G405" t="str">
            <v>Yes</v>
          </cell>
          <cell r="H405" t="str">
            <v>NO</v>
          </cell>
          <cell r="I405" t="str">
            <v>Doctorado Criminologia</v>
          </cell>
          <cell r="J405" t="str">
            <v>Master universitario en Psicología de la educación</v>
          </cell>
          <cell r="K405" t="str">
            <v>Doctorado Criminologia</v>
          </cell>
          <cell r="L405" t="str">
            <v>Licenciatura en Psicología</v>
          </cell>
          <cell r="M405" t="str">
            <v>Labour</v>
          </cell>
          <cell r="N405" t="str">
            <v>Jiménez García-Escribano, Patricia</v>
          </cell>
          <cell r="O405" t="str">
            <v>CSS</v>
          </cell>
          <cell r="P405">
            <v>100</v>
          </cell>
          <cell r="Q405" t="str">
            <v>50</v>
          </cell>
          <cell r="R405"/>
          <cell r="S405"/>
          <cell r="T405" t="str">
            <v>Sin reducción</v>
          </cell>
          <cell r="U405">
            <v>0</v>
          </cell>
          <cell r="V405"/>
          <cell r="W405"/>
          <cell r="X405">
            <v>50</v>
          </cell>
          <cell r="Y405">
            <v>0</v>
          </cell>
          <cell r="Z405">
            <v>0</v>
          </cell>
          <cell r="AA405"/>
          <cell r="AB405" t="str">
            <v>Active - signed</v>
          </cell>
          <cell r="AC405" t="str">
            <v>ACTIVO</v>
          </cell>
          <cell r="AD405">
            <v>45853</v>
          </cell>
          <cell r="AE405">
            <v>45867</v>
          </cell>
          <cell r="AF405"/>
          <cell r="AG405"/>
          <cell r="AH405"/>
          <cell r="AI405" t="str">
            <v>71137515X</v>
          </cell>
        </row>
        <row r="406">
          <cell r="A406" t="str">
            <v>53364729Z</v>
          </cell>
          <cell r="B406" t="str">
            <v>García Cuenca</v>
          </cell>
          <cell r="C406" t="str">
            <v>María Victoria</v>
          </cell>
          <cell r="D406" t="str">
            <v>García Cuenca, María Victoria</v>
          </cell>
          <cell r="E406" t="str">
            <v>mariavictoria.garcia.c</v>
          </cell>
          <cell r="F406" t="str">
            <v>mariavictoria.garcia.c@professor.universidadviu.com</v>
          </cell>
          <cell r="G406" t="str">
            <v>Yes</v>
          </cell>
          <cell r="H406" t="str">
            <v>NO</v>
          </cell>
          <cell r="I406" t="str">
            <v>Máster Universitario en Formación del Profesorado de Educación Secundaria Obligatoria y Bachillerato, Formación Profesional y Enseñanzas de Idiomas en la Especialidad en Orientación Educativa</v>
          </cell>
          <cell r="J406" t="str">
            <v>Programa de Doctorado en Lectura y Comprensión</v>
          </cell>
          <cell r="K406" t="str">
            <v>Licenciada en Psicología</v>
          </cell>
          <cell r="L406" t="str">
            <v>Licenciada en Psicopedagogía</v>
          </cell>
          <cell r="M406" t="str">
            <v>Labour</v>
          </cell>
          <cell r="N406" t="str">
            <v>Consultar a Facultad de Educación</v>
          </cell>
          <cell r="O406" t="str">
            <v>CSS</v>
          </cell>
          <cell r="P406">
            <v>30</v>
          </cell>
          <cell r="Q406" t="str">
            <v>24</v>
          </cell>
          <cell r="R406"/>
          <cell r="S406"/>
          <cell r="T406" t="str">
            <v>Sin reducción</v>
          </cell>
          <cell r="U406">
            <v>0</v>
          </cell>
          <cell r="V406">
            <v>24</v>
          </cell>
          <cell r="W406" t="str">
            <v>EDUCACIÓN</v>
          </cell>
          <cell r="X406">
            <v>0</v>
          </cell>
          <cell r="Y406">
            <v>0</v>
          </cell>
          <cell r="Z406">
            <v>0</v>
          </cell>
          <cell r="AA406"/>
          <cell r="AB406" t="str">
            <v>Active - signed</v>
          </cell>
          <cell r="AC406" t="str">
            <v>ACTIVO</v>
          </cell>
          <cell r="AD406"/>
          <cell r="AE406"/>
          <cell r="AF406"/>
          <cell r="AG406"/>
          <cell r="AH406"/>
          <cell r="AI406" t="str">
            <v>53364729Z</v>
          </cell>
        </row>
        <row r="407">
          <cell r="A407" t="str">
            <v>71357591E</v>
          </cell>
          <cell r="B407" t="str">
            <v>García Fernández</v>
          </cell>
          <cell r="C407" t="str">
            <v>Luis</v>
          </cell>
          <cell r="D407" t="str">
            <v>García Fernández, Luis</v>
          </cell>
          <cell r="E407" t="str">
            <v>luis.garcia0</v>
          </cell>
          <cell r="F407" t="str">
            <v>luis.garcia0@professor.universidadviu.com</v>
          </cell>
          <cell r="G407" t="str">
            <v>NO</v>
          </cell>
          <cell r="H407" t="str">
            <v>NO</v>
          </cell>
          <cell r="I407" t="str">
            <v>Enfermería</v>
          </cell>
          <cell r="J407" t="str">
            <v>Master Universitario en enfermeria de urgencias y emergencias</v>
          </cell>
          <cell r="K407" t="str">
            <v/>
          </cell>
          <cell r="L407" t="str">
            <v/>
          </cell>
          <cell r="M407" t="str">
            <v>Labour</v>
          </cell>
          <cell r="N407" t="str">
            <v>García Tejedor, Aurora</v>
          </cell>
          <cell r="O407" t="str">
            <v>CBS</v>
          </cell>
          <cell r="P407">
            <v>100</v>
          </cell>
          <cell r="Q407" t="str">
            <v>50</v>
          </cell>
          <cell r="R407"/>
          <cell r="S407"/>
          <cell r="T407" t="str">
            <v>Dirección de título Máster Universitario &gt; 60 - 1 edición</v>
          </cell>
          <cell r="U407" t="str">
            <v>32</v>
          </cell>
          <cell r="V407"/>
          <cell r="W407"/>
          <cell r="X407">
            <v>0</v>
          </cell>
          <cell r="Y407">
            <v>25</v>
          </cell>
          <cell r="Z407">
            <v>0</v>
          </cell>
          <cell r="AA407"/>
          <cell r="AB407" t="str">
            <v>Active - signed</v>
          </cell>
          <cell r="AC407" t="str">
            <v>ACTIVO</v>
          </cell>
          <cell r="AD407"/>
          <cell r="AE407"/>
          <cell r="AF407"/>
          <cell r="AG407"/>
          <cell r="AH407"/>
          <cell r="AI407" t="str">
            <v>71357591E</v>
          </cell>
        </row>
        <row r="408">
          <cell r="A408" t="str">
            <v>24392749F</v>
          </cell>
          <cell r="B408" t="str">
            <v>García García</v>
          </cell>
          <cell r="C408" t="str">
            <v>Joana</v>
          </cell>
          <cell r="D408" t="str">
            <v>García García, Joana</v>
          </cell>
          <cell r="E408" t="str">
            <v>jgarciag2@professional.universidadviu.com</v>
          </cell>
          <cell r="F408" t="str">
            <v>jgarciag2@professional.universidadviu.com</v>
          </cell>
          <cell r="G408" t="str">
            <v>NO</v>
          </cell>
          <cell r="H408" t="str">
            <v>NO</v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>Professional</v>
          </cell>
          <cell r="N408"/>
          <cell r="O408" t="str">
            <v>CBS</v>
          </cell>
          <cell r="P408">
            <v>0</v>
          </cell>
          <cell r="Q408" t="str">
            <v xml:space="preserve"> </v>
          </cell>
          <cell r="R408"/>
          <cell r="S408"/>
          <cell r="T408" t="str">
            <v>Sin reducción</v>
          </cell>
          <cell r="U408">
            <v>0</v>
          </cell>
          <cell r="V408"/>
          <cell r="W408"/>
          <cell r="X408">
            <v>0</v>
          </cell>
          <cell r="Y408">
            <v>0</v>
          </cell>
          <cell r="Z408">
            <v>0</v>
          </cell>
          <cell r="AA408"/>
          <cell r="AB408" t="str">
            <v>Active - signed</v>
          </cell>
          <cell r="AC408" t="str">
            <v>ACTIVO</v>
          </cell>
          <cell r="AD408"/>
          <cell r="AE408"/>
          <cell r="AF408"/>
          <cell r="AG408"/>
          <cell r="AH408"/>
          <cell r="AI408" t="str">
            <v>24392749F</v>
          </cell>
        </row>
        <row r="409">
          <cell r="A409" t="str">
            <v>50898229B</v>
          </cell>
          <cell r="B409" t="str">
            <v>García Gómez</v>
          </cell>
          <cell r="C409" t="str">
            <v>Raquel</v>
          </cell>
          <cell r="D409" t="str">
            <v>García Gómez, Raquel</v>
          </cell>
          <cell r="E409" t="str">
            <v>rgarciag@professional.universidadviu.com</v>
          </cell>
          <cell r="F409" t="str">
            <v>rgarciag@professional.universidadviu.com</v>
          </cell>
          <cell r="G409" t="str">
            <v>Yes</v>
          </cell>
          <cell r="H409" t="str">
            <v>NO</v>
          </cell>
          <cell r="I409" t="str">
            <v>Doctor en Psicología</v>
          </cell>
          <cell r="J409" t="str">
            <v>Máster en Neuropsicología</v>
          </cell>
          <cell r="K409" t="str">
            <v>Licenciada en Psicología</v>
          </cell>
          <cell r="L409" t="str">
            <v/>
          </cell>
          <cell r="M409" t="str">
            <v>Professional</v>
          </cell>
          <cell r="N409" t="str">
            <v/>
          </cell>
          <cell r="O409" t="str">
            <v>CSS</v>
          </cell>
          <cell r="P409">
            <v>0</v>
          </cell>
          <cell r="Q409" t="str">
            <v xml:space="preserve"> </v>
          </cell>
          <cell r="R409"/>
          <cell r="S409"/>
          <cell r="T409" t="str">
            <v>Sin reducción</v>
          </cell>
          <cell r="U409">
            <v>0</v>
          </cell>
          <cell r="V409"/>
          <cell r="W409"/>
          <cell r="X409">
            <v>0</v>
          </cell>
          <cell r="Y409">
            <v>0</v>
          </cell>
          <cell r="Z409">
            <v>0</v>
          </cell>
          <cell r="AA409"/>
          <cell r="AB409" t="str">
            <v>Active - signed</v>
          </cell>
          <cell r="AC409" t="str">
            <v>ACTIVO</v>
          </cell>
          <cell r="AD409"/>
          <cell r="AE409"/>
          <cell r="AF409"/>
          <cell r="AG409"/>
          <cell r="AH409"/>
          <cell r="AI409" t="str">
            <v>50898229B</v>
          </cell>
        </row>
        <row r="410">
          <cell r="A410" t="str">
            <v>48399158M</v>
          </cell>
          <cell r="B410" t="str">
            <v>García Gómez</v>
          </cell>
          <cell r="C410" t="str">
            <v>María</v>
          </cell>
          <cell r="D410" t="str">
            <v>García Gómez, María</v>
          </cell>
          <cell r="E410" t="str">
            <v>maria.gomez.g@professor.universidadviu.com</v>
          </cell>
          <cell r="F410" t="str">
            <v>maria.gomez.g@professor.universidadviu.com</v>
          </cell>
          <cell r="G410" t="str">
            <v>Yes</v>
          </cell>
          <cell r="H410" t="str">
            <v>Yes</v>
          </cell>
          <cell r="I410" t="str">
            <v>Programa de Doctorado de Procesos Psicosociales y su Implicación en Psicopatología y Salud</v>
          </cell>
          <cell r="J410" t="str">
            <v>Programa de Procesos Psicosociales y su Implicación en Psicopatología y Salud</v>
          </cell>
          <cell r="K410" t="str">
            <v>Licenciada en Psicología</v>
          </cell>
          <cell r="L410" t="str">
            <v/>
          </cell>
          <cell r="M410" t="str">
            <v>Labour</v>
          </cell>
          <cell r="N410" t="str">
            <v>Hernández Saguar, Aida Esther</v>
          </cell>
          <cell r="O410" t="str">
            <v>CSS</v>
          </cell>
          <cell r="P410" t="str">
            <v>18,00</v>
          </cell>
          <cell r="Q410" t="b">
            <v>0</v>
          </cell>
          <cell r="R410"/>
          <cell r="S410"/>
          <cell r="T410" t="str">
            <v>Sin reducción</v>
          </cell>
          <cell r="U410">
            <v>0</v>
          </cell>
          <cell r="V410"/>
          <cell r="W410"/>
          <cell r="X410">
            <v>0</v>
          </cell>
          <cell r="Y410">
            <v>0</v>
          </cell>
          <cell r="Z410">
            <v>0</v>
          </cell>
          <cell r="AA410"/>
          <cell r="AB410" t="str">
            <v>Concluded</v>
          </cell>
          <cell r="AC410" t="str">
            <v>NO ACTIVO</v>
          </cell>
          <cell r="AD410"/>
          <cell r="AE410"/>
          <cell r="AF410">
            <v>46068</v>
          </cell>
          <cell r="AG410" t="str">
            <v>CESE DE CONTRATO</v>
          </cell>
          <cell r="AH410" t="str">
            <v>no sabemos fecha fin</v>
          </cell>
          <cell r="AI410" t="str">
            <v>48399158M</v>
          </cell>
        </row>
        <row r="411">
          <cell r="A411" t="str">
            <v>76114852D</v>
          </cell>
          <cell r="B411" t="str">
            <v>García Iglesias</v>
          </cell>
          <cell r="C411" t="str">
            <v>Alberto</v>
          </cell>
          <cell r="D411" t="str">
            <v>García Iglesias, Alberto</v>
          </cell>
          <cell r="E411" t="str">
            <v>alberto.garcia.i</v>
          </cell>
          <cell r="F411" t="str">
            <v>alberto.garcia.i@professional.universidadviu.com</v>
          </cell>
          <cell r="G411" t="str">
            <v>NO</v>
          </cell>
          <cell r="H411" t="str">
            <v>NO</v>
          </cell>
          <cell r="I411" t="str">
            <v>Enfermería</v>
          </cell>
          <cell r="J411" t="str">
            <v>Licenciado en antropologia social y cultural</v>
          </cell>
          <cell r="K411" t="str">
            <v>Master Universitario en Direccion y Gestion de Enfermeria</v>
          </cell>
          <cell r="L411" t="str">
            <v>Certificado de aptitud pedagógica</v>
          </cell>
          <cell r="M411" t="str">
            <v>Professional</v>
          </cell>
          <cell r="N411" t="str">
            <v/>
          </cell>
          <cell r="O411" t="str">
            <v>CBS</v>
          </cell>
          <cell r="P411">
            <v>0</v>
          </cell>
          <cell r="Q411" t="str">
            <v xml:space="preserve"> </v>
          </cell>
          <cell r="R411"/>
          <cell r="S411"/>
          <cell r="T411" t="str">
            <v>Sin reducción</v>
          </cell>
          <cell r="U411">
            <v>0</v>
          </cell>
          <cell r="V411"/>
          <cell r="W411"/>
          <cell r="X411">
            <v>0</v>
          </cell>
          <cell r="Y411">
            <v>0</v>
          </cell>
          <cell r="Z411">
            <v>0</v>
          </cell>
          <cell r="AA411"/>
          <cell r="AB411" t="str">
            <v>Active - signed</v>
          </cell>
          <cell r="AC411" t="str">
            <v>ACTIVO</v>
          </cell>
          <cell r="AD411"/>
          <cell r="AE411"/>
          <cell r="AF411"/>
          <cell r="AG411"/>
          <cell r="AH411"/>
          <cell r="AI411" t="str">
            <v>76114852D</v>
          </cell>
        </row>
        <row r="412">
          <cell r="A412" t="str">
            <v>17218377W</v>
          </cell>
          <cell r="B412" t="str">
            <v>García Iriarte</v>
          </cell>
          <cell r="C412" t="str">
            <v>Antonio</v>
          </cell>
          <cell r="D412" t="str">
            <v>García Iriarte, Antonio</v>
          </cell>
          <cell r="E412" t="str">
            <v>agarciai@professional.universidadviu.com</v>
          </cell>
          <cell r="F412" t="str">
            <v>agarciai@professional.universidadviu.com</v>
          </cell>
          <cell r="G412" t="str">
            <v>NO</v>
          </cell>
          <cell r="H412" t="str">
            <v>NO</v>
          </cell>
          <cell r="I412" t="str">
            <v>Diplomado Universitario en Enfermería</v>
          </cell>
          <cell r="J412" t="str">
            <v>Licenciado en Estudios Eclesiásticos</v>
          </cell>
          <cell r="K412" t="str">
            <v/>
          </cell>
          <cell r="L412" t="str">
            <v/>
          </cell>
          <cell r="M412" t="str">
            <v>Professional</v>
          </cell>
          <cell r="N412" t="str">
            <v/>
          </cell>
          <cell r="O412" t="str">
            <v>CBS</v>
          </cell>
          <cell r="P412">
            <v>0</v>
          </cell>
          <cell r="Q412" t="str">
            <v xml:space="preserve"> </v>
          </cell>
          <cell r="R412"/>
          <cell r="S412"/>
          <cell r="T412" t="str">
            <v>Sin reducción</v>
          </cell>
          <cell r="U412">
            <v>0</v>
          </cell>
          <cell r="V412"/>
          <cell r="W412"/>
          <cell r="X412">
            <v>0</v>
          </cell>
          <cell r="Y412">
            <v>0</v>
          </cell>
          <cell r="Z412">
            <v>0</v>
          </cell>
          <cell r="AA412"/>
          <cell r="AB412" t="str">
            <v>Active - signed</v>
          </cell>
          <cell r="AC412" t="str">
            <v>ACTIVO</v>
          </cell>
          <cell r="AD412"/>
          <cell r="AE412"/>
          <cell r="AF412"/>
          <cell r="AG412"/>
          <cell r="AH412"/>
          <cell r="AI412" t="str">
            <v>17218377W</v>
          </cell>
        </row>
        <row r="413">
          <cell r="A413" t="str">
            <v>44515596Q</v>
          </cell>
          <cell r="B413" t="str">
            <v>García Juesas</v>
          </cell>
          <cell r="C413" t="str">
            <v>Juan Antonio</v>
          </cell>
          <cell r="D413" t="str">
            <v>García Juesas, Juan Antonio</v>
          </cell>
          <cell r="E413" t="str">
            <v>juanantonio.garcia</v>
          </cell>
          <cell r="F413"/>
          <cell r="G413" t="str">
            <v>NO</v>
          </cell>
          <cell r="H413" t="str">
            <v>NO</v>
          </cell>
          <cell r="I413" t="str">
            <v>Máster propio de Gestión de Recursos Humanos</v>
          </cell>
          <cell r="J413" t="str">
            <v>Licenciado en Psicología</v>
          </cell>
          <cell r="K413" t="str">
            <v>Máster en Prevención de Riesgos</v>
          </cell>
          <cell r="L413" t="str">
            <v/>
          </cell>
          <cell r="M413" t="str">
            <v>Labour</v>
          </cell>
          <cell r="N413" t="str">
            <v>Consultar a Facultad Ciencias Sociales y Jurídicas</v>
          </cell>
          <cell r="O413" t="str">
            <v>CSS</v>
          </cell>
          <cell r="P413">
            <v>100</v>
          </cell>
          <cell r="Q413" t="str">
            <v>50</v>
          </cell>
          <cell r="R413"/>
          <cell r="S413"/>
          <cell r="T413" t="str">
            <v>Sin reducción</v>
          </cell>
          <cell r="U413">
            <v>0</v>
          </cell>
          <cell r="V413">
            <v>50</v>
          </cell>
          <cell r="W413" t="str">
            <v>EMPRESA</v>
          </cell>
          <cell r="X413">
            <v>0</v>
          </cell>
          <cell r="Y413">
            <v>0</v>
          </cell>
          <cell r="Z413">
            <v>0</v>
          </cell>
          <cell r="AA413"/>
          <cell r="AB413" t="str">
            <v>Active - signed</v>
          </cell>
          <cell r="AC413" t="str">
            <v>ACTIVO</v>
          </cell>
          <cell r="AD413"/>
          <cell r="AE413"/>
          <cell r="AF413"/>
          <cell r="AG413"/>
          <cell r="AH413"/>
          <cell r="AI413" t="str">
            <v>44515596Q</v>
          </cell>
        </row>
        <row r="414">
          <cell r="A414" t="str">
            <v>28848313B</v>
          </cell>
          <cell r="B414" t="str">
            <v>García Lebrón</v>
          </cell>
          <cell r="C414" t="str">
            <v>Raquel</v>
          </cell>
          <cell r="D414" t="str">
            <v>García Lebrón, Raquel</v>
          </cell>
          <cell r="E414" t="str">
            <v>rgarcial@professional.universidadviu.com</v>
          </cell>
          <cell r="F414" t="str">
            <v>rgarcial@professional.universidadviu.com</v>
          </cell>
          <cell r="G414" t="str">
            <v>NO</v>
          </cell>
          <cell r="H414" t="str">
            <v>NO</v>
          </cell>
          <cell r="I414" t="str">
            <v>Máster Universitario en Psicología General Sanitaria</v>
          </cell>
          <cell r="J414" t="str">
            <v>GRADO EN PSICOLOGÍA</v>
          </cell>
          <cell r="K414" t="str">
            <v/>
          </cell>
          <cell r="L414" t="str">
            <v/>
          </cell>
          <cell r="M414" t="str">
            <v>Professional</v>
          </cell>
          <cell r="N414" t="str">
            <v/>
          </cell>
          <cell r="O414" t="str">
            <v>CSS</v>
          </cell>
          <cell r="P414">
            <v>0</v>
          </cell>
          <cell r="Q414" t="str">
            <v xml:space="preserve"> </v>
          </cell>
          <cell r="R414"/>
          <cell r="S414"/>
          <cell r="T414" t="str">
            <v>Sin reducción</v>
          </cell>
          <cell r="U414">
            <v>0</v>
          </cell>
          <cell r="V414"/>
          <cell r="W414"/>
          <cell r="X414">
            <v>0</v>
          </cell>
          <cell r="Y414">
            <v>0</v>
          </cell>
          <cell r="Z414">
            <v>0</v>
          </cell>
          <cell r="AA414"/>
          <cell r="AB414" t="str">
            <v>Active - signed</v>
          </cell>
          <cell r="AC414" t="str">
            <v>ACTIVO</v>
          </cell>
          <cell r="AD414"/>
          <cell r="AE414"/>
          <cell r="AF414"/>
          <cell r="AG414"/>
          <cell r="AH414"/>
          <cell r="AI414" t="str">
            <v>28848313B</v>
          </cell>
        </row>
        <row r="415">
          <cell r="A415">
            <v>1085275655</v>
          </cell>
          <cell r="B415" t="str">
            <v>García López</v>
          </cell>
          <cell r="C415" t="str">
            <v>Juan Pablo</v>
          </cell>
          <cell r="D415" t="str">
            <v>García López, Juan Pablo</v>
          </cell>
          <cell r="E415" t="str">
            <v>jgarcial@professional.universidadviu.com</v>
          </cell>
          <cell r="F415" t="str">
            <v>jgarcial@professional.universidadviu.com</v>
          </cell>
          <cell r="G415" t="str">
            <v>NO</v>
          </cell>
          <cell r="H415" t="str">
            <v>NO</v>
          </cell>
          <cell r="I415" t="str">
            <v>Doctor en Biotecnología</v>
          </cell>
          <cell r="J415" t="str">
            <v>Biólogo</v>
          </cell>
          <cell r="K415" t="str">
            <v/>
          </cell>
          <cell r="L415" t="str">
            <v/>
          </cell>
          <cell r="M415" t="str">
            <v>Professional</v>
          </cell>
          <cell r="N415" t="str">
            <v/>
          </cell>
          <cell r="O415" t="str">
            <v>CBS</v>
          </cell>
          <cell r="P415">
            <v>0</v>
          </cell>
          <cell r="Q415" t="str">
            <v xml:space="preserve"> </v>
          </cell>
          <cell r="R415"/>
          <cell r="S415"/>
          <cell r="T415" t="str">
            <v>Sin reducción</v>
          </cell>
          <cell r="U415">
            <v>0</v>
          </cell>
          <cell r="V415"/>
          <cell r="W415"/>
          <cell r="X415">
            <v>0</v>
          </cell>
          <cell r="Y415">
            <v>0</v>
          </cell>
          <cell r="Z415">
            <v>0</v>
          </cell>
          <cell r="AA415"/>
          <cell r="AB415" t="str">
            <v>Active - signed</v>
          </cell>
          <cell r="AC415" t="str">
            <v>ACTIVO</v>
          </cell>
          <cell r="AD415"/>
          <cell r="AE415"/>
          <cell r="AF415"/>
          <cell r="AG415"/>
          <cell r="AH415"/>
          <cell r="AI415">
            <v>1085275655</v>
          </cell>
        </row>
        <row r="416">
          <cell r="A416" t="str">
            <v>34831138F</v>
          </cell>
          <cell r="B416" t="str">
            <v>García Martínez</v>
          </cell>
          <cell r="C416" t="str">
            <v>Pedro</v>
          </cell>
          <cell r="D416" t="str">
            <v>García Martínez, Pedro</v>
          </cell>
          <cell r="E416" t="str">
            <v>pedro.garcia.martinez</v>
          </cell>
          <cell r="F416" t="str">
            <v>pedro.garcia.martinez@professional.universidadviu.com</v>
          </cell>
          <cell r="G416" t="str">
            <v>Yes</v>
          </cell>
          <cell r="H416" t="str">
            <v>NO</v>
          </cell>
          <cell r="I416" t="str">
            <v>Enfermería</v>
          </cell>
          <cell r="J416" t="str">
            <v>Enfermera especialista en enfermeria familiar y comunitaria</v>
          </cell>
          <cell r="K416" t="str">
            <v>Diplomado en salud pública</v>
          </cell>
          <cell r="L416" t="str">
            <v>Certificado de aptitud pedagogica</v>
          </cell>
          <cell r="M416" t="str">
            <v>Professional</v>
          </cell>
          <cell r="N416" t="str">
            <v/>
          </cell>
          <cell r="O416" t="str">
            <v>CBS</v>
          </cell>
          <cell r="P416">
            <v>0</v>
          </cell>
          <cell r="Q416" t="str">
            <v xml:space="preserve"> </v>
          </cell>
          <cell r="R416"/>
          <cell r="S416"/>
          <cell r="T416" t="str">
            <v>Sin reducción</v>
          </cell>
          <cell r="U416">
            <v>0</v>
          </cell>
          <cell r="V416"/>
          <cell r="W416"/>
          <cell r="X416">
            <v>0</v>
          </cell>
          <cell r="Y416">
            <v>0</v>
          </cell>
          <cell r="Z416">
            <v>0</v>
          </cell>
          <cell r="AA416"/>
          <cell r="AB416" t="str">
            <v>Active - signed</v>
          </cell>
          <cell r="AC416" t="str">
            <v>ACTIVO</v>
          </cell>
          <cell r="AD416"/>
          <cell r="AE416"/>
          <cell r="AF416"/>
          <cell r="AG416"/>
          <cell r="AH416"/>
          <cell r="AI416" t="str">
            <v>34831138F</v>
          </cell>
        </row>
        <row r="417">
          <cell r="A417" t="str">
            <v>25406413S</v>
          </cell>
          <cell r="B417" t="str">
            <v>García Martínez</v>
          </cell>
          <cell r="C417" t="str">
            <v>Amparo</v>
          </cell>
          <cell r="D417" t="str">
            <v>García Martínez, Amparo</v>
          </cell>
          <cell r="E417" t="str">
            <v>agarciam@professional.universidadviu.com</v>
          </cell>
          <cell r="F417" t="str">
            <v>agarciam@professional.universidadviu.com</v>
          </cell>
          <cell r="G417" t="str">
            <v>NO</v>
          </cell>
          <cell r="H417" t="str">
            <v>NO</v>
          </cell>
          <cell r="I417" t="str">
            <v>Máster Universitario en Bioética</v>
          </cell>
          <cell r="J417" t="str">
            <v>Licenciatura en Farmacia</v>
          </cell>
          <cell r="K417" t="str">
            <v/>
          </cell>
          <cell r="L417" t="str">
            <v/>
          </cell>
          <cell r="M417" t="str">
            <v>Professional</v>
          </cell>
          <cell r="N417" t="str">
            <v/>
          </cell>
          <cell r="O417" t="str">
            <v>CBS</v>
          </cell>
          <cell r="P417">
            <v>0</v>
          </cell>
          <cell r="Q417" t="str">
            <v xml:space="preserve"> </v>
          </cell>
          <cell r="R417"/>
          <cell r="S417"/>
          <cell r="T417" t="str">
            <v>Sin reducción</v>
          </cell>
          <cell r="U417">
            <v>0</v>
          </cell>
          <cell r="V417"/>
          <cell r="W417"/>
          <cell r="X417">
            <v>0</v>
          </cell>
          <cell r="Y417">
            <v>0</v>
          </cell>
          <cell r="Z417">
            <v>0</v>
          </cell>
          <cell r="AA417"/>
          <cell r="AB417" t="str">
            <v>Active - signed</v>
          </cell>
          <cell r="AC417" t="str">
            <v>ACTIVO</v>
          </cell>
          <cell r="AD417"/>
          <cell r="AE417"/>
          <cell r="AF417"/>
          <cell r="AG417"/>
          <cell r="AH417"/>
          <cell r="AI417" t="str">
            <v>25406413S</v>
          </cell>
        </row>
        <row r="418">
          <cell r="A418" t="str">
            <v>53595149C</v>
          </cell>
          <cell r="B418" t="str">
            <v>García Martínez</v>
          </cell>
          <cell r="C418" t="str">
            <v>Inmaculada</v>
          </cell>
          <cell r="D418" t="str">
            <v>García Martínez, Inmaculada</v>
          </cell>
          <cell r="E418" t="str">
            <v>inmaculada.garcia.m</v>
          </cell>
          <cell r="F418" t="str">
            <v>inmaculada.garcia.m@professional.universidadviu.com</v>
          </cell>
          <cell r="G418" t="str">
            <v>Yes</v>
          </cell>
          <cell r="H418" t="str">
            <v>Yes</v>
          </cell>
          <cell r="I418" t="str">
            <v>Licenciatura en psicopedagogia</v>
          </cell>
          <cell r="J418" t="str">
            <v>Master universitario en investigación e innovación en currículum y formación</v>
          </cell>
          <cell r="K418" t="str">
            <v>Maestra, especialidad primaria</v>
          </cell>
          <cell r="L418" t="str">
            <v>Doctorado en Ciencias de la Educación</v>
          </cell>
          <cell r="M418" t="str">
            <v>Professional</v>
          </cell>
          <cell r="N418" t="str">
            <v/>
          </cell>
          <cell r="O418" t="str">
            <v>CSS</v>
          </cell>
          <cell r="P418">
            <v>0</v>
          </cell>
          <cell r="Q418" t="str">
            <v xml:space="preserve"> </v>
          </cell>
          <cell r="R418"/>
          <cell r="S418"/>
          <cell r="T418" t="str">
            <v>Sin reducción</v>
          </cell>
          <cell r="U418">
            <v>0</v>
          </cell>
          <cell r="V418"/>
          <cell r="W418"/>
          <cell r="X418">
            <v>0</v>
          </cell>
          <cell r="Y418">
            <v>0</v>
          </cell>
          <cell r="Z418">
            <v>0</v>
          </cell>
          <cell r="AA418"/>
          <cell r="AB418" t="str">
            <v>Active - signed</v>
          </cell>
          <cell r="AC418" t="str">
            <v>ACTIVO</v>
          </cell>
          <cell r="AD418"/>
          <cell r="AE418"/>
          <cell r="AF418"/>
          <cell r="AG418"/>
          <cell r="AH418"/>
          <cell r="AI418" t="str">
            <v>53595149C</v>
          </cell>
        </row>
        <row r="419">
          <cell r="A419" t="str">
            <v>71645609B</v>
          </cell>
          <cell r="B419" t="str">
            <v>García Ocaña</v>
          </cell>
          <cell r="C419" t="str">
            <v>Marcos</v>
          </cell>
          <cell r="D419" t="str">
            <v>García Ocaña, Marcos</v>
          </cell>
          <cell r="E419" t="str">
            <v>marcos.garcia.o</v>
          </cell>
          <cell r="F419" t="str">
            <v>marcos.garcia.o@professional.universidadviu.com</v>
          </cell>
          <cell r="G419" t="str">
            <v>Yes</v>
          </cell>
          <cell r="H419" t="str">
            <v>Yes</v>
          </cell>
          <cell r="I419" t="str">
            <v>Bioquímica</v>
          </cell>
          <cell r="J419" t="str">
            <v>Biología Funcional y Molecular</v>
          </cell>
          <cell r="K419" t="str">
            <v/>
          </cell>
          <cell r="L419" t="str">
            <v/>
          </cell>
          <cell r="M419" t="str">
            <v>Professional</v>
          </cell>
          <cell r="N419" t="str">
            <v/>
          </cell>
          <cell r="O419" t="str">
            <v>CBS</v>
          </cell>
          <cell r="P419">
            <v>0</v>
          </cell>
          <cell r="Q419" t="str">
            <v xml:space="preserve"> </v>
          </cell>
          <cell r="R419"/>
          <cell r="S419"/>
          <cell r="T419" t="str">
            <v>Sin reducción</v>
          </cell>
          <cell r="U419">
            <v>0</v>
          </cell>
          <cell r="V419"/>
          <cell r="W419"/>
          <cell r="X419">
            <v>0</v>
          </cell>
          <cell r="Y419">
            <v>0</v>
          </cell>
          <cell r="Z419">
            <v>0</v>
          </cell>
          <cell r="AA419"/>
          <cell r="AB419" t="str">
            <v>Concluded</v>
          </cell>
          <cell r="AC419" t="str">
            <v>NO ACTIVO</v>
          </cell>
          <cell r="AD419"/>
          <cell r="AE419"/>
          <cell r="AF419">
            <v>45128</v>
          </cell>
          <cell r="AG419" t="str">
            <v>CESE DE CONTRATO</v>
          </cell>
          <cell r="AH419"/>
          <cell r="AI419" t="str">
            <v>71645609B</v>
          </cell>
        </row>
        <row r="420">
          <cell r="A420" t="str">
            <v>20420492B</v>
          </cell>
          <cell r="B420" t="str">
            <v>García Perales</v>
          </cell>
          <cell r="C420" t="str">
            <v>Joan Rafael</v>
          </cell>
          <cell r="D420" t="str">
            <v>García Perales, Joan Rafael</v>
          </cell>
          <cell r="E420" t="str">
            <v>joan.garcia</v>
          </cell>
          <cell r="F420" t="str">
            <v>jgarciap@professor.universidadviu.com</v>
          </cell>
          <cell r="G420" t="str">
            <v>Yes</v>
          </cell>
          <cell r="H420" t="str">
            <v>NO</v>
          </cell>
          <cell r="I420" t="str">
            <v>Programa de Psicología</v>
          </cell>
          <cell r="J420" t="str">
            <v xml:space="preserve">Licenciado en Psicología </v>
          </cell>
          <cell r="K420" t="str">
            <v/>
          </cell>
          <cell r="L420" t="str">
            <v/>
          </cell>
          <cell r="M420" t="str">
            <v>Labour</v>
          </cell>
          <cell r="N420"/>
          <cell r="O420" t="str">
            <v>CSS</v>
          </cell>
          <cell r="P420">
            <v>75</v>
          </cell>
          <cell r="Q420" t="str">
            <v>46</v>
          </cell>
          <cell r="R420" t="str">
            <v>Laboralización marzo</v>
          </cell>
          <cell r="S420"/>
          <cell r="T420" t="str">
            <v>Sin reducción</v>
          </cell>
          <cell r="U420">
            <v>0</v>
          </cell>
          <cell r="V420">
            <v>18</v>
          </cell>
          <cell r="W420" t="str">
            <v>EDUCACIÓN</v>
          </cell>
          <cell r="X420">
            <v>18</v>
          </cell>
          <cell r="Y420">
            <v>0</v>
          </cell>
          <cell r="Z420">
            <v>0</v>
          </cell>
          <cell r="AA420"/>
          <cell r="AB420" t="str">
            <v>Concluded</v>
          </cell>
          <cell r="AC420" t="str">
            <v>ACTIVO</v>
          </cell>
          <cell r="AD420"/>
          <cell r="AE420"/>
          <cell r="AF420"/>
          <cell r="AG420"/>
          <cell r="AH420" t="str">
            <v>PTE. LABORALIZACIÓN/ PROPUESTA LABORAL</v>
          </cell>
          <cell r="AI420" t="str">
            <v>20420492B</v>
          </cell>
        </row>
        <row r="421">
          <cell r="A421" t="str">
            <v>52987921S</v>
          </cell>
          <cell r="B421" t="str">
            <v>García Pérez</v>
          </cell>
          <cell r="C421" t="str">
            <v>Icíar</v>
          </cell>
          <cell r="D421" t="str">
            <v>García Pérez, Icíar</v>
          </cell>
          <cell r="E421" t="str">
            <v>iciar.garcia</v>
          </cell>
          <cell r="F421" t="str">
            <v>iciar.garcia@professor.universidadviu.com</v>
          </cell>
          <cell r="G421" t="str">
            <v>Yes</v>
          </cell>
          <cell r="H421" t="str">
            <v>Yes</v>
          </cell>
          <cell r="I421" t="str">
            <v>Programa de Doctorado en economia y empresa</v>
          </cell>
          <cell r="J421" t="str">
            <v>Doctorado en economia y empresa</v>
          </cell>
          <cell r="K421" t="str">
            <v>Diplomada en estadística</v>
          </cell>
          <cell r="L421" t="str">
            <v>Licenciada en investigación y técnicas de mercado</v>
          </cell>
          <cell r="M421" t="str">
            <v>Labour</v>
          </cell>
          <cell r="N421" t="str">
            <v>Pellín Carcelén, Ana</v>
          </cell>
          <cell r="O421" t="str">
            <v>CBS</v>
          </cell>
          <cell r="P421">
            <v>50</v>
          </cell>
          <cell r="Q421" t="str">
            <v>38</v>
          </cell>
          <cell r="R421"/>
          <cell r="S421"/>
          <cell r="T421" t="str">
            <v>Sin reducción</v>
          </cell>
          <cell r="U421">
            <v>0</v>
          </cell>
          <cell r="V421">
            <v>6</v>
          </cell>
          <cell r="W421" t="str">
            <v>EMPRESA</v>
          </cell>
          <cell r="X421">
            <v>0</v>
          </cell>
          <cell r="Y421">
            <v>0.7</v>
          </cell>
          <cell r="Z421">
            <v>31</v>
          </cell>
          <cell r="AA421"/>
          <cell r="AB421" t="str">
            <v>Active - signed</v>
          </cell>
          <cell r="AC421" t="str">
            <v>ACTIVO</v>
          </cell>
          <cell r="AD421"/>
          <cell r="AE421"/>
          <cell r="AF421"/>
          <cell r="AG421"/>
          <cell r="AH421"/>
          <cell r="AI421" t="str">
            <v>52987921S</v>
          </cell>
        </row>
        <row r="422">
          <cell r="A422" t="str">
            <v>71556178G</v>
          </cell>
          <cell r="B422" t="str">
            <v>García Ríos</v>
          </cell>
          <cell r="C422" t="str">
            <v>Estefani</v>
          </cell>
          <cell r="D422" t="str">
            <v>García Ríos, Estefani</v>
          </cell>
          <cell r="E422" t="str">
            <v>estefani.garcia</v>
          </cell>
          <cell r="F422" t="str">
            <v>estefani.garcia@professor.universidadviu.com</v>
          </cell>
          <cell r="G422" t="str">
            <v>Yes</v>
          </cell>
          <cell r="H422" t="str">
            <v>Yes</v>
          </cell>
          <cell r="I422" t="str">
            <v>Programa Oficial de Doctorado en Biotecnología</v>
          </cell>
          <cell r="J422" t="str">
            <v>Programa Oficial de Doctorado en Biotecnología</v>
          </cell>
          <cell r="K422" t="str">
            <v>Licenciado en Biotecnología</v>
          </cell>
          <cell r="L422" t="str">
            <v>Máster Universitario en Investigación en Biología Molecular, Celular y Genética</v>
          </cell>
          <cell r="M422" t="str">
            <v>Labour</v>
          </cell>
          <cell r="N422"/>
          <cell r="O422" t="str">
            <v>CBS</v>
          </cell>
          <cell r="P422" t="str">
            <v>20,00</v>
          </cell>
          <cell r="Q422" t="b">
            <v>0</v>
          </cell>
          <cell r="R422"/>
          <cell r="S422"/>
          <cell r="T422" t="str">
            <v>Investigador/a Senior</v>
          </cell>
          <cell r="U422" t="str">
            <v>38</v>
          </cell>
          <cell r="V422"/>
          <cell r="W422"/>
          <cell r="X422">
            <v>0</v>
          </cell>
          <cell r="Y422">
            <v>0</v>
          </cell>
          <cell r="Z422">
            <v>0</v>
          </cell>
          <cell r="AA422"/>
          <cell r="AB422" t="str">
            <v>Concluded</v>
          </cell>
          <cell r="AC422" t="str">
            <v>NO ACTIVO</v>
          </cell>
          <cell r="AD422"/>
          <cell r="AE422"/>
          <cell r="AF422">
            <v>45291</v>
          </cell>
          <cell r="AG422" t="str">
            <v>CESE DE CONTRATO</v>
          </cell>
          <cell r="AH422"/>
          <cell r="AI422" t="str">
            <v>71556178G</v>
          </cell>
        </row>
        <row r="423">
          <cell r="A423" t="str">
            <v>Z0048621G</v>
          </cell>
          <cell r="B423" t="str">
            <v>García Rodríguez</v>
          </cell>
          <cell r="C423" t="str">
            <v>Deysi Emilia</v>
          </cell>
          <cell r="D423" t="str">
            <v>García Rodríguez, Deysi Emilia</v>
          </cell>
          <cell r="E423" t="str">
            <v>deysiemilia.garcia</v>
          </cell>
          <cell r="F423" t="str">
            <v>deysiemilia.garcia@professional.universidadviu.com</v>
          </cell>
          <cell r="G423" t="str">
            <v>Yes</v>
          </cell>
          <cell r="H423" t="str">
            <v>NO</v>
          </cell>
          <cell r="I423" t="str">
            <v>Psicología</v>
          </cell>
          <cell r="J423" t="str">
            <v>Master en Psicologia Educativa</v>
          </cell>
          <cell r="K423" t="str">
            <v>Doctora en psicologia</v>
          </cell>
          <cell r="L423" t="str">
            <v/>
          </cell>
          <cell r="M423" t="str">
            <v>Professional</v>
          </cell>
          <cell r="N423" t="str">
            <v/>
          </cell>
          <cell r="O423" t="str">
            <v>CSS</v>
          </cell>
          <cell r="P423">
            <v>0</v>
          </cell>
          <cell r="Q423" t="str">
            <v xml:space="preserve"> </v>
          </cell>
          <cell r="R423"/>
          <cell r="S423"/>
          <cell r="T423" t="str">
            <v>Sin reducción</v>
          </cell>
          <cell r="U423">
            <v>0</v>
          </cell>
          <cell r="V423"/>
          <cell r="W423"/>
          <cell r="X423">
            <v>0</v>
          </cell>
          <cell r="Y423">
            <v>0</v>
          </cell>
          <cell r="Z423">
            <v>0</v>
          </cell>
          <cell r="AA423"/>
          <cell r="AB423" t="str">
            <v>Concluded</v>
          </cell>
          <cell r="AC423" t="str">
            <v>ACTIVO</v>
          </cell>
          <cell r="AD423"/>
          <cell r="AE423"/>
          <cell r="AF423"/>
          <cell r="AG423"/>
          <cell r="AH423"/>
          <cell r="AI423" t="str">
            <v>Z0048621G</v>
          </cell>
        </row>
        <row r="424">
          <cell r="A424" t="str">
            <v>03905301Q</v>
          </cell>
          <cell r="B424" t="str">
            <v>García Romero</v>
          </cell>
          <cell r="C424" t="str">
            <v>Cristina</v>
          </cell>
          <cell r="D424" t="str">
            <v>García Romero, Cristina</v>
          </cell>
          <cell r="E424" t="str">
            <v>cgarciar@professional.universidadviu.com</v>
          </cell>
          <cell r="F424" t="str">
            <v>cgarciar@professional.universidadviu.com</v>
          </cell>
          <cell r="G424" t="str">
            <v>Yes</v>
          </cell>
          <cell r="H424" t="str">
            <v>NO</v>
          </cell>
          <cell r="I424" t="str">
            <v>Doctorado de Educación y Psicología</v>
          </cell>
          <cell r="J424" t="str">
            <v>Máster Universitario en Intervención e Investigación Socioeducativa</v>
          </cell>
          <cell r="K424" t="str">
            <v>Maestra especialidad Educación Física</v>
          </cell>
          <cell r="L424" t="str">
            <v/>
          </cell>
          <cell r="M424" t="str">
            <v>Professional</v>
          </cell>
          <cell r="N424"/>
          <cell r="O424" t="str">
            <v>CSS</v>
          </cell>
          <cell r="P424"/>
          <cell r="Q424" t="str">
            <v xml:space="preserve"> </v>
          </cell>
          <cell r="R424"/>
          <cell r="S424"/>
          <cell r="T424" t="str">
            <v>Sin reducción</v>
          </cell>
          <cell r="U424">
            <v>0</v>
          </cell>
          <cell r="V424"/>
          <cell r="W424"/>
          <cell r="X424">
            <v>0</v>
          </cell>
          <cell r="Y424">
            <v>0</v>
          </cell>
          <cell r="Z424">
            <v>0</v>
          </cell>
          <cell r="AA424"/>
          <cell r="AB424" t="str">
            <v>Active - signed</v>
          </cell>
          <cell r="AC424" t="str">
            <v>ACTIVO</v>
          </cell>
          <cell r="AD424"/>
          <cell r="AE424"/>
          <cell r="AF424"/>
          <cell r="AG424"/>
          <cell r="AH424"/>
          <cell r="AI424" t="str">
            <v>03905301Q</v>
          </cell>
        </row>
        <row r="425">
          <cell r="A425" t="str">
            <v>39405386S</v>
          </cell>
          <cell r="B425" t="str">
            <v>Garcia Rosas</v>
          </cell>
          <cell r="C425" t="str">
            <v>Adrià</v>
          </cell>
          <cell r="D425" t="str">
            <v>Garcia Rosas, Adrià</v>
          </cell>
          <cell r="E425" t="str">
            <v>agarciar@professor.universidadviu.com</v>
          </cell>
          <cell r="F425" t="str">
            <v>agarciar@professor.universidadviu.com</v>
          </cell>
          <cell r="G425" t="str">
            <v>Yes</v>
          </cell>
          <cell r="H425" t="str">
            <v>NO</v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>Labour</v>
          </cell>
          <cell r="N425" t="str">
            <v>Aliño Costa, Marta</v>
          </cell>
          <cell r="O425" t="str">
            <v>CSS</v>
          </cell>
          <cell r="P425">
            <v>50</v>
          </cell>
          <cell r="Q425" t="str">
            <v>38</v>
          </cell>
          <cell r="R425"/>
          <cell r="S425"/>
          <cell r="T425" t="str">
            <v>Sin reducción</v>
          </cell>
          <cell r="U425">
            <v>0</v>
          </cell>
          <cell r="V425"/>
          <cell r="W425"/>
          <cell r="X425">
            <v>23.4</v>
          </cell>
          <cell r="Y425">
            <v>0</v>
          </cell>
          <cell r="Z425">
            <v>0</v>
          </cell>
          <cell r="AA425"/>
          <cell r="AB425" t="str">
            <v>Active - signed</v>
          </cell>
          <cell r="AC425" t="str">
            <v>ACTIVO</v>
          </cell>
          <cell r="AD425"/>
          <cell r="AE425"/>
          <cell r="AF425"/>
          <cell r="AG425"/>
          <cell r="AH425"/>
          <cell r="AI425" t="str">
            <v>39405386S</v>
          </cell>
        </row>
        <row r="426">
          <cell r="A426" t="str">
            <v>48650916M</v>
          </cell>
          <cell r="B426" t="str">
            <v>García Rubio</v>
          </cell>
          <cell r="C426" t="str">
            <v>María José</v>
          </cell>
          <cell r="D426" t="str">
            <v>García Rubio, María José</v>
          </cell>
          <cell r="E426" t="str">
            <v>mariajose.garciar</v>
          </cell>
          <cell r="F426" t="str">
            <v>mariajose.garciar@professor.universidadviu.com</v>
          </cell>
          <cell r="G426" t="str">
            <v>Yes</v>
          </cell>
          <cell r="H426" t="str">
            <v>Yes</v>
          </cell>
          <cell r="I426" t="str">
            <v>Doctorado</v>
          </cell>
          <cell r="J426" t="str">
            <v>Licenciado en Psicología</v>
          </cell>
          <cell r="K426" t="str">
            <v>MU en Formación de Profesorado en Educación Secundaria Obligatoria, Bachillerato</v>
          </cell>
          <cell r="L426" t="str">
            <v>MU en Formación de Profesorado en Educación Secundaria Obligatoria, Bachillerato</v>
          </cell>
          <cell r="M426" t="str">
            <v>Labour</v>
          </cell>
          <cell r="N426" t="str">
            <v>Consultar a VR Investigación</v>
          </cell>
          <cell r="O426" t="str">
            <v>CSS</v>
          </cell>
          <cell r="P426">
            <v>100</v>
          </cell>
          <cell r="Q426" t="str">
            <v>50</v>
          </cell>
          <cell r="R426"/>
          <cell r="S426" t="str">
            <v>2013-2019</v>
          </cell>
          <cell r="T426" t="str">
            <v>Director/a de Cátedra</v>
          </cell>
          <cell r="U426" t="str">
            <v>32</v>
          </cell>
          <cell r="V426"/>
          <cell r="W426"/>
          <cell r="X426">
            <v>14.4</v>
          </cell>
          <cell r="Y426">
            <v>0</v>
          </cell>
          <cell r="Z426">
            <v>0</v>
          </cell>
          <cell r="AA426"/>
          <cell r="AB426" t="str">
            <v>Active - signed</v>
          </cell>
          <cell r="AC426" t="str">
            <v>ACTIVO</v>
          </cell>
          <cell r="AD426">
            <v>46147</v>
          </cell>
          <cell r="AE426">
            <v>46153</v>
          </cell>
          <cell r="AF426"/>
          <cell r="AG426" t="str">
            <v>MATERNIDAD</v>
          </cell>
          <cell r="AH426" t="str">
            <v>fecha parto aprox. mayo</v>
          </cell>
          <cell r="AI426" t="str">
            <v>48650916M</v>
          </cell>
        </row>
        <row r="427">
          <cell r="A427" t="str">
            <v>19883303X</v>
          </cell>
          <cell r="B427" t="str">
            <v>García Tarín</v>
          </cell>
          <cell r="C427" t="str">
            <v>Óscar</v>
          </cell>
          <cell r="D427" t="str">
            <v>García Tarín, Óscar</v>
          </cell>
          <cell r="E427" t="str">
            <v>oscar.garciat</v>
          </cell>
          <cell r="F427" t="str">
            <v>oscar.garciat@professor.universidadviu.com</v>
          </cell>
          <cell r="G427" t="str">
            <v>NO</v>
          </cell>
          <cell r="H427" t="str">
            <v>NO</v>
          </cell>
          <cell r="I427" t="str">
            <v>Psicología</v>
          </cell>
          <cell r="J427" t="str">
            <v/>
          </cell>
          <cell r="K427" t="str">
            <v/>
          </cell>
          <cell r="L427" t="str">
            <v/>
          </cell>
          <cell r="M427" t="str">
            <v>Labour</v>
          </cell>
          <cell r="N427"/>
          <cell r="O427" t="str">
            <v>CSS</v>
          </cell>
          <cell r="P427">
            <v>15</v>
          </cell>
          <cell r="Q427" t="str">
            <v>15</v>
          </cell>
          <cell r="R427"/>
          <cell r="S427"/>
          <cell r="T427" t="str">
            <v>Sin reducción</v>
          </cell>
          <cell r="U427">
            <v>0</v>
          </cell>
          <cell r="V427"/>
          <cell r="W427"/>
          <cell r="X427">
            <v>0</v>
          </cell>
          <cell r="Y427">
            <v>0</v>
          </cell>
          <cell r="Z427">
            <v>0</v>
          </cell>
          <cell r="AA427"/>
          <cell r="AB427" t="str">
            <v>Active - signed</v>
          </cell>
          <cell r="AC427" t="str">
            <v>NO ACTIVO</v>
          </cell>
          <cell r="AD427"/>
          <cell r="AE427"/>
          <cell r="AF427">
            <v>45853</v>
          </cell>
          <cell r="AG427" t="str">
            <v>CESE DE CONTRATO</v>
          </cell>
          <cell r="AH427" t="str">
            <v>Jubilacióin en julio; no sé fecha</v>
          </cell>
          <cell r="AI427" t="str">
            <v>19883303X</v>
          </cell>
        </row>
        <row r="428">
          <cell r="A428" t="str">
            <v>73571959L</v>
          </cell>
          <cell r="B428" t="str">
            <v>García Tejedor</v>
          </cell>
          <cell r="C428" t="str">
            <v>Aurora</v>
          </cell>
          <cell r="D428" t="str">
            <v>García Tejedor, Aurora</v>
          </cell>
          <cell r="E428" t="str">
            <v>aurora.garciat</v>
          </cell>
          <cell r="F428" t="str">
            <v>aurora.garciat@professor.universidadviu.com</v>
          </cell>
          <cell r="G428" t="str">
            <v>Yes</v>
          </cell>
          <cell r="H428" t="str">
            <v>Yes</v>
          </cell>
          <cell r="I428" t="str">
            <v>Doctorado</v>
          </cell>
          <cell r="J428" t="str">
            <v>Doctorado</v>
          </cell>
          <cell r="K428" t="str">
            <v>Licenciado en Ciencia y Tecnología de los Alimentos</v>
          </cell>
          <cell r="L428" t="str">
            <v>Graduada en Nutrición Humana y Dietética</v>
          </cell>
          <cell r="M428" t="str">
            <v>Labour</v>
          </cell>
          <cell r="N428" t="str">
            <v>Gea Caballero, Vicente Antonio</v>
          </cell>
          <cell r="O428" t="str">
            <v>CBS</v>
          </cell>
          <cell r="P428">
            <v>100</v>
          </cell>
          <cell r="Q428" t="str">
            <v>50</v>
          </cell>
          <cell r="R428"/>
          <cell r="S428" t="str">
            <v>2012-2020</v>
          </cell>
          <cell r="T428" t="str">
            <v>Vicedecano/a</v>
          </cell>
          <cell r="U428" t="str">
            <v>38</v>
          </cell>
          <cell r="V428"/>
          <cell r="W428"/>
          <cell r="X428">
            <v>0</v>
          </cell>
          <cell r="Y428">
            <v>14.3</v>
          </cell>
          <cell r="Z428">
            <v>12</v>
          </cell>
          <cell r="AA428"/>
          <cell r="AB428" t="str">
            <v>Active - signed</v>
          </cell>
          <cell r="AC428" t="str">
            <v>ACTIVO</v>
          </cell>
          <cell r="AD428"/>
          <cell r="AE428"/>
          <cell r="AF428"/>
          <cell r="AG428"/>
          <cell r="AH428"/>
          <cell r="AI428" t="str">
            <v>73571959L</v>
          </cell>
        </row>
        <row r="429">
          <cell r="A429" t="str">
            <v>77559873D</v>
          </cell>
          <cell r="B429" t="str">
            <v>García Valdecasas Prieto</v>
          </cell>
          <cell r="C429" t="str">
            <v>Marina</v>
          </cell>
          <cell r="D429" t="str">
            <v>García Valdecasas Prieto, Marina</v>
          </cell>
          <cell r="E429" t="str">
            <v>mgarciavaldecasasp@professional.universidadviu.com</v>
          </cell>
          <cell r="F429" t="str">
            <v>mgarciavaldecasasp@professional.universidadviu.com</v>
          </cell>
          <cell r="G429" t="str">
            <v>Yes</v>
          </cell>
          <cell r="H429" t="str">
            <v>NO</v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>Professional</v>
          </cell>
          <cell r="N429"/>
          <cell r="O429" t="str">
            <v>CSS</v>
          </cell>
          <cell r="P429">
            <v>0</v>
          </cell>
          <cell r="Q429" t="str">
            <v xml:space="preserve"> </v>
          </cell>
          <cell r="R429"/>
          <cell r="S429"/>
          <cell r="T429" t="str">
            <v>Sin reducción</v>
          </cell>
          <cell r="U429">
            <v>0</v>
          </cell>
          <cell r="V429"/>
          <cell r="W429"/>
          <cell r="X429">
            <v>0</v>
          </cell>
          <cell r="Y429">
            <v>0</v>
          </cell>
          <cell r="Z429">
            <v>0</v>
          </cell>
          <cell r="AA429"/>
          <cell r="AB429" t="str">
            <v>Active - signed</v>
          </cell>
          <cell r="AC429" t="str">
            <v>ACTIVO</v>
          </cell>
          <cell r="AD429"/>
          <cell r="AE429"/>
          <cell r="AF429"/>
          <cell r="AG429"/>
          <cell r="AH429"/>
          <cell r="AI429" t="str">
            <v>77559873D</v>
          </cell>
        </row>
        <row r="430">
          <cell r="A430" t="str">
            <v>70917060X</v>
          </cell>
          <cell r="B430" t="str">
            <v>García Vela</v>
          </cell>
          <cell r="C430" t="str">
            <v>Sara</v>
          </cell>
          <cell r="D430" t="str">
            <v>García Vela, Sara</v>
          </cell>
          <cell r="E430" t="str">
            <v>sara.garcia0@professor.universidadviu.com</v>
          </cell>
          <cell r="F430" t="str">
            <v>sara.garcia0@professor.universidadviu.com</v>
          </cell>
          <cell r="G430" t="str">
            <v>Yes</v>
          </cell>
          <cell r="H430" t="str">
            <v>NO</v>
          </cell>
          <cell r="I430" t="str">
            <v>Programa de Doctorado en Ciencias Biomédicas y Biotecnológicas</v>
          </cell>
          <cell r="J430" t="str">
            <v>Máster Universitario en Microbiología y Salud</v>
          </cell>
          <cell r="K430" t="str">
            <v>Grado en Biología</v>
          </cell>
          <cell r="L430" t="str">
            <v/>
          </cell>
          <cell r="M430" t="str">
            <v>Labour</v>
          </cell>
          <cell r="N430" t="str">
            <v>Morell Esteve, Pere</v>
          </cell>
          <cell r="O430" t="str">
            <v>CBS</v>
          </cell>
          <cell r="P430">
            <v>100</v>
          </cell>
          <cell r="Q430" t="str">
            <v>50</v>
          </cell>
          <cell r="R430"/>
          <cell r="S430"/>
          <cell r="T430" t="str">
            <v>Sin reducción</v>
          </cell>
          <cell r="U430">
            <v>0</v>
          </cell>
          <cell r="V430"/>
          <cell r="W430"/>
          <cell r="X430">
            <v>0</v>
          </cell>
          <cell r="Y430">
            <v>49.3</v>
          </cell>
          <cell r="Z430">
            <v>0</v>
          </cell>
          <cell r="AA430"/>
          <cell r="AB430" t="str">
            <v>Active - signed</v>
          </cell>
          <cell r="AC430" t="str">
            <v>ACTIVO</v>
          </cell>
          <cell r="AD430"/>
          <cell r="AE430"/>
          <cell r="AF430"/>
          <cell r="AG430"/>
          <cell r="AH430"/>
          <cell r="AI430" t="str">
            <v>70917060X</v>
          </cell>
        </row>
        <row r="431">
          <cell r="A431" t="str">
            <v>52726229V</v>
          </cell>
          <cell r="B431" t="str">
            <v>García Vicente</v>
          </cell>
          <cell r="C431" t="str">
            <v>Sergio</v>
          </cell>
          <cell r="D431" t="str">
            <v>García Vicente, Sergio</v>
          </cell>
          <cell r="E431" t="str">
            <v>sergio.garciav</v>
          </cell>
          <cell r="F431" t="str">
            <v>sergio.garciav@professional.universidadviu.com</v>
          </cell>
          <cell r="G431" t="str">
            <v>Yes</v>
          </cell>
          <cell r="H431" t="str">
            <v>Yes</v>
          </cell>
          <cell r="I431" t="str">
            <v>Medicina</v>
          </cell>
          <cell r="J431" t="str">
            <v>Medicina y Cirugía</v>
          </cell>
          <cell r="K431" t="str">
            <v/>
          </cell>
          <cell r="L431" t="str">
            <v/>
          </cell>
          <cell r="M431" t="str">
            <v>Professional</v>
          </cell>
          <cell r="N431" t="str">
            <v/>
          </cell>
          <cell r="O431" t="str">
            <v>CBS</v>
          </cell>
          <cell r="P431">
            <v>0</v>
          </cell>
          <cell r="Q431" t="str">
            <v xml:space="preserve"> </v>
          </cell>
          <cell r="R431"/>
          <cell r="S431"/>
          <cell r="T431" t="str">
            <v>Sin reducción</v>
          </cell>
          <cell r="U431">
            <v>0</v>
          </cell>
          <cell r="V431"/>
          <cell r="W431"/>
          <cell r="X431">
            <v>0</v>
          </cell>
          <cell r="Y431">
            <v>0</v>
          </cell>
          <cell r="Z431">
            <v>0</v>
          </cell>
          <cell r="AA431"/>
          <cell r="AB431" t="str">
            <v>Active - signed</v>
          </cell>
          <cell r="AC431" t="str">
            <v>ACTIVO</v>
          </cell>
          <cell r="AD431"/>
          <cell r="AE431"/>
          <cell r="AF431"/>
          <cell r="AG431"/>
          <cell r="AH431"/>
          <cell r="AI431" t="str">
            <v>52726229V</v>
          </cell>
        </row>
        <row r="432">
          <cell r="A432" t="str">
            <v>75718959S</v>
          </cell>
          <cell r="B432" t="str">
            <v>García Vita</v>
          </cell>
          <cell r="C432" t="str">
            <v>María del Mar</v>
          </cell>
          <cell r="D432" t="str">
            <v>García Vita, María del Mar</v>
          </cell>
          <cell r="E432" t="str">
            <v>mar.garcia.v</v>
          </cell>
          <cell r="F432" t="str">
            <v>mar.garcia.v@professional.universidadviu.com</v>
          </cell>
          <cell r="G432" t="str">
            <v>Yes</v>
          </cell>
          <cell r="H432" t="str">
            <v>Yes</v>
          </cell>
          <cell r="I432" t="str">
            <v>Master universitario en profesorado de enseñanza secundaria obligatoria y bachillerato, FP y enseñanza de idiomas</v>
          </cell>
          <cell r="J432" t="str">
            <v>Doctorado en Ciencias de la Educación</v>
          </cell>
          <cell r="K432" t="str">
            <v/>
          </cell>
          <cell r="L432" t="str">
            <v/>
          </cell>
          <cell r="M432" t="str">
            <v>Professional</v>
          </cell>
          <cell r="N432" t="str">
            <v/>
          </cell>
          <cell r="O432" t="str">
            <v>CSS</v>
          </cell>
          <cell r="P432">
            <v>0</v>
          </cell>
          <cell r="Q432" t="str">
            <v xml:space="preserve"> </v>
          </cell>
          <cell r="R432"/>
          <cell r="S432"/>
          <cell r="T432" t="str">
            <v>Sin reducción</v>
          </cell>
          <cell r="U432">
            <v>0</v>
          </cell>
          <cell r="V432"/>
          <cell r="W432"/>
          <cell r="X432">
            <v>0</v>
          </cell>
          <cell r="Y432">
            <v>0</v>
          </cell>
          <cell r="Z432">
            <v>0</v>
          </cell>
          <cell r="AA432"/>
          <cell r="AB432" t="str">
            <v>Active - signed</v>
          </cell>
          <cell r="AC432" t="str">
            <v>ACTIVO</v>
          </cell>
          <cell r="AD432"/>
          <cell r="AE432"/>
          <cell r="AF432"/>
          <cell r="AG432"/>
          <cell r="AH432"/>
          <cell r="AI432" t="str">
            <v>75718959S</v>
          </cell>
        </row>
        <row r="433">
          <cell r="A433" t="str">
            <v>53197246V</v>
          </cell>
          <cell r="B433" t="str">
            <v>Garrido Chaves</v>
          </cell>
          <cell r="C433" t="str">
            <v>Ruth</v>
          </cell>
          <cell r="D433" t="str">
            <v>Garrido Chaves, Ruth</v>
          </cell>
          <cell r="E433" t="str">
            <v>rgarridoc@professor.universidadviu.com</v>
          </cell>
          <cell r="F433" t="str">
            <v>rgarridoc@professor.universidadviu.com</v>
          </cell>
          <cell r="G433" t="str">
            <v>Yes</v>
          </cell>
          <cell r="H433" t="str">
            <v>NO</v>
          </cell>
          <cell r="I433" t="str">
            <v>Licenciada en Psicología</v>
          </cell>
          <cell r="J433" t="str">
            <v>Máster Universitario en Psicología General Sanitaria</v>
          </cell>
          <cell r="K433" t="str">
            <v>Máster Universitario en Neurociencia: Especialidad en Neurobiología Celular y Molecular</v>
          </cell>
          <cell r="L433" t="str">
            <v>Máster Universitario en Neurociencia: Especialidad en Neurobiología Celular y Molecular</v>
          </cell>
          <cell r="M433" t="str">
            <v>Labour</v>
          </cell>
          <cell r="N433" t="str">
            <v>Cairós González, Mariana Elena</v>
          </cell>
          <cell r="O433" t="str">
            <v>CSS</v>
          </cell>
          <cell r="P433">
            <v>100</v>
          </cell>
          <cell r="Q433" t="str">
            <v>50</v>
          </cell>
          <cell r="R433"/>
          <cell r="S433"/>
          <cell r="T433" t="str">
            <v>Sin reducción</v>
          </cell>
          <cell r="U433">
            <v>0</v>
          </cell>
          <cell r="V433"/>
          <cell r="W433"/>
          <cell r="X433">
            <v>29.2</v>
          </cell>
          <cell r="Y433">
            <v>0</v>
          </cell>
          <cell r="Z433">
            <v>6.7</v>
          </cell>
          <cell r="AA433"/>
          <cell r="AB433" t="str">
            <v>Active - IT leave</v>
          </cell>
          <cell r="AC433" t="str">
            <v>ACTIVO</v>
          </cell>
          <cell r="AD433">
            <v>45759</v>
          </cell>
          <cell r="AE433">
            <v>46070</v>
          </cell>
          <cell r="AF433"/>
          <cell r="AG433" t="str">
            <v>ENFERMEDAD</v>
          </cell>
          <cell r="AH433"/>
          <cell r="AI433" t="str">
            <v>53197246V</v>
          </cell>
        </row>
        <row r="434">
          <cell r="A434" t="str">
            <v>26479015N</v>
          </cell>
          <cell r="B434" t="str">
            <v>Garrido Martínez</v>
          </cell>
          <cell r="C434" t="str">
            <v>Nicolás</v>
          </cell>
          <cell r="D434" t="str">
            <v>Garrido Martínez, Nicolás</v>
          </cell>
          <cell r="E434" t="str">
            <v>ngarridom@professional.universidadviu.com</v>
          </cell>
          <cell r="F434" t="str">
            <v>ngarridom@professional.universidadviu.com</v>
          </cell>
          <cell r="G434" t="str">
            <v>NO</v>
          </cell>
          <cell r="H434" t="str">
            <v>NO</v>
          </cell>
          <cell r="I434" t="str">
            <v>Máster en Terapia de Conducta</v>
          </cell>
          <cell r="J434" t="str">
            <v>Licenciado en Filosofía y Letras (Filosofía y Ciencias de la Educación. Sección Psicología</v>
          </cell>
          <cell r="K434" t="str">
            <v/>
          </cell>
          <cell r="L434" t="str">
            <v/>
          </cell>
          <cell r="M434" t="str">
            <v>Professional</v>
          </cell>
          <cell r="N434" t="str">
            <v/>
          </cell>
          <cell r="O434" t="str">
            <v>CSS</v>
          </cell>
          <cell r="P434">
            <v>0</v>
          </cell>
          <cell r="Q434" t="str">
            <v xml:space="preserve"> </v>
          </cell>
          <cell r="R434"/>
          <cell r="S434"/>
          <cell r="T434" t="str">
            <v>Sin reducción</v>
          </cell>
          <cell r="U434">
            <v>0</v>
          </cell>
          <cell r="V434"/>
          <cell r="W434"/>
          <cell r="X434">
            <v>0</v>
          </cell>
          <cell r="Y434">
            <v>0</v>
          </cell>
          <cell r="Z434">
            <v>0</v>
          </cell>
          <cell r="AA434"/>
          <cell r="AB434" t="str">
            <v>Active - signed</v>
          </cell>
          <cell r="AC434" t="str">
            <v>ACTIVO</v>
          </cell>
          <cell r="AD434"/>
          <cell r="AE434"/>
          <cell r="AF434"/>
          <cell r="AG434"/>
          <cell r="AH434"/>
          <cell r="AI434" t="str">
            <v>26479015N</v>
          </cell>
        </row>
        <row r="435">
          <cell r="A435" t="str">
            <v>48444429N</v>
          </cell>
          <cell r="B435" t="str">
            <v>Garzón Garzón</v>
          </cell>
          <cell r="C435" t="str">
            <v>María José</v>
          </cell>
          <cell r="D435" t="str">
            <v>Garzón Garzón, María José</v>
          </cell>
          <cell r="E435" t="str">
            <v>mariajose.garzon</v>
          </cell>
          <cell r="F435" t="str">
            <v>mariajose.garzon@professional.universidadviu.com</v>
          </cell>
          <cell r="G435" t="str">
            <v>Yes</v>
          </cell>
          <cell r="H435" t="str">
            <v>NO</v>
          </cell>
          <cell r="I435" t="str">
            <v>Bioquímica</v>
          </cell>
          <cell r="J435" t="str">
            <v>Biotecnología</v>
          </cell>
          <cell r="K435" t="str">
            <v>Master Bioinformática</v>
          </cell>
          <cell r="L435" t="str">
            <v>Master biología molecular, celular y genética</v>
          </cell>
          <cell r="M435" t="str">
            <v>Professional</v>
          </cell>
          <cell r="N435" t="str">
            <v/>
          </cell>
          <cell r="O435" t="str">
            <v>CBS</v>
          </cell>
          <cell r="P435">
            <v>0</v>
          </cell>
          <cell r="Q435" t="str">
            <v xml:space="preserve"> </v>
          </cell>
          <cell r="R435"/>
          <cell r="S435"/>
          <cell r="T435" t="str">
            <v>Sin reducción</v>
          </cell>
          <cell r="U435">
            <v>0</v>
          </cell>
          <cell r="V435"/>
          <cell r="W435"/>
          <cell r="X435">
            <v>0</v>
          </cell>
          <cell r="Y435">
            <v>0</v>
          </cell>
          <cell r="Z435">
            <v>0</v>
          </cell>
          <cell r="AA435"/>
          <cell r="AB435" t="str">
            <v>Concluded</v>
          </cell>
          <cell r="AC435" t="str">
            <v>NO ACTIVO</v>
          </cell>
          <cell r="AD435"/>
          <cell r="AE435"/>
          <cell r="AF435">
            <v>45247</v>
          </cell>
          <cell r="AG435" t="str">
            <v>CESE DE CONTRATO</v>
          </cell>
          <cell r="AH435"/>
          <cell r="AI435" t="str">
            <v>48444429N</v>
          </cell>
        </row>
        <row r="436">
          <cell r="A436" t="str">
            <v>28867273L</v>
          </cell>
          <cell r="B436" t="str">
            <v>Gascón Aguilar</v>
          </cell>
          <cell r="C436" t="str">
            <v>Mariló</v>
          </cell>
          <cell r="D436" t="str">
            <v>Gascón Aguilar, Mariló</v>
          </cell>
          <cell r="E436" t="str">
            <v>marilo.gascon</v>
          </cell>
          <cell r="F436" t="str">
            <v>marilo.gascon@professional.universidadviu.com</v>
          </cell>
          <cell r="G436" t="str">
            <v>NO</v>
          </cell>
          <cell r="H436" t="str">
            <v>NO</v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>Professional</v>
          </cell>
          <cell r="N436" t="str">
            <v/>
          </cell>
          <cell r="O436" t="str">
            <v>CSS</v>
          </cell>
          <cell r="P436">
            <v>0</v>
          </cell>
          <cell r="Q436" t="str">
            <v xml:space="preserve"> </v>
          </cell>
          <cell r="R436"/>
          <cell r="S436"/>
          <cell r="T436" t="str">
            <v>Sin reducción</v>
          </cell>
          <cell r="U436">
            <v>0</v>
          </cell>
          <cell r="V436"/>
          <cell r="W436"/>
          <cell r="X436">
            <v>0</v>
          </cell>
          <cell r="Y436">
            <v>0</v>
          </cell>
          <cell r="Z436">
            <v>0</v>
          </cell>
          <cell r="AA436"/>
          <cell r="AB436" t="str">
            <v>Active - signed</v>
          </cell>
          <cell r="AC436" t="str">
            <v>ACTIVO</v>
          </cell>
          <cell r="AD436"/>
          <cell r="AE436"/>
          <cell r="AF436"/>
          <cell r="AG436"/>
          <cell r="AH436"/>
          <cell r="AI436" t="str">
            <v>28867273L</v>
          </cell>
        </row>
        <row r="437">
          <cell r="A437" t="str">
            <v>53518360M</v>
          </cell>
          <cell r="B437" t="str">
            <v>Gayol Samutlom</v>
          </cell>
          <cell r="C437" t="str">
            <v>Jorge</v>
          </cell>
          <cell r="D437" t="str">
            <v>Gayol Samutlom, Jorge</v>
          </cell>
          <cell r="E437" t="e">
            <v>#VALUE!</v>
          </cell>
          <cell r="F437" t="str">
            <v>jorge.gayol.s@professor.universidadviu.com</v>
          </cell>
          <cell r="G437" t="e">
            <v>#VALUE!</v>
          </cell>
          <cell r="H437" t="e">
            <v>#VALUE!</v>
          </cell>
          <cell r="I437" t="str">
            <v>Enfermería</v>
          </cell>
          <cell r="J437" t="str">
            <v>Master Universitario en Direccion y Gestion de Enfermeria</v>
          </cell>
          <cell r="K437" t="str">
            <v/>
          </cell>
          <cell r="L437" t="str">
            <v/>
          </cell>
          <cell r="M437" t="e">
            <v>#VALUE!</v>
          </cell>
          <cell r="N437" t="str">
            <v/>
          </cell>
          <cell r="O437" t="str">
            <v>CBS</v>
          </cell>
          <cell r="P437" t="str">
            <v xml:space="preserve"> </v>
          </cell>
          <cell r="Q437" t="b">
            <v>0</v>
          </cell>
          <cell r="R437"/>
          <cell r="S437"/>
          <cell r="T437" t="str">
            <v>Sin reducción</v>
          </cell>
          <cell r="U437">
            <v>0</v>
          </cell>
          <cell r="V437"/>
          <cell r="W437"/>
          <cell r="X437">
            <v>0</v>
          </cell>
          <cell r="Y437">
            <v>0</v>
          </cell>
          <cell r="Z437">
            <v>0</v>
          </cell>
          <cell r="AA437"/>
          <cell r="AB437" t="e">
            <v>#VALUE!</v>
          </cell>
          <cell r="AC437" t="str">
            <v>BAJA TEMPORAL</v>
          </cell>
          <cell r="AD437">
            <v>45559</v>
          </cell>
          <cell r="AE437">
            <v>46289</v>
          </cell>
          <cell r="AF437"/>
          <cell r="AG437" t="str">
            <v>EXCEDENCIA</v>
          </cell>
          <cell r="AH437"/>
          <cell r="AI437" t="str">
            <v>53518360M</v>
          </cell>
        </row>
        <row r="438">
          <cell r="A438" t="str">
            <v>73944194E</v>
          </cell>
          <cell r="B438" t="str">
            <v>Gea Caballero</v>
          </cell>
          <cell r="C438" t="str">
            <v>Vicente Antonio</v>
          </cell>
          <cell r="D438" t="str">
            <v>Gea Caballero, Vicente Antonio</v>
          </cell>
          <cell r="E438" t="str">
            <v>vicenteantonio.gea</v>
          </cell>
          <cell r="F438" t="str">
            <v>vicenteantonio.gea1@professor.universidadviu.com</v>
          </cell>
          <cell r="G438" t="str">
            <v>Yes</v>
          </cell>
          <cell r="H438" t="str">
            <v>Yes</v>
          </cell>
          <cell r="I438" t="str">
            <v>Doctorado en Ciencias de la Salud, Enfermería Comunitaria</v>
          </cell>
          <cell r="J438" t="str">
            <v>Doctorado en Ciencias de la Salud, Enfermería Comunitaria</v>
          </cell>
          <cell r="K438" t="str">
            <v>Graduado/a en Enfermeria</v>
          </cell>
          <cell r="L438" t="str">
            <v/>
          </cell>
          <cell r="M438" t="str">
            <v>Labour</v>
          </cell>
          <cell r="N438" t="str">
            <v>Eva María Giner</v>
          </cell>
          <cell r="O438" t="str">
            <v>CBS</v>
          </cell>
          <cell r="P438">
            <v>100</v>
          </cell>
          <cell r="Q438" t="str">
            <v>50</v>
          </cell>
          <cell r="R438"/>
          <cell r="S438" t="str">
            <v>1er 2014-2019</v>
          </cell>
          <cell r="T438" t="str">
            <v>Decano/a</v>
          </cell>
          <cell r="U438">
            <v>44</v>
          </cell>
          <cell r="V438"/>
          <cell r="W438"/>
          <cell r="X438">
            <v>0</v>
          </cell>
          <cell r="Y438">
            <v>0.7</v>
          </cell>
          <cell r="Z438">
            <v>0.7</v>
          </cell>
          <cell r="AA438"/>
          <cell r="AB438" t="str">
            <v>Active - signed</v>
          </cell>
          <cell r="AC438" t="str">
            <v>ACTIVO</v>
          </cell>
          <cell r="AD438"/>
          <cell r="AE438"/>
          <cell r="AF438"/>
          <cell r="AG438"/>
          <cell r="AH438"/>
          <cell r="AI438" t="str">
            <v>73944194E</v>
          </cell>
        </row>
        <row r="439">
          <cell r="A439">
            <v>20306514912</v>
          </cell>
          <cell r="B439" t="str">
            <v>Genise</v>
          </cell>
          <cell r="C439" t="str">
            <v>Nicolás</v>
          </cell>
          <cell r="D439" t="str">
            <v>Genise, Nicolás</v>
          </cell>
          <cell r="E439" t="str">
            <v>ngenise@professional.universidadviu.com</v>
          </cell>
          <cell r="F439" t="str">
            <v>ngenise@professional.universidadviu.com</v>
          </cell>
          <cell r="G439" t="str">
            <v>NO</v>
          </cell>
          <cell r="H439" t="str">
            <v>NO</v>
          </cell>
          <cell r="I439" t="str">
            <v>Doctorado en Psicologia con mención en Sistémica, Cognitiva,  y Neurociencias</v>
          </cell>
          <cell r="J439" t="str">
            <v>Licenciatura en Psicopedagogia</v>
          </cell>
          <cell r="K439" t="str">
            <v>Licenciatura en Psicología</v>
          </cell>
          <cell r="L439" t="str">
            <v/>
          </cell>
          <cell r="M439" t="str">
            <v>Professional</v>
          </cell>
          <cell r="N439" t="str">
            <v/>
          </cell>
          <cell r="O439" t="str">
            <v>CSS</v>
          </cell>
          <cell r="P439">
            <v>0</v>
          </cell>
          <cell r="Q439" t="str">
            <v xml:space="preserve"> </v>
          </cell>
          <cell r="R439"/>
          <cell r="S439"/>
          <cell r="T439" t="str">
            <v>Sin reducción</v>
          </cell>
          <cell r="U439">
            <v>0</v>
          </cell>
          <cell r="V439"/>
          <cell r="W439"/>
          <cell r="X439">
            <v>0</v>
          </cell>
          <cell r="Y439">
            <v>0</v>
          </cell>
          <cell r="Z439">
            <v>0</v>
          </cell>
          <cell r="AA439"/>
          <cell r="AB439" t="str">
            <v>Active - signed</v>
          </cell>
          <cell r="AC439" t="str">
            <v>ACTIVO</v>
          </cell>
          <cell r="AD439"/>
          <cell r="AE439"/>
          <cell r="AF439"/>
          <cell r="AG439"/>
          <cell r="AH439"/>
          <cell r="AI439">
            <v>20306514912</v>
          </cell>
        </row>
        <row r="440">
          <cell r="A440" t="str">
            <v>71190245R</v>
          </cell>
          <cell r="B440" t="str">
            <v>Gil Bernabé</v>
          </cell>
          <cell r="C440" t="str">
            <v>Sara</v>
          </cell>
          <cell r="D440" t="str">
            <v>Gil Bernabé, Sara</v>
          </cell>
          <cell r="E440" t="str">
            <v>sgilb@professor.universidadviu.com</v>
          </cell>
          <cell r="F440" t="str">
            <v>sgilb@professor.universidadviu.com</v>
          </cell>
          <cell r="G440" t="str">
            <v>Yes</v>
          </cell>
          <cell r="H440" t="str">
            <v>NO</v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>Labour</v>
          </cell>
          <cell r="N440" t="str">
            <v>Morell Esteve, Pere</v>
          </cell>
          <cell r="O440" t="str">
            <v>CBS</v>
          </cell>
          <cell r="P440">
            <v>100</v>
          </cell>
          <cell r="Q440" t="str">
            <v>50</v>
          </cell>
          <cell r="R440"/>
          <cell r="S440"/>
          <cell r="T440" t="str">
            <v>Subdirector/Coordinador de Grado - 2 ediciones</v>
          </cell>
          <cell r="U440">
            <v>38</v>
          </cell>
          <cell r="V440"/>
          <cell r="W440"/>
          <cell r="X440">
            <v>0</v>
          </cell>
          <cell r="Y440">
            <v>22.6</v>
          </cell>
          <cell r="Z440">
            <v>1.8</v>
          </cell>
          <cell r="AA440"/>
          <cell r="AB440" t="str">
            <v>Active - signed</v>
          </cell>
          <cell r="AC440" t="str">
            <v>ACTIVO</v>
          </cell>
          <cell r="AD440"/>
          <cell r="AE440"/>
          <cell r="AF440"/>
          <cell r="AG440"/>
          <cell r="AH440"/>
          <cell r="AI440" t="str">
            <v>71190245R</v>
          </cell>
        </row>
        <row r="441">
          <cell r="A441" t="str">
            <v>52015023V</v>
          </cell>
          <cell r="B441" t="str">
            <v>Gil Rodríguez</v>
          </cell>
          <cell r="C441" t="str">
            <v>Héctor</v>
          </cell>
          <cell r="D441" t="str">
            <v>Gil Rodríguez, Héctor</v>
          </cell>
          <cell r="E441" t="str">
            <v>hector.gil</v>
          </cell>
          <cell r="F441"/>
          <cell r="G441" t="str">
            <v>Yes</v>
          </cell>
          <cell r="H441" t="str">
            <v>Yes</v>
          </cell>
          <cell r="I441" t="str">
            <v>Trabajo social</v>
          </cell>
          <cell r="J441" t="str">
            <v>Máster en Métodos y Técnicas de Investigación Aplicadas al Trabajo Social</v>
          </cell>
          <cell r="K441" t="str">
            <v>Doctorado en Trabajo Social</v>
          </cell>
          <cell r="L441" t="str">
            <v/>
          </cell>
          <cell r="M441" t="str">
            <v>Professional</v>
          </cell>
          <cell r="N441" t="str">
            <v/>
          </cell>
          <cell r="O441" t="str">
            <v>CSS</v>
          </cell>
          <cell r="P441">
            <v>0</v>
          </cell>
          <cell r="Q441" t="str">
            <v xml:space="preserve"> </v>
          </cell>
          <cell r="R441"/>
          <cell r="S441"/>
          <cell r="T441" t="str">
            <v>Sin reducción</v>
          </cell>
          <cell r="U441">
            <v>0</v>
          </cell>
          <cell r="V441"/>
          <cell r="W441"/>
          <cell r="X441">
            <v>0</v>
          </cell>
          <cell r="Y441">
            <v>0</v>
          </cell>
          <cell r="Z441">
            <v>0</v>
          </cell>
          <cell r="AA441"/>
          <cell r="AB441" t="str">
            <v>Active - signed</v>
          </cell>
          <cell r="AC441" t="str">
            <v>ACTIVO</v>
          </cell>
          <cell r="AD441"/>
          <cell r="AE441"/>
          <cell r="AF441"/>
          <cell r="AG441"/>
          <cell r="AH441"/>
          <cell r="AI441" t="str">
            <v>52015023V</v>
          </cell>
        </row>
        <row r="442">
          <cell r="A442" t="str">
            <v>48580523S</v>
          </cell>
          <cell r="B442" t="str">
            <v>Gil Salmerón</v>
          </cell>
          <cell r="C442" t="str">
            <v>Alejandro</v>
          </cell>
          <cell r="D442" t="str">
            <v>Gil Salmerón, Alejandro</v>
          </cell>
          <cell r="E442" t="str">
            <v>alejandro.gils</v>
          </cell>
          <cell r="F442" t="str">
            <v>alejandro.gils@professor.universidadviu.com</v>
          </cell>
          <cell r="G442" t="str">
            <v>NO</v>
          </cell>
          <cell r="H442" t="str">
            <v>NO</v>
          </cell>
          <cell r="I442" t="str">
            <v>Trabajo social</v>
          </cell>
          <cell r="J442" t="str">
            <v>Master Universitario en Bienestar Social: Intervención Familiar</v>
          </cell>
          <cell r="K442" t="str">
            <v/>
          </cell>
          <cell r="L442" t="str">
            <v/>
          </cell>
          <cell r="M442" t="str">
            <v>Labour</v>
          </cell>
          <cell r="N442" t="str">
            <v>Mesas Fernández, Javier</v>
          </cell>
          <cell r="O442" t="str">
            <v>CSS</v>
          </cell>
          <cell r="P442" t="str">
            <v>40,00</v>
          </cell>
          <cell r="Q442" t="b">
            <v>0</v>
          </cell>
          <cell r="R442"/>
          <cell r="S442"/>
          <cell r="T442" t="str">
            <v>Sin reducción</v>
          </cell>
          <cell r="U442">
            <v>0</v>
          </cell>
          <cell r="V442">
            <v>12</v>
          </cell>
          <cell r="W442" t="str">
            <v>JURÍDICO</v>
          </cell>
          <cell r="X442">
            <v>0</v>
          </cell>
          <cell r="Y442">
            <v>0</v>
          </cell>
          <cell r="Z442">
            <v>0</v>
          </cell>
          <cell r="AA442"/>
          <cell r="AB442" t="str">
            <v>Concluded</v>
          </cell>
          <cell r="AC442" t="str">
            <v>NO ACTIVO</v>
          </cell>
          <cell r="AD442"/>
          <cell r="AE442"/>
          <cell r="AF442">
            <v>45919</v>
          </cell>
          <cell r="AG442" t="str">
            <v>CESE DE CONTRATO</v>
          </cell>
          <cell r="AH442"/>
          <cell r="AI442" t="str">
            <v>48580523S</v>
          </cell>
        </row>
        <row r="443">
          <cell r="A443" t="str">
            <v>05684291W</v>
          </cell>
          <cell r="B443" t="str">
            <v>Giménez de los Galanes Aguirre</v>
          </cell>
          <cell r="C443" t="str">
            <v>Jesús Vicente</v>
          </cell>
          <cell r="D443" t="str">
            <v>Giménez de los Galanes Aguirre, Jesús Vicente</v>
          </cell>
          <cell r="E443" t="str">
            <v>jesusvicente.gimenez</v>
          </cell>
          <cell r="F443" t="str">
            <v>jesusvicente.gimenez@professional.universidadviu.com</v>
          </cell>
          <cell r="G443" t="str">
            <v>Yes</v>
          </cell>
          <cell r="H443" t="str">
            <v>Yes</v>
          </cell>
          <cell r="I443" t="str">
            <v>Programa de Doctorado en Ciencias de la Actividad Física y del Deporte</v>
          </cell>
          <cell r="J443" t="str">
            <v>Licenciado</v>
          </cell>
          <cell r="K443" t="str">
            <v/>
          </cell>
          <cell r="L443" t="str">
            <v/>
          </cell>
          <cell r="M443" t="str">
            <v>Professional</v>
          </cell>
          <cell r="N443" t="str">
            <v/>
          </cell>
          <cell r="O443" t="str">
            <v>CBS</v>
          </cell>
          <cell r="P443">
            <v>0</v>
          </cell>
          <cell r="Q443" t="str">
            <v xml:space="preserve"> </v>
          </cell>
          <cell r="R443"/>
          <cell r="S443"/>
          <cell r="T443" t="str">
            <v>Sin reducción</v>
          </cell>
          <cell r="U443">
            <v>0</v>
          </cell>
          <cell r="V443"/>
          <cell r="W443"/>
          <cell r="X443">
            <v>0</v>
          </cell>
          <cell r="Y443">
            <v>0</v>
          </cell>
          <cell r="Z443">
            <v>0</v>
          </cell>
          <cell r="AA443"/>
          <cell r="AB443" t="str">
            <v>Concluded</v>
          </cell>
          <cell r="AC443" t="str">
            <v>NO ACTIVO</v>
          </cell>
          <cell r="AD443"/>
          <cell r="AE443"/>
          <cell r="AF443">
            <v>45585</v>
          </cell>
          <cell r="AG443" t="str">
            <v>CESE DE CONTRATO</v>
          </cell>
          <cell r="AH443"/>
          <cell r="AI443" t="str">
            <v>05684291W</v>
          </cell>
        </row>
        <row r="444">
          <cell r="A444" t="str">
            <v>43544666P</v>
          </cell>
          <cell r="B444" t="str">
            <v>Giménez Díez</v>
          </cell>
          <cell r="C444" t="str">
            <v>David</v>
          </cell>
          <cell r="D444" t="str">
            <v>Giménez Díez, David</v>
          </cell>
          <cell r="E444" t="str">
            <v>dgimenezd@professional.universidadviu.com</v>
          </cell>
          <cell r="F444" t="str">
            <v>dgimenezd@professional.universidadviu.com</v>
          </cell>
          <cell r="G444" t="str">
            <v>Yes</v>
          </cell>
          <cell r="H444" t="str">
            <v>NO</v>
          </cell>
          <cell r="I444" t="str">
            <v>Doctor en Medicina</v>
          </cell>
          <cell r="J444" t="str">
            <v>Máster Oficial en Investigación e Inovación en Cuidados de Enfermería</v>
          </cell>
          <cell r="K444" t="str">
            <v>Enfermero Especialista en Enfermería de Salud Mental</v>
          </cell>
          <cell r="L444" t="str">
            <v/>
          </cell>
          <cell r="M444" t="str">
            <v>Professional</v>
          </cell>
          <cell r="N444" t="str">
            <v/>
          </cell>
          <cell r="O444" t="str">
            <v>CBS/CSS</v>
          </cell>
          <cell r="P444">
            <v>0</v>
          </cell>
          <cell r="Q444" t="str">
            <v xml:space="preserve"> </v>
          </cell>
          <cell r="R444"/>
          <cell r="S444"/>
          <cell r="T444" t="str">
            <v>Sin reducción</v>
          </cell>
          <cell r="U444">
            <v>0</v>
          </cell>
          <cell r="V444"/>
          <cell r="W444"/>
          <cell r="X444">
            <v>0</v>
          </cell>
          <cell r="Y444">
            <v>0</v>
          </cell>
          <cell r="Z444">
            <v>0</v>
          </cell>
          <cell r="AA444"/>
          <cell r="AB444" t="str">
            <v>Active - signed</v>
          </cell>
          <cell r="AC444" t="str">
            <v>ACTIVO</v>
          </cell>
          <cell r="AD444"/>
          <cell r="AE444"/>
          <cell r="AF444"/>
          <cell r="AG444"/>
          <cell r="AH444"/>
          <cell r="AI444" t="str">
            <v>43544666P</v>
          </cell>
        </row>
        <row r="445">
          <cell r="A445" t="str">
            <v>50116372Q</v>
          </cell>
          <cell r="B445" t="str">
            <v>Giménez Fernández</v>
          </cell>
          <cell r="C445" t="str">
            <v>Tamara</v>
          </cell>
          <cell r="D445" t="str">
            <v>Giménez Fernández, Tamara</v>
          </cell>
          <cell r="E445" t="str">
            <v>tamara.gimenez</v>
          </cell>
          <cell r="F445" t="str">
            <v>tamara.gimenez@professional.universidadviu.com</v>
          </cell>
          <cell r="G445" t="str">
            <v>Yes</v>
          </cell>
          <cell r="H445" t="str">
            <v>Yes</v>
          </cell>
          <cell r="I445" t="str">
            <v>Psicología</v>
          </cell>
          <cell r="J445" t="str">
            <v>Máster universitario en Neurociencia</v>
          </cell>
          <cell r="K445" t="str">
            <v>Licenciatura en Psicología</v>
          </cell>
          <cell r="L445" t="str">
            <v/>
          </cell>
          <cell r="M445" t="str">
            <v>Professional</v>
          </cell>
          <cell r="N445" t="str">
            <v/>
          </cell>
          <cell r="O445" t="str">
            <v>CSS</v>
          </cell>
          <cell r="P445">
            <v>0</v>
          </cell>
          <cell r="Q445" t="str">
            <v xml:space="preserve"> </v>
          </cell>
          <cell r="R445"/>
          <cell r="S445"/>
          <cell r="T445" t="str">
            <v>Sin reducción</v>
          </cell>
          <cell r="U445">
            <v>0</v>
          </cell>
          <cell r="V445"/>
          <cell r="W445"/>
          <cell r="X445">
            <v>0</v>
          </cell>
          <cell r="Y445">
            <v>0</v>
          </cell>
          <cell r="Z445">
            <v>0</v>
          </cell>
          <cell r="AA445"/>
          <cell r="AB445" t="str">
            <v>Concluded</v>
          </cell>
          <cell r="AC445" t="str">
            <v>NO ACTIVO</v>
          </cell>
          <cell r="AD445"/>
          <cell r="AE445"/>
          <cell r="AF445">
            <v>45180</v>
          </cell>
          <cell r="AG445" t="str">
            <v>CESE DE CONTRATO</v>
          </cell>
          <cell r="AH445"/>
          <cell r="AI445" t="str">
            <v>50116372Q</v>
          </cell>
        </row>
        <row r="446">
          <cell r="A446" t="str">
            <v>77718121V</v>
          </cell>
          <cell r="B446" t="str">
            <v>Giménez Gualdo</v>
          </cell>
          <cell r="C446" t="str">
            <v>Ana María</v>
          </cell>
          <cell r="D446" t="str">
            <v>Giménez Gualdo, Ana María</v>
          </cell>
          <cell r="E446" t="str">
            <v>anamaria.gimenez</v>
          </cell>
          <cell r="F446" t="str">
            <v>anamaria.gimenez@professor.universidadviu.com</v>
          </cell>
          <cell r="G446" t="str">
            <v>Yes</v>
          </cell>
          <cell r="H446" t="str">
            <v>Yes</v>
          </cell>
          <cell r="I446" t="str">
            <v>Master universitario en prevencion e intervencion psicologica en problemas de conducta en la escuela en la esp. Terapia Cognitivo-Conductal</v>
          </cell>
          <cell r="J446" t="str">
            <v>Master universitario en investigación e innovación en educación infantil y educación primaria</v>
          </cell>
          <cell r="K446" t="str">
            <v>Diplomada en educacion social</v>
          </cell>
          <cell r="L446" t="str">
            <v>Doctorado en investigación e innovación en educación infantil y educación primaria</v>
          </cell>
          <cell r="M446" t="str">
            <v>Labour</v>
          </cell>
          <cell r="N446"/>
          <cell r="O446" t="str">
            <v>CSS</v>
          </cell>
          <cell r="P446">
            <v>100</v>
          </cell>
          <cell r="Q446" t="str">
            <v>50</v>
          </cell>
          <cell r="R446"/>
          <cell r="S446"/>
          <cell r="T446" t="str">
            <v>Sin reducción</v>
          </cell>
          <cell r="U446">
            <v>0</v>
          </cell>
          <cell r="V446">
            <v>27</v>
          </cell>
          <cell r="W446" t="str">
            <v>EDUCACIÓN</v>
          </cell>
          <cell r="X446">
            <v>0</v>
          </cell>
          <cell r="Y446">
            <v>0</v>
          </cell>
          <cell r="Z446">
            <v>0</v>
          </cell>
          <cell r="AA446"/>
          <cell r="AB446" t="str">
            <v>Concluded</v>
          </cell>
          <cell r="AC446" t="str">
            <v>NO ACTIVO</v>
          </cell>
          <cell r="AD446"/>
          <cell r="AE446"/>
          <cell r="AF446">
            <v>45351</v>
          </cell>
          <cell r="AG446" t="str">
            <v>CESE DE CONTRATO</v>
          </cell>
          <cell r="AH446"/>
          <cell r="AI446" t="str">
            <v>77718121V</v>
          </cell>
        </row>
        <row r="447">
          <cell r="A447" t="str">
            <v>21000176A</v>
          </cell>
          <cell r="B447" t="str">
            <v>Giménez Paños</v>
          </cell>
          <cell r="C447" t="str">
            <v>Cristina</v>
          </cell>
          <cell r="D447" t="str">
            <v>Giménez Paños, Cristina</v>
          </cell>
          <cell r="E447" t="str">
            <v>cgimenezp@professional.universidadviu.com</v>
          </cell>
          <cell r="F447" t="str">
            <v>cgimenezp@professional.universidadviu.com</v>
          </cell>
          <cell r="G447" t="str">
            <v>Yes</v>
          </cell>
          <cell r="H447" t="str">
            <v>NO</v>
          </cell>
          <cell r="I447" t="str">
            <v>Doctorado</v>
          </cell>
          <cell r="J447" t="str">
            <v>Máster Neuropsicología</v>
          </cell>
          <cell r="K447" t="str">
            <v>Licenciada en Psicología</v>
          </cell>
          <cell r="L447" t="str">
            <v/>
          </cell>
          <cell r="M447" t="str">
            <v>Professional</v>
          </cell>
          <cell r="N447" t="str">
            <v/>
          </cell>
          <cell r="O447" t="str">
            <v>CSS</v>
          </cell>
          <cell r="P447">
            <v>0</v>
          </cell>
          <cell r="Q447" t="str">
            <v xml:space="preserve"> </v>
          </cell>
          <cell r="R447"/>
          <cell r="S447"/>
          <cell r="T447" t="str">
            <v>Sin reducción</v>
          </cell>
          <cell r="U447">
            <v>0</v>
          </cell>
          <cell r="V447"/>
          <cell r="W447"/>
          <cell r="X447">
            <v>0</v>
          </cell>
          <cell r="Y447">
            <v>0</v>
          </cell>
          <cell r="Z447">
            <v>0</v>
          </cell>
          <cell r="AA447"/>
          <cell r="AB447" t="str">
            <v>Active - signed</v>
          </cell>
          <cell r="AC447" t="str">
            <v>ACTIVO</v>
          </cell>
          <cell r="AD447"/>
          <cell r="AE447"/>
          <cell r="AF447"/>
          <cell r="AG447"/>
          <cell r="AH447"/>
          <cell r="AI447" t="str">
            <v>21000176A</v>
          </cell>
        </row>
        <row r="448">
          <cell r="A448" t="str">
            <v>21005816P</v>
          </cell>
          <cell r="B448" t="str">
            <v>Gimeno Valiente</v>
          </cell>
          <cell r="C448" t="str">
            <v>Francisco</v>
          </cell>
          <cell r="D448" t="str">
            <v>Gimeno Valiente, Francisco</v>
          </cell>
          <cell r="E448" t="str">
            <v>francisco.gimenov</v>
          </cell>
          <cell r="F448" t="str">
            <v>francisco.gimenov@professional.universidadviu.com</v>
          </cell>
          <cell r="G448" t="str">
            <v>Yes</v>
          </cell>
          <cell r="H448" t="str">
            <v>NO</v>
          </cell>
          <cell r="I448" t="str">
            <v>Biología y Genética</v>
          </cell>
          <cell r="J448" t="str">
            <v>Biomedicina y Biotecnología</v>
          </cell>
          <cell r="K448" t="str">
            <v/>
          </cell>
          <cell r="L448" t="str">
            <v/>
          </cell>
          <cell r="M448" t="str">
            <v>Professional</v>
          </cell>
          <cell r="N448" t="str">
            <v/>
          </cell>
          <cell r="O448" t="str">
            <v>CBS</v>
          </cell>
          <cell r="P448">
            <v>0</v>
          </cell>
          <cell r="Q448" t="str">
            <v xml:space="preserve"> </v>
          </cell>
          <cell r="R448"/>
          <cell r="S448"/>
          <cell r="T448" t="str">
            <v>Sin reducción</v>
          </cell>
          <cell r="U448">
            <v>0</v>
          </cell>
          <cell r="V448"/>
          <cell r="W448"/>
          <cell r="X448">
            <v>0</v>
          </cell>
          <cell r="Y448">
            <v>0</v>
          </cell>
          <cell r="Z448">
            <v>0</v>
          </cell>
          <cell r="AA448"/>
          <cell r="AB448" t="str">
            <v>Active - signed</v>
          </cell>
          <cell r="AC448" t="str">
            <v>ACTIVO</v>
          </cell>
          <cell r="AD448"/>
          <cell r="AE448"/>
          <cell r="AF448"/>
          <cell r="AG448"/>
          <cell r="AH448"/>
          <cell r="AI448" t="str">
            <v>21005816P</v>
          </cell>
        </row>
        <row r="449">
          <cell r="A449" t="str">
            <v>20034670Z</v>
          </cell>
          <cell r="B449" t="str">
            <v>Ginel Ramírez</v>
          </cell>
          <cell r="C449" t="str">
            <v>Raquel</v>
          </cell>
          <cell r="D449" t="str">
            <v>Ginel Ramírez, Raquel</v>
          </cell>
          <cell r="E449" t="str">
            <v>raquel.ginel</v>
          </cell>
          <cell r="F449" t="str">
            <v>raquel.ginel@professional.universidadviu.com</v>
          </cell>
          <cell r="G449" t="str">
            <v>NO</v>
          </cell>
          <cell r="H449" t="str">
            <v>NO</v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>Professional</v>
          </cell>
          <cell r="N449" t="str">
            <v/>
          </cell>
          <cell r="O449" t="str">
            <v>CBS</v>
          </cell>
          <cell r="P449">
            <v>0</v>
          </cell>
          <cell r="Q449" t="str">
            <v xml:space="preserve"> </v>
          </cell>
          <cell r="R449"/>
          <cell r="S449"/>
          <cell r="T449" t="str">
            <v>Sin reducción</v>
          </cell>
          <cell r="U449">
            <v>0</v>
          </cell>
          <cell r="V449"/>
          <cell r="W449"/>
          <cell r="X449">
            <v>0</v>
          </cell>
          <cell r="Y449">
            <v>0</v>
          </cell>
          <cell r="Z449">
            <v>0</v>
          </cell>
          <cell r="AA449"/>
          <cell r="AB449" t="str">
            <v>Active - signed</v>
          </cell>
          <cell r="AC449" t="str">
            <v>ACTIVO</v>
          </cell>
          <cell r="AD449"/>
          <cell r="AE449"/>
          <cell r="AF449"/>
          <cell r="AG449"/>
          <cell r="AH449"/>
          <cell r="AI449" t="str">
            <v>20034670Z</v>
          </cell>
        </row>
        <row r="450">
          <cell r="A450" t="str">
            <v>34825357E</v>
          </cell>
          <cell r="B450" t="str">
            <v>Giner Alegría</v>
          </cell>
          <cell r="C450" t="str">
            <v>César Augusto</v>
          </cell>
          <cell r="D450" t="str">
            <v>Giner Alegría, César Augusto</v>
          </cell>
          <cell r="E450" t="str">
            <v>cesaraugusto.giner</v>
          </cell>
          <cell r="F450"/>
          <cell r="G450" t="str">
            <v>Yes</v>
          </cell>
          <cell r="H450" t="str">
            <v>NO</v>
          </cell>
          <cell r="I450" t="str">
            <v>Programa Oficial de Doctorado en Abogacía y Práctica Jurídica</v>
          </cell>
          <cell r="J450" t="str">
            <v>Programa Oficial de Doctorado en Abogacía y Práctica Jurídica</v>
          </cell>
          <cell r="K450" t="str">
            <v>Licenciado en Filosofía y Ciencias de la Educación</v>
          </cell>
          <cell r="L450" t="str">
            <v/>
          </cell>
          <cell r="M450" t="str">
            <v>Labour</v>
          </cell>
          <cell r="N450" t="str">
            <v>Consultar a Ciencias Sociales y Jurídicas</v>
          </cell>
          <cell r="O450" t="str">
            <v>CSS</v>
          </cell>
          <cell r="P450">
            <v>50</v>
          </cell>
          <cell r="Q450" t="str">
            <v>38</v>
          </cell>
          <cell r="R450"/>
          <cell r="S450"/>
          <cell r="T450" t="str">
            <v>Sin reducción</v>
          </cell>
          <cell r="U450">
            <v>0</v>
          </cell>
          <cell r="V450">
            <v>38</v>
          </cell>
          <cell r="W450" t="str">
            <v>Jurídico</v>
          </cell>
          <cell r="X450">
            <v>0</v>
          </cell>
          <cell r="Y450">
            <v>0</v>
          </cell>
          <cell r="Z450">
            <v>0</v>
          </cell>
          <cell r="AA450"/>
          <cell r="AB450" t="str">
            <v>Active - signed</v>
          </cell>
          <cell r="AC450" t="str">
            <v>ACTIVO</v>
          </cell>
          <cell r="AD450"/>
          <cell r="AE450"/>
          <cell r="AF450"/>
          <cell r="AG450"/>
          <cell r="AH450"/>
          <cell r="AI450" t="str">
            <v>34825357E</v>
          </cell>
        </row>
        <row r="451">
          <cell r="A451" t="str">
            <v>20849279D</v>
          </cell>
          <cell r="B451" t="str">
            <v>Girona Magraner</v>
          </cell>
          <cell r="C451" t="str">
            <v>María Jesús</v>
          </cell>
          <cell r="D451" t="str">
            <v>Girona Magraner, María Jesús</v>
          </cell>
          <cell r="E451" t="str">
            <v>maje.girona@professor.universidadviu.com</v>
          </cell>
          <cell r="F451" t="str">
            <v>maje.girona@professor.universidadviu.com</v>
          </cell>
          <cell r="G451" t="str">
            <v>Yes</v>
          </cell>
          <cell r="H451" t="str">
            <v>NO</v>
          </cell>
          <cell r="I451" t="str">
            <v>Doctorado en Intervención Social y Estado de Bienestar</v>
          </cell>
          <cell r="J451" t="str">
            <v>Doctorado en Intervención Social y Estado de Bienestar</v>
          </cell>
          <cell r="K451" t="str">
            <v>Diplomado/a en Enfermeria</v>
          </cell>
          <cell r="L451" t="str">
            <v>Licenciada en Antropología Social y Cultural</v>
          </cell>
          <cell r="M451" t="str">
            <v>Labour</v>
          </cell>
          <cell r="N451"/>
          <cell r="O451" t="str">
            <v>CBS</v>
          </cell>
          <cell r="P451" t="str">
            <v>40,00</v>
          </cell>
          <cell r="Q451" t="b">
            <v>0</v>
          </cell>
          <cell r="R451"/>
          <cell r="S451"/>
          <cell r="T451" t="str">
            <v>Sin reducción</v>
          </cell>
          <cell r="U451">
            <v>0</v>
          </cell>
          <cell r="V451">
            <v>8</v>
          </cell>
          <cell r="W451" t="str">
            <v>JURÍDICO</v>
          </cell>
          <cell r="X451">
            <v>0</v>
          </cell>
          <cell r="Y451">
            <v>0</v>
          </cell>
          <cell r="Z451">
            <v>0</v>
          </cell>
          <cell r="AA451"/>
          <cell r="AB451" t="str">
            <v>Concluded</v>
          </cell>
          <cell r="AC451" t="str">
            <v>NO ACTIVO</v>
          </cell>
          <cell r="AD451"/>
          <cell r="AE451"/>
          <cell r="AF451">
            <v>45803</v>
          </cell>
          <cell r="AG451" t="str">
            <v>CESE DE CONTRATO</v>
          </cell>
          <cell r="AH451"/>
          <cell r="AI451" t="str">
            <v>20849279D</v>
          </cell>
        </row>
        <row r="452">
          <cell r="A452" t="str">
            <v>02856560Y</v>
          </cell>
          <cell r="B452" t="str">
            <v>Gismera Neuberger</v>
          </cell>
          <cell r="C452" t="str">
            <v>María Silvia</v>
          </cell>
          <cell r="D452" t="str">
            <v>Gismera Neuberger, María Silvia</v>
          </cell>
          <cell r="E452" t="str">
            <v>mgismeran@professional.universidadviu.com</v>
          </cell>
          <cell r="F452" t="str">
            <v>mgismeran@professional.universidadviu.com</v>
          </cell>
          <cell r="G452" t="str">
            <v>Yes</v>
          </cell>
          <cell r="H452" t="str">
            <v>NO</v>
          </cell>
          <cell r="I452" t="str">
            <v>Doctorado en Psicología</v>
          </cell>
          <cell r="J452" t="str">
            <v>LIcenciada en Psicología</v>
          </cell>
          <cell r="K452" t="str">
            <v/>
          </cell>
          <cell r="L452" t="str">
            <v/>
          </cell>
          <cell r="M452" t="str">
            <v>Professional</v>
          </cell>
          <cell r="N452" t="str">
            <v/>
          </cell>
          <cell r="O452" t="str">
            <v>CSS</v>
          </cell>
          <cell r="P452">
            <v>0</v>
          </cell>
          <cell r="Q452" t="str">
            <v xml:space="preserve"> </v>
          </cell>
          <cell r="R452"/>
          <cell r="S452"/>
          <cell r="T452" t="str">
            <v>Sin reducción</v>
          </cell>
          <cell r="U452">
            <v>0</v>
          </cell>
          <cell r="V452"/>
          <cell r="W452"/>
          <cell r="X452">
            <v>0</v>
          </cell>
          <cell r="Y452">
            <v>0</v>
          </cell>
          <cell r="Z452">
            <v>0</v>
          </cell>
          <cell r="AA452"/>
          <cell r="AB452" t="str">
            <v>Active - signed</v>
          </cell>
          <cell r="AC452" t="str">
            <v>ACTIVO</v>
          </cell>
          <cell r="AD452"/>
          <cell r="AE452"/>
          <cell r="AF452"/>
          <cell r="AG452"/>
          <cell r="AH452"/>
          <cell r="AI452" t="str">
            <v>02856560Y</v>
          </cell>
        </row>
        <row r="453">
          <cell r="A453" t="str">
            <v>74825796B</v>
          </cell>
          <cell r="B453" t="str">
            <v>Godínez Ortiz</v>
          </cell>
          <cell r="C453" t="str">
            <v>Olga</v>
          </cell>
          <cell r="D453" t="str">
            <v>Godínez Ortiz, Olga</v>
          </cell>
          <cell r="E453" t="str">
            <v>ogodinezo@professor.universidadviu.com</v>
          </cell>
          <cell r="F453" t="str">
            <v>ogodinezo@professor.universidadviu.com</v>
          </cell>
          <cell r="G453" t="str">
            <v>NO</v>
          </cell>
          <cell r="H453" t="str">
            <v>NO</v>
          </cell>
          <cell r="I453" t="str">
            <v>Master Universitario en Intervención Psiológica en Ambitos Sociales</v>
          </cell>
          <cell r="J453" t="str">
            <v>Master en Psicología Clinica i Salut</v>
          </cell>
          <cell r="K453" t="str">
            <v>Licenciada en Psicología</v>
          </cell>
          <cell r="L453" t="str">
            <v/>
          </cell>
          <cell r="M453" t="str">
            <v>Labour</v>
          </cell>
          <cell r="N453" t="str">
            <v>Gómez Martínez, Sandra</v>
          </cell>
          <cell r="O453" t="str">
            <v>CSS</v>
          </cell>
          <cell r="P453">
            <v>70</v>
          </cell>
          <cell r="Q453" t="b">
            <v>0</v>
          </cell>
          <cell r="R453"/>
          <cell r="S453"/>
          <cell r="T453" t="str">
            <v>Sin reducción</v>
          </cell>
          <cell r="U453">
            <v>0</v>
          </cell>
          <cell r="V453"/>
          <cell r="W453"/>
          <cell r="X453">
            <v>34.6</v>
          </cell>
          <cell r="Y453">
            <v>0</v>
          </cell>
          <cell r="Z453">
            <v>0</v>
          </cell>
          <cell r="AA453"/>
          <cell r="AB453" t="str">
            <v>Active - signed</v>
          </cell>
          <cell r="AC453" t="str">
            <v>ACTIVO</v>
          </cell>
          <cell r="AD453"/>
          <cell r="AE453"/>
          <cell r="AF453"/>
          <cell r="AG453"/>
          <cell r="AH453"/>
          <cell r="AI453" t="str">
            <v>74825796B</v>
          </cell>
        </row>
        <row r="454">
          <cell r="A454" t="str">
            <v>13312084Y</v>
          </cell>
          <cell r="B454" t="str">
            <v>Gogishvili Asanishvili</v>
          </cell>
          <cell r="C454" t="str">
            <v>Megi</v>
          </cell>
          <cell r="D454" t="str">
            <v>Gogishvili Asanishvili, Megi</v>
          </cell>
          <cell r="E454" t="str">
            <v>megi.gogishvili</v>
          </cell>
          <cell r="F454" t="str">
            <v>megi.gogishvili@professional.universidadviu.com</v>
          </cell>
          <cell r="G454" t="str">
            <v>Yes</v>
          </cell>
          <cell r="H454" t="str">
            <v>NO</v>
          </cell>
          <cell r="I454" t="str">
            <v>Trabajo social</v>
          </cell>
          <cell r="J454" t="str">
            <v>Licenciatura en Derecho</v>
          </cell>
          <cell r="K454" t="str">
            <v>Máster en Gestión de Proyectos</v>
          </cell>
          <cell r="L454" t="str">
            <v/>
          </cell>
          <cell r="M454" t="str">
            <v>Professional</v>
          </cell>
          <cell r="N454" t="str">
            <v/>
          </cell>
          <cell r="O454" t="str">
            <v>CBS/CSS</v>
          </cell>
          <cell r="P454">
            <v>0</v>
          </cell>
          <cell r="Q454" t="str">
            <v xml:space="preserve"> </v>
          </cell>
          <cell r="R454"/>
          <cell r="S454"/>
          <cell r="T454" t="str">
            <v>Sin reducción</v>
          </cell>
          <cell r="U454">
            <v>0</v>
          </cell>
          <cell r="V454"/>
          <cell r="W454"/>
          <cell r="X454">
            <v>0</v>
          </cell>
          <cell r="Y454">
            <v>0</v>
          </cell>
          <cell r="Z454">
            <v>0</v>
          </cell>
          <cell r="AA454"/>
          <cell r="AB454" t="str">
            <v>Active - signed</v>
          </cell>
          <cell r="AC454" t="str">
            <v>ACTIVO</v>
          </cell>
          <cell r="AD454"/>
          <cell r="AE454"/>
          <cell r="AF454"/>
          <cell r="AG454"/>
          <cell r="AH454"/>
          <cell r="AI454" t="str">
            <v>13312084Y</v>
          </cell>
        </row>
        <row r="455">
          <cell r="A455" t="str">
            <v>Y5765134Z</v>
          </cell>
          <cell r="B455" t="str">
            <v>Gómez Borges</v>
          </cell>
          <cell r="C455" t="str">
            <v>Ari Wilson</v>
          </cell>
          <cell r="D455" t="str">
            <v>Gómez Borges, Ari Wilson</v>
          </cell>
          <cell r="E455" t="str">
            <v>agomezb@professional.universidadviu.com</v>
          </cell>
          <cell r="F455" t="str">
            <v>agomezb@professional.universidadviu.com</v>
          </cell>
          <cell r="G455" t="str">
            <v>Yes</v>
          </cell>
          <cell r="H455" t="str">
            <v>NO</v>
          </cell>
          <cell r="I455" t="str">
            <v>Doctorado en Diseño y Promoción de Políticas Públicas para el Bienestar Social</v>
          </cell>
          <cell r="J455" t="str">
            <v>Máster en Psicología del Trabajo, Organizaciones y Recursos Humanos</v>
          </cell>
          <cell r="K455" t="str">
            <v>Licenciatura en Psicología</v>
          </cell>
          <cell r="L455" t="str">
            <v/>
          </cell>
          <cell r="M455" t="str">
            <v>Professional</v>
          </cell>
          <cell r="N455"/>
          <cell r="O455" t="str">
            <v>CSS</v>
          </cell>
          <cell r="P455">
            <v>0</v>
          </cell>
          <cell r="Q455" t="str">
            <v xml:space="preserve"> </v>
          </cell>
          <cell r="R455"/>
          <cell r="S455"/>
          <cell r="T455" t="str">
            <v>Sin reducción</v>
          </cell>
          <cell r="U455">
            <v>0</v>
          </cell>
          <cell r="V455"/>
          <cell r="W455"/>
          <cell r="X455">
            <v>0</v>
          </cell>
          <cell r="Y455">
            <v>0</v>
          </cell>
          <cell r="Z455">
            <v>0</v>
          </cell>
          <cell r="AA455"/>
          <cell r="AB455" t="str">
            <v>Active - signed</v>
          </cell>
          <cell r="AC455" t="str">
            <v>ACTIVO</v>
          </cell>
          <cell r="AD455"/>
          <cell r="AE455"/>
          <cell r="AF455"/>
          <cell r="AG455"/>
          <cell r="AH455"/>
          <cell r="AI455" t="str">
            <v>Y5765134Z</v>
          </cell>
        </row>
        <row r="456">
          <cell r="A456" t="str">
            <v>48689098F</v>
          </cell>
          <cell r="B456" t="str">
            <v>Gómez Cebrián</v>
          </cell>
          <cell r="C456" t="str">
            <v>Nuria</v>
          </cell>
          <cell r="D456" t="str">
            <v>Gómez Cebrián, Nuria</v>
          </cell>
          <cell r="E456" t="str">
            <v>nuria.gomez.c</v>
          </cell>
          <cell r="F456" t="str">
            <v>nuria.gomez.c@professional.universidadviu.com</v>
          </cell>
          <cell r="G456" t="str">
            <v>Yes</v>
          </cell>
          <cell r="H456" t="str">
            <v>NO</v>
          </cell>
          <cell r="I456" t="str">
            <v>Biotecnología</v>
          </cell>
          <cell r="J456" t="str">
            <v>Master universitario en bioinformatica</v>
          </cell>
          <cell r="K456" t="str">
            <v>Graduada en biotecnologia</v>
          </cell>
          <cell r="L456" t="str">
            <v/>
          </cell>
          <cell r="M456" t="str">
            <v>Professional</v>
          </cell>
          <cell r="N456" t="str">
            <v/>
          </cell>
          <cell r="O456" t="str">
            <v>CBS</v>
          </cell>
          <cell r="P456">
            <v>0</v>
          </cell>
          <cell r="Q456" t="str">
            <v xml:space="preserve"> </v>
          </cell>
          <cell r="R456"/>
          <cell r="S456"/>
          <cell r="T456" t="str">
            <v>Sin reducción</v>
          </cell>
          <cell r="U456">
            <v>0</v>
          </cell>
          <cell r="V456"/>
          <cell r="W456"/>
          <cell r="X456">
            <v>0</v>
          </cell>
          <cell r="Y456">
            <v>0</v>
          </cell>
          <cell r="Z456">
            <v>0</v>
          </cell>
          <cell r="AA456"/>
          <cell r="AB456" t="str">
            <v>Active - signed</v>
          </cell>
          <cell r="AC456" t="str">
            <v>ACTIVO</v>
          </cell>
          <cell r="AD456"/>
          <cell r="AE456"/>
          <cell r="AF456"/>
          <cell r="AG456"/>
          <cell r="AH456"/>
          <cell r="AI456" t="str">
            <v>48689098F</v>
          </cell>
        </row>
        <row r="457">
          <cell r="A457" t="str">
            <v>74518008D</v>
          </cell>
          <cell r="B457" t="str">
            <v>Gómez Escribano</v>
          </cell>
          <cell r="C457" t="str">
            <v>Ana Pilar</v>
          </cell>
          <cell r="D457" t="str">
            <v>Gómez Escribano, Ana Pilar</v>
          </cell>
          <cell r="E457" t="str">
            <v>anapilar.gomez</v>
          </cell>
          <cell r="F457" t="str">
            <v>anapilar.gomez@professional.universidadviu.com</v>
          </cell>
          <cell r="G457" t="str">
            <v>Yes</v>
          </cell>
          <cell r="H457" t="str">
            <v>NO</v>
          </cell>
          <cell r="I457" t="str">
            <v>Biotecnología</v>
          </cell>
          <cell r="J457" t="str">
            <v>Máster Investigación en Biología Molecular, Celular y Genética</v>
          </cell>
          <cell r="K457" t="str">
            <v>Doctor en Biotecnología</v>
          </cell>
          <cell r="L457" t="str">
            <v/>
          </cell>
          <cell r="M457" t="str">
            <v>Professional</v>
          </cell>
          <cell r="N457" t="str">
            <v/>
          </cell>
          <cell r="O457" t="str">
            <v>CBS/CSS</v>
          </cell>
          <cell r="P457">
            <v>0</v>
          </cell>
          <cell r="Q457" t="str">
            <v xml:space="preserve"> </v>
          </cell>
          <cell r="R457"/>
          <cell r="S457"/>
          <cell r="T457" t="str">
            <v>Sin reducción</v>
          </cell>
          <cell r="U457">
            <v>0</v>
          </cell>
          <cell r="V457"/>
          <cell r="W457"/>
          <cell r="X457">
            <v>0</v>
          </cell>
          <cell r="Y457">
            <v>0</v>
          </cell>
          <cell r="Z457">
            <v>0</v>
          </cell>
          <cell r="AA457"/>
          <cell r="AB457" t="str">
            <v>Concluded</v>
          </cell>
          <cell r="AC457" t="str">
            <v>NO ACTIVO</v>
          </cell>
          <cell r="AD457"/>
          <cell r="AE457"/>
          <cell r="AF457">
            <v>45665</v>
          </cell>
          <cell r="AG457" t="str">
            <v>CESE DE CONTRATO</v>
          </cell>
          <cell r="AH457"/>
          <cell r="AI457" t="str">
            <v>74518008D</v>
          </cell>
        </row>
        <row r="458">
          <cell r="A458" t="str">
            <v>Y6146499Q</v>
          </cell>
          <cell r="B458" t="str">
            <v>Gómez Gallo</v>
          </cell>
          <cell r="C458" t="str">
            <v>Diana Marcela</v>
          </cell>
          <cell r="D458" t="str">
            <v>Gómez Gallo, Diana Marcela</v>
          </cell>
          <cell r="E458" t="str">
            <v>dgomezg1@professional.universidadviu.com</v>
          </cell>
          <cell r="F458" t="str">
            <v>dgomezg1@professional.universidadviu.com</v>
          </cell>
          <cell r="G458" t="str">
            <v>Yes</v>
          </cell>
          <cell r="H458" t="str">
            <v>NO</v>
          </cell>
          <cell r="I458" t="str">
            <v>Doctor en Psicoterapia</v>
          </cell>
          <cell r="J458" t="str">
            <v>Magister en psicología clínica infanto juvenil</v>
          </cell>
          <cell r="K458" t="str">
            <v>DE GRADO PREGRADO PSICOLOGÍA</v>
          </cell>
          <cell r="L458" t="str">
            <v/>
          </cell>
          <cell r="M458" t="str">
            <v>Professional</v>
          </cell>
          <cell r="N458" t="str">
            <v/>
          </cell>
          <cell r="O458" t="str">
            <v>CSS</v>
          </cell>
          <cell r="P458">
            <v>0</v>
          </cell>
          <cell r="Q458" t="str">
            <v xml:space="preserve"> </v>
          </cell>
          <cell r="R458"/>
          <cell r="S458"/>
          <cell r="T458" t="str">
            <v>Sin reducción</v>
          </cell>
          <cell r="U458">
            <v>0</v>
          </cell>
          <cell r="V458"/>
          <cell r="W458"/>
          <cell r="X458">
            <v>0</v>
          </cell>
          <cell r="Y458">
            <v>0</v>
          </cell>
          <cell r="Z458">
            <v>0</v>
          </cell>
          <cell r="AA458"/>
          <cell r="AB458" t="str">
            <v>Active - signed</v>
          </cell>
          <cell r="AC458" t="str">
            <v>ACTIVO</v>
          </cell>
          <cell r="AD458"/>
          <cell r="AE458"/>
          <cell r="AF458"/>
          <cell r="AG458"/>
          <cell r="AH458"/>
          <cell r="AI458" t="str">
            <v>Y6146499Q</v>
          </cell>
        </row>
        <row r="459">
          <cell r="A459" t="str">
            <v>24204201J</v>
          </cell>
          <cell r="B459" t="str">
            <v>Gómez Leyva</v>
          </cell>
          <cell r="C459" t="str">
            <v>Susana</v>
          </cell>
          <cell r="D459" t="str">
            <v>Gómez Leyva, Susana</v>
          </cell>
          <cell r="E459" t="e">
            <v>#VALUE!</v>
          </cell>
          <cell r="F459" t="str">
            <v>susana.gomez.l@professor.universidadviu.com</v>
          </cell>
          <cell r="G459" t="e">
            <v>#VALUE!</v>
          </cell>
          <cell r="H459" t="e">
            <v>#VALUE!</v>
          </cell>
          <cell r="I459" t="str">
            <v>Farmacia</v>
          </cell>
          <cell r="J459" t="str">
            <v/>
          </cell>
          <cell r="K459" t="str">
            <v/>
          </cell>
          <cell r="L459" t="str">
            <v/>
          </cell>
          <cell r="M459" t="e">
            <v>#VALUE!</v>
          </cell>
          <cell r="N459" t="str">
            <v/>
          </cell>
          <cell r="O459" t="str">
            <v>CBS</v>
          </cell>
          <cell r="P459" t="str">
            <v xml:space="preserve"> </v>
          </cell>
          <cell r="Q459" t="b">
            <v>0</v>
          </cell>
          <cell r="R459"/>
          <cell r="S459"/>
          <cell r="T459" t="str">
            <v>Sin reducción</v>
          </cell>
          <cell r="U459">
            <v>0</v>
          </cell>
          <cell r="V459"/>
          <cell r="W459"/>
          <cell r="X459">
            <v>0</v>
          </cell>
          <cell r="Y459">
            <v>0</v>
          </cell>
          <cell r="Z459">
            <v>0</v>
          </cell>
          <cell r="AA459"/>
          <cell r="AB459" t="e">
            <v>#VALUE!</v>
          </cell>
          <cell r="AC459" t="str">
            <v>BAJA TEMPORAL</v>
          </cell>
          <cell r="AD459">
            <v>45398</v>
          </cell>
          <cell r="AE459">
            <v>46128</v>
          </cell>
          <cell r="AF459"/>
          <cell r="AG459" t="str">
            <v>EXCEDENCIA</v>
          </cell>
          <cell r="AH459"/>
          <cell r="AI459" t="str">
            <v>24204201J</v>
          </cell>
        </row>
        <row r="460">
          <cell r="A460" t="str">
            <v>73576306L</v>
          </cell>
          <cell r="B460" t="str">
            <v>Gómez Martínez</v>
          </cell>
          <cell r="C460" t="str">
            <v>Sandra</v>
          </cell>
          <cell r="D460" t="str">
            <v>Gómez Martínez, Sandra</v>
          </cell>
          <cell r="E460" t="str">
            <v>sandra.gomezm</v>
          </cell>
          <cell r="F460" t="str">
            <v>sandra.gomezm@professor.universidadviu.com</v>
          </cell>
          <cell r="G460" t="str">
            <v>Yes</v>
          </cell>
          <cell r="H460" t="str">
            <v>Yes</v>
          </cell>
          <cell r="I460" t="str">
            <v>Doctorado</v>
          </cell>
          <cell r="J460" t="str">
            <v>Doctorado</v>
          </cell>
          <cell r="K460" t="str">
            <v>Licenciada en Psicología</v>
          </cell>
          <cell r="L460" t="str">
            <v/>
          </cell>
          <cell r="M460" t="str">
            <v>Labour</v>
          </cell>
          <cell r="N460" t="str">
            <v>Duque Moreno, María Aranzazu</v>
          </cell>
          <cell r="O460" t="str">
            <v>CBS/CSS</v>
          </cell>
          <cell r="P460">
            <v>100</v>
          </cell>
          <cell r="Q460" t="str">
            <v>50</v>
          </cell>
          <cell r="R460"/>
          <cell r="S460" t="str">
            <v>2008-2013</v>
          </cell>
          <cell r="T460" t="str">
            <v>Dirección de título Máster Universitario - 2 ediciones</v>
          </cell>
          <cell r="U460">
            <v>38</v>
          </cell>
          <cell r="V460"/>
          <cell r="W460"/>
          <cell r="X460">
            <v>0</v>
          </cell>
          <cell r="Y460">
            <v>0</v>
          </cell>
          <cell r="Z460">
            <v>10.4</v>
          </cell>
          <cell r="AA460"/>
          <cell r="AB460" t="str">
            <v>Active - signed</v>
          </cell>
          <cell r="AC460" t="str">
            <v>ACTIVO</v>
          </cell>
          <cell r="AD460"/>
          <cell r="AE460"/>
          <cell r="AF460"/>
          <cell r="AG460"/>
          <cell r="AH460"/>
          <cell r="AI460" t="str">
            <v>73576306L</v>
          </cell>
        </row>
        <row r="461">
          <cell r="A461" t="str">
            <v>73570484Q</v>
          </cell>
          <cell r="B461" t="str">
            <v>Gómez Pérez</v>
          </cell>
          <cell r="C461" t="str">
            <v>Vanesa</v>
          </cell>
          <cell r="D461" t="str">
            <v>Gómez Pérez, Vanesa</v>
          </cell>
          <cell r="E461" t="str">
            <v>vanesa.gomez.p@professor.universidadviu.com</v>
          </cell>
          <cell r="F461" t="str">
            <v>vanesa.gomez.p@professor.universidadviu.com</v>
          </cell>
          <cell r="G461" t="str">
            <v>NO</v>
          </cell>
          <cell r="H461" t="str">
            <v>NO</v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>Labour</v>
          </cell>
          <cell r="N461" t="str">
            <v/>
          </cell>
          <cell r="O461" t="str">
            <v>CBS</v>
          </cell>
          <cell r="P461">
            <v>18</v>
          </cell>
          <cell r="Q461" t="str">
            <v>18</v>
          </cell>
          <cell r="R461" t="str">
            <v>laboralización enero</v>
          </cell>
          <cell r="S461"/>
          <cell r="T461" t="str">
            <v>Sin reducción</v>
          </cell>
          <cell r="U461">
            <v>0</v>
          </cell>
          <cell r="V461"/>
          <cell r="W461"/>
          <cell r="X461">
            <v>0</v>
          </cell>
          <cell r="Y461">
            <v>18</v>
          </cell>
          <cell r="Z461">
            <v>0</v>
          </cell>
          <cell r="AA461"/>
          <cell r="AB461" t="str">
            <v>Active - signed</v>
          </cell>
          <cell r="AC461" t="str">
            <v>ACTIVO</v>
          </cell>
          <cell r="AD461"/>
          <cell r="AE461"/>
          <cell r="AF461"/>
          <cell r="AG461"/>
          <cell r="AH461"/>
          <cell r="AI461" t="str">
            <v>73570484Q</v>
          </cell>
        </row>
        <row r="462">
          <cell r="A462" t="str">
            <v>22547065G</v>
          </cell>
          <cell r="B462" t="str">
            <v>Gómez Romero</v>
          </cell>
          <cell r="C462" t="str">
            <v>María del Rosario</v>
          </cell>
          <cell r="D462" t="str">
            <v>Gómez Romero, María del Rosario</v>
          </cell>
          <cell r="E462" t="str">
            <v>mgomezr@professional.universidadviu.com</v>
          </cell>
          <cell r="F462" t="str">
            <v>mgomezr@professional.universidadviu.com</v>
          </cell>
          <cell r="G462" t="str">
            <v>Yes</v>
          </cell>
          <cell r="H462" t="str">
            <v>Yes</v>
          </cell>
          <cell r="I462" t="str">
            <v>Doctorada en Ciencias de la Enfermería</v>
          </cell>
          <cell r="J462" t="str">
            <v>Master Universitario en Prevención de Riesgos Laborales</v>
          </cell>
          <cell r="K462" t="str">
            <v>Diplomada en Enfermería</v>
          </cell>
          <cell r="L462" t="str">
            <v/>
          </cell>
          <cell r="M462" t="str">
            <v>Professional</v>
          </cell>
          <cell r="N462"/>
          <cell r="O462" t="str">
            <v>CBS</v>
          </cell>
          <cell r="P462">
            <v>0</v>
          </cell>
          <cell r="Q462" t="str">
            <v xml:space="preserve"> </v>
          </cell>
          <cell r="R462"/>
          <cell r="S462"/>
          <cell r="T462" t="str">
            <v>Sin reducción</v>
          </cell>
          <cell r="U462">
            <v>0</v>
          </cell>
          <cell r="V462"/>
          <cell r="W462"/>
          <cell r="X462">
            <v>0</v>
          </cell>
          <cell r="Y462">
            <v>0</v>
          </cell>
          <cell r="Z462">
            <v>0</v>
          </cell>
          <cell r="AA462"/>
          <cell r="AB462" t="str">
            <v>Active - signed</v>
          </cell>
          <cell r="AC462" t="str">
            <v>ACTIVO</v>
          </cell>
          <cell r="AD462"/>
          <cell r="AE462"/>
          <cell r="AF462"/>
          <cell r="AG462"/>
          <cell r="AH462"/>
          <cell r="AI462" t="str">
            <v>22547065G</v>
          </cell>
        </row>
        <row r="463">
          <cell r="A463" t="str">
            <v>44488055Y</v>
          </cell>
          <cell r="B463" t="str">
            <v>Gómez Salgado</v>
          </cell>
          <cell r="C463" t="str">
            <v>Patricia</v>
          </cell>
          <cell r="D463" t="str">
            <v>Gómez Salgado, Patricia</v>
          </cell>
          <cell r="E463" t="str">
            <v>patricia.gomez.s</v>
          </cell>
          <cell r="F463" t="str">
            <v>patricia.gomez.s@professional.universidadviu.com</v>
          </cell>
          <cell r="G463" t="str">
            <v>Yes</v>
          </cell>
          <cell r="H463" t="str">
            <v>Yes</v>
          </cell>
          <cell r="I463" t="str">
            <v>Psicología</v>
          </cell>
          <cell r="J463" t="str">
            <v>Programa Oficial Doctorado en Psicología del Trabajo y las Organizaciones, Jurídica-Forense y del Consumidor y Usuario</v>
          </cell>
          <cell r="K463" t="str">
            <v/>
          </cell>
          <cell r="L463" t="str">
            <v/>
          </cell>
          <cell r="M463" t="str">
            <v>Professional</v>
          </cell>
          <cell r="N463" t="str">
            <v/>
          </cell>
          <cell r="O463" t="str">
            <v>CSS</v>
          </cell>
          <cell r="P463">
            <v>0</v>
          </cell>
          <cell r="Q463" t="str">
            <v xml:space="preserve"> </v>
          </cell>
          <cell r="R463"/>
          <cell r="S463"/>
          <cell r="T463" t="str">
            <v>Sin reducción</v>
          </cell>
          <cell r="U463">
            <v>0</v>
          </cell>
          <cell r="V463"/>
          <cell r="W463"/>
          <cell r="X463">
            <v>0</v>
          </cell>
          <cell r="Y463">
            <v>0</v>
          </cell>
          <cell r="Z463">
            <v>0</v>
          </cell>
          <cell r="AA463"/>
          <cell r="AB463" t="str">
            <v>Active - signed</v>
          </cell>
          <cell r="AC463" t="str">
            <v>ACTIVO</v>
          </cell>
          <cell r="AD463"/>
          <cell r="AE463"/>
          <cell r="AF463"/>
          <cell r="AG463"/>
          <cell r="AH463"/>
          <cell r="AI463" t="str">
            <v>44488055Y</v>
          </cell>
        </row>
        <row r="464">
          <cell r="A464" t="str">
            <v>55063956R</v>
          </cell>
          <cell r="B464" t="str">
            <v>Gómez Yepes</v>
          </cell>
          <cell r="C464" t="str">
            <v>Talía</v>
          </cell>
          <cell r="D464" t="str">
            <v>Gómez Yepes, Talía</v>
          </cell>
          <cell r="E464" t="str">
            <v>talia.gomez</v>
          </cell>
          <cell r="F464" t="str">
            <v>talia.gomez@professor.universidadviu.com</v>
          </cell>
          <cell r="G464" t="str">
            <v>Yes</v>
          </cell>
          <cell r="H464" t="str">
            <v>NO</v>
          </cell>
          <cell r="I464" t="str">
            <v>Doctorado</v>
          </cell>
          <cell r="J464" t="str">
            <v>Doctorado</v>
          </cell>
          <cell r="K464" t="str">
            <v>Máster Universitario en Formación del Profesorado de Educación Secundaria Obligatoria y Bachillerato</v>
          </cell>
          <cell r="L464" t="str">
            <v>Licenciado en Lenguas Modernas Español - Inglés</v>
          </cell>
          <cell r="M464" t="str">
            <v>Labour</v>
          </cell>
          <cell r="N464"/>
          <cell r="O464" t="str">
            <v>CBS</v>
          </cell>
          <cell r="P464">
            <v>100</v>
          </cell>
          <cell r="Q464" t="str">
            <v>50</v>
          </cell>
          <cell r="R464"/>
          <cell r="S464" t="str">
            <v>2018-2023</v>
          </cell>
          <cell r="T464" t="str">
            <v>Reducción investigación</v>
          </cell>
          <cell r="U464">
            <v>12</v>
          </cell>
          <cell r="V464">
            <v>26</v>
          </cell>
          <cell r="W464"/>
          <cell r="X464">
            <v>0</v>
          </cell>
          <cell r="Y464">
            <v>0</v>
          </cell>
          <cell r="Z464">
            <v>0</v>
          </cell>
          <cell r="AA464"/>
          <cell r="AB464" t="str">
            <v>Concluded</v>
          </cell>
          <cell r="AC464" t="str">
            <v>NO ACTIVO</v>
          </cell>
          <cell r="AD464"/>
          <cell r="AE464"/>
          <cell r="AF464">
            <v>45596</v>
          </cell>
          <cell r="AG464" t="str">
            <v>CESE DE CONTRATO</v>
          </cell>
          <cell r="AH464"/>
          <cell r="AI464" t="str">
            <v>55063956R</v>
          </cell>
        </row>
        <row r="465">
          <cell r="A465" t="str">
            <v>48624984V</v>
          </cell>
          <cell r="B465" t="str">
            <v>Gomis Jimeno</v>
          </cell>
          <cell r="C465" t="str">
            <v>Francisco Javier</v>
          </cell>
          <cell r="D465" t="str">
            <v>Gomis Jimeno, Francisco Javier</v>
          </cell>
          <cell r="E465" t="str">
            <v>franciscojavier.gomis</v>
          </cell>
          <cell r="F465" t="str">
            <v>franciscojavier.gomis@professional.universidadviu.com</v>
          </cell>
          <cell r="G465" t="str">
            <v>NO</v>
          </cell>
          <cell r="H465" t="str">
            <v>NO</v>
          </cell>
          <cell r="I465" t="str">
            <v>Enfermería</v>
          </cell>
          <cell r="J465" t="str">
            <v>Master universitario en investigación en ciencias de la salud</v>
          </cell>
          <cell r="K465" t="str">
            <v/>
          </cell>
          <cell r="L465" t="str">
            <v/>
          </cell>
          <cell r="M465" t="str">
            <v>Professional</v>
          </cell>
          <cell r="N465" t="str">
            <v/>
          </cell>
          <cell r="O465" t="str">
            <v>CBS</v>
          </cell>
          <cell r="P465">
            <v>0</v>
          </cell>
          <cell r="Q465" t="str">
            <v xml:space="preserve"> </v>
          </cell>
          <cell r="R465"/>
          <cell r="S465"/>
          <cell r="T465" t="str">
            <v>Sin reducción</v>
          </cell>
          <cell r="U465">
            <v>0</v>
          </cell>
          <cell r="V465"/>
          <cell r="W465"/>
          <cell r="X465">
            <v>0</v>
          </cell>
          <cell r="Y465">
            <v>0</v>
          </cell>
          <cell r="Z465">
            <v>0</v>
          </cell>
          <cell r="AA465"/>
          <cell r="AB465" t="str">
            <v>Active - signed</v>
          </cell>
          <cell r="AC465" t="str">
            <v>ACTIVO</v>
          </cell>
          <cell r="AD465"/>
          <cell r="AE465"/>
          <cell r="AF465"/>
          <cell r="AG465"/>
          <cell r="AH465"/>
          <cell r="AI465" t="str">
            <v>48624984V</v>
          </cell>
        </row>
        <row r="466">
          <cell r="A466" t="str">
            <v>Y5694465R</v>
          </cell>
          <cell r="B466" t="str">
            <v>González</v>
          </cell>
          <cell r="C466" t="str">
            <v>Lucas Ezequiel</v>
          </cell>
          <cell r="D466" t="str">
            <v>González, Lucas Ezequiel</v>
          </cell>
          <cell r="E466" t="str">
            <v>lucasezequiel.gonzalez</v>
          </cell>
          <cell r="F466" t="str">
            <v>lucasezequiel.gonzalez@professional.universidadviu.com</v>
          </cell>
          <cell r="G466" t="str">
            <v>NO</v>
          </cell>
          <cell r="H466" t="str">
            <v>NO</v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>Professional</v>
          </cell>
          <cell r="N466" t="str">
            <v/>
          </cell>
          <cell r="O466"/>
          <cell r="P466">
            <v>0</v>
          </cell>
          <cell r="Q466" t="str">
            <v xml:space="preserve"> </v>
          </cell>
          <cell r="R466"/>
          <cell r="S466"/>
          <cell r="T466" t="str">
            <v>Sin reducción</v>
          </cell>
          <cell r="U466">
            <v>0</v>
          </cell>
          <cell r="V466"/>
          <cell r="W466"/>
          <cell r="X466">
            <v>0</v>
          </cell>
          <cell r="Y466">
            <v>0</v>
          </cell>
          <cell r="Z466">
            <v>0</v>
          </cell>
          <cell r="AA466"/>
          <cell r="AB466" t="str">
            <v>Active - signed</v>
          </cell>
          <cell r="AC466" t="str">
            <v>ACTIVO</v>
          </cell>
          <cell r="AD466"/>
          <cell r="AE466"/>
          <cell r="AF466"/>
          <cell r="AG466"/>
          <cell r="AH466"/>
          <cell r="AI466" t="str">
            <v>Y5694465R</v>
          </cell>
        </row>
        <row r="467">
          <cell r="A467">
            <v>27351487173</v>
          </cell>
          <cell r="B467" t="str">
            <v>González Aguilar</v>
          </cell>
          <cell r="C467" t="str">
            <v>María Josefina</v>
          </cell>
          <cell r="D467" t="str">
            <v>González Aguilar, María Josefina</v>
          </cell>
          <cell r="E467" t="str">
            <v>mjosefina.gonzalez</v>
          </cell>
          <cell r="F467" t="str">
            <v>mjosefina.gonzalez@professional.universidadviu.com</v>
          </cell>
          <cell r="G467" t="str">
            <v>NO</v>
          </cell>
          <cell r="H467" t="str">
            <v>NO</v>
          </cell>
          <cell r="I467" t="str">
            <v>Psicología</v>
          </cell>
          <cell r="J467" t="str">
            <v>Doctorado en Psicología</v>
          </cell>
          <cell r="K467" t="str">
            <v/>
          </cell>
          <cell r="L467" t="str">
            <v/>
          </cell>
          <cell r="M467" t="str">
            <v>Professional</v>
          </cell>
          <cell r="N467" t="str">
            <v/>
          </cell>
          <cell r="O467" t="str">
            <v>CSS</v>
          </cell>
          <cell r="P467">
            <v>0</v>
          </cell>
          <cell r="Q467" t="str">
            <v xml:space="preserve"> </v>
          </cell>
          <cell r="R467"/>
          <cell r="S467"/>
          <cell r="T467" t="str">
            <v>Sin reducción</v>
          </cell>
          <cell r="U467">
            <v>0</v>
          </cell>
          <cell r="V467"/>
          <cell r="W467"/>
          <cell r="X467">
            <v>0</v>
          </cell>
          <cell r="Y467">
            <v>0</v>
          </cell>
          <cell r="Z467">
            <v>0</v>
          </cell>
          <cell r="AA467"/>
          <cell r="AB467" t="str">
            <v>Active - signed</v>
          </cell>
          <cell r="AC467" t="str">
            <v>ACTIVO</v>
          </cell>
          <cell r="AD467"/>
          <cell r="AE467"/>
          <cell r="AF467"/>
          <cell r="AG467"/>
          <cell r="AH467"/>
          <cell r="AI467">
            <v>27351487173</v>
          </cell>
        </row>
        <row r="468">
          <cell r="A468" t="str">
            <v>77415753F</v>
          </cell>
          <cell r="B468" t="str">
            <v>González Amado</v>
          </cell>
          <cell r="C468" t="str">
            <v>Bárbara</v>
          </cell>
          <cell r="D468" t="str">
            <v>González Amado, Bárbara</v>
          </cell>
          <cell r="E468" t="str">
            <v>barbara.gonzaleza</v>
          </cell>
          <cell r="F468" t="str">
            <v>barbara.gonzaleza@professor.universidadviu.com</v>
          </cell>
          <cell r="G468" t="str">
            <v>Yes</v>
          </cell>
          <cell r="H468" t="str">
            <v>Yes</v>
          </cell>
          <cell r="I468" t="str">
            <v>Doctorado</v>
          </cell>
          <cell r="J468" t="str">
            <v>Doctorado</v>
          </cell>
          <cell r="K468" t="str">
            <v>Licenciada en Psicología</v>
          </cell>
          <cell r="L468" t="str">
            <v/>
          </cell>
          <cell r="M468" t="str">
            <v>Labour</v>
          </cell>
          <cell r="N468" t="str">
            <v>Duque Moreno, María Aranzazu</v>
          </cell>
          <cell r="O468" t="str">
            <v>CSS</v>
          </cell>
          <cell r="P468">
            <v>100</v>
          </cell>
          <cell r="Q468" t="str">
            <v>50</v>
          </cell>
          <cell r="R468"/>
          <cell r="S468" t="str">
            <v>2013-2020</v>
          </cell>
          <cell r="T468" t="str">
            <v>Dirección de título Máster Universitario &gt; 60 - 1 edición</v>
          </cell>
          <cell r="U468" t="str">
            <v>32</v>
          </cell>
          <cell r="V468"/>
          <cell r="W468"/>
          <cell r="X468">
            <v>0</v>
          </cell>
          <cell r="Y468">
            <v>0</v>
          </cell>
          <cell r="Z468">
            <v>0</v>
          </cell>
          <cell r="AA468"/>
          <cell r="AB468" t="str">
            <v>Concluded</v>
          </cell>
          <cell r="AC468" t="str">
            <v>NO ACTIVO</v>
          </cell>
          <cell r="AD468"/>
          <cell r="AE468"/>
          <cell r="AF468">
            <v>45928</v>
          </cell>
          <cell r="AG468" t="str">
            <v>CESE DE CONTRATO</v>
          </cell>
          <cell r="AH468" t="str">
            <v>09/07 fecha probable parto</v>
          </cell>
          <cell r="AI468" t="str">
            <v>77415753F</v>
          </cell>
        </row>
        <row r="469">
          <cell r="A469" t="str">
            <v>19100908Y</v>
          </cell>
          <cell r="B469" t="str">
            <v>González Cervantes</v>
          </cell>
          <cell r="C469" t="str">
            <v>José Javier</v>
          </cell>
          <cell r="D469" t="str">
            <v>González Cervantes, José Javier</v>
          </cell>
          <cell r="E469" t="str">
            <v>josejavier.gonzalez.c</v>
          </cell>
          <cell r="F469" t="str">
            <v>josejavier.gonzalez.c@professional.universidadviu.com</v>
          </cell>
          <cell r="G469" t="str">
            <v>Yes</v>
          </cell>
          <cell r="H469" t="str">
            <v>NO</v>
          </cell>
          <cell r="I469" t="str">
            <v>Doctorado</v>
          </cell>
          <cell r="J469" t="str">
            <v>Máster Universitario en Formación del Profesorado</v>
          </cell>
          <cell r="K469" t="str">
            <v>Máster Universitario en Bioética</v>
          </cell>
          <cell r="L469" t="str">
            <v>Diplomado/a en Enfermeria</v>
          </cell>
          <cell r="M469" t="str">
            <v>Professional</v>
          </cell>
          <cell r="N469" t="str">
            <v/>
          </cell>
          <cell r="O469" t="str">
            <v>CBS</v>
          </cell>
          <cell r="P469">
            <v>0</v>
          </cell>
          <cell r="Q469" t="str">
            <v xml:space="preserve"> </v>
          </cell>
          <cell r="R469"/>
          <cell r="S469"/>
          <cell r="T469" t="str">
            <v>Sin reducción</v>
          </cell>
          <cell r="U469">
            <v>0</v>
          </cell>
          <cell r="V469"/>
          <cell r="W469"/>
          <cell r="X469">
            <v>0</v>
          </cell>
          <cell r="Y469">
            <v>0</v>
          </cell>
          <cell r="Z469">
            <v>0</v>
          </cell>
          <cell r="AA469"/>
          <cell r="AB469" t="str">
            <v>Active - signed</v>
          </cell>
          <cell r="AC469" t="str">
            <v>ACTIVO</v>
          </cell>
          <cell r="AD469"/>
          <cell r="AE469"/>
          <cell r="AF469"/>
          <cell r="AG469"/>
          <cell r="AH469"/>
          <cell r="AI469" t="str">
            <v>19100908Y</v>
          </cell>
        </row>
        <row r="470">
          <cell r="A470" t="str">
            <v>53222314S</v>
          </cell>
          <cell r="B470" t="str">
            <v>González Chordá</v>
          </cell>
          <cell r="C470" t="str">
            <v>Víctor Manuel</v>
          </cell>
          <cell r="D470" t="str">
            <v>González Chordá, Víctor Manuel</v>
          </cell>
          <cell r="E470" t="str">
            <v>victormanuel.gonzalez.c</v>
          </cell>
          <cell r="F470" t="str">
            <v>victormanuel.gonzalez.c@professional.universidadviu.com</v>
          </cell>
          <cell r="G470" t="str">
            <v>Yes</v>
          </cell>
          <cell r="H470" t="str">
            <v>NO</v>
          </cell>
          <cell r="I470" t="str">
            <v>Enfermería</v>
          </cell>
          <cell r="J470" t="str">
            <v>Programa Oficial de Doctorado en Ciencias de la Salud</v>
          </cell>
          <cell r="K470" t="str">
            <v>Máster Universitario en Ciencias de la Enfermería</v>
          </cell>
          <cell r="L470" t="str">
            <v/>
          </cell>
          <cell r="M470" t="str">
            <v>Professional</v>
          </cell>
          <cell r="N470" t="str">
            <v/>
          </cell>
          <cell r="O470" t="str">
            <v>CBS</v>
          </cell>
          <cell r="P470">
            <v>0</v>
          </cell>
          <cell r="Q470" t="str">
            <v xml:space="preserve"> </v>
          </cell>
          <cell r="R470"/>
          <cell r="S470"/>
          <cell r="T470" t="str">
            <v>Sin reducción</v>
          </cell>
          <cell r="U470">
            <v>0</v>
          </cell>
          <cell r="V470"/>
          <cell r="W470"/>
          <cell r="X470">
            <v>0</v>
          </cell>
          <cell r="Y470">
            <v>0</v>
          </cell>
          <cell r="Z470">
            <v>0</v>
          </cell>
          <cell r="AA470"/>
          <cell r="AB470" t="str">
            <v>Active - signed</v>
          </cell>
          <cell r="AC470" t="str">
            <v>ACTIVO</v>
          </cell>
          <cell r="AD470"/>
          <cell r="AE470"/>
          <cell r="AF470"/>
          <cell r="AG470"/>
          <cell r="AH470"/>
          <cell r="AI470" t="str">
            <v>53222314S</v>
          </cell>
        </row>
        <row r="471">
          <cell r="A471" t="str">
            <v>25180070S</v>
          </cell>
          <cell r="B471" t="str">
            <v>González de la Iglesia</v>
          </cell>
          <cell r="C471" t="str">
            <v>María</v>
          </cell>
          <cell r="D471" t="str">
            <v>González de la Iglesia, María</v>
          </cell>
          <cell r="E471" t="str">
            <v>maria.gonzalez.i</v>
          </cell>
          <cell r="F471" t="str">
            <v>maria.gonzalez.i@professional.universidadviu.com</v>
          </cell>
          <cell r="G471" t="str">
            <v>Yes</v>
          </cell>
          <cell r="H471" t="str">
            <v>NO</v>
          </cell>
          <cell r="I471" t="str">
            <v>Psicología</v>
          </cell>
          <cell r="J471" t="str">
            <v>Programa de Doctorado en Medicina, Psiquiatría y Dermatología</v>
          </cell>
          <cell r="K471" t="str">
            <v>Licenciada en Psicología Clínica</v>
          </cell>
          <cell r="L471" t="str">
            <v/>
          </cell>
          <cell r="M471" t="str">
            <v>Professional</v>
          </cell>
          <cell r="N471" t="str">
            <v/>
          </cell>
          <cell r="O471" t="str">
            <v>CBS/CSS</v>
          </cell>
          <cell r="P471">
            <v>0</v>
          </cell>
          <cell r="Q471" t="str">
            <v xml:space="preserve"> </v>
          </cell>
          <cell r="R471"/>
          <cell r="S471"/>
          <cell r="T471" t="str">
            <v>Sin reducción</v>
          </cell>
          <cell r="U471">
            <v>0</v>
          </cell>
          <cell r="V471"/>
          <cell r="W471"/>
          <cell r="X471">
            <v>0</v>
          </cell>
          <cell r="Y471">
            <v>0</v>
          </cell>
          <cell r="Z471">
            <v>0</v>
          </cell>
          <cell r="AA471"/>
          <cell r="AB471" t="str">
            <v>Active - signed</v>
          </cell>
          <cell r="AC471" t="str">
            <v>ACTIVO</v>
          </cell>
          <cell r="AD471"/>
          <cell r="AE471"/>
          <cell r="AF471"/>
          <cell r="AG471"/>
          <cell r="AH471"/>
          <cell r="AI471" t="str">
            <v>25180070S</v>
          </cell>
        </row>
        <row r="472">
          <cell r="A472" t="str">
            <v>52411224C</v>
          </cell>
          <cell r="B472" t="str">
            <v>González Fernández</v>
          </cell>
          <cell r="C472" t="str">
            <v>Silvia</v>
          </cell>
          <cell r="D472" t="str">
            <v>González Fernández, Silvia</v>
          </cell>
          <cell r="E472" t="str">
            <v>sgonzalezf@professional.universidadviu.com</v>
          </cell>
          <cell r="F472" t="str">
            <v>sgonzalezf@professional.universidadviu.com</v>
          </cell>
          <cell r="G472" t="str">
            <v>Yes</v>
          </cell>
          <cell r="H472" t="str">
            <v>NO</v>
          </cell>
          <cell r="I472" t="str">
            <v>Doctorado en Salud, Discapacidad, Dependencia y Bienestar</v>
          </cell>
          <cell r="J472" t="str">
            <v>Licenciatura en Ciencias Biológicas</v>
          </cell>
          <cell r="K472" t="str">
            <v>Licenciatura en Bioquímica</v>
          </cell>
          <cell r="L472" t="str">
            <v/>
          </cell>
          <cell r="M472" t="str">
            <v>Professional</v>
          </cell>
          <cell r="N472"/>
          <cell r="O472" t="str">
            <v>CBS</v>
          </cell>
          <cell r="P472">
            <v>0</v>
          </cell>
          <cell r="Q472" t="str">
            <v xml:space="preserve"> </v>
          </cell>
          <cell r="R472"/>
          <cell r="S472"/>
          <cell r="T472" t="str">
            <v>Sin reducción</v>
          </cell>
          <cell r="U472">
            <v>0</v>
          </cell>
          <cell r="V472"/>
          <cell r="W472"/>
          <cell r="X472">
            <v>0</v>
          </cell>
          <cell r="Y472">
            <v>0</v>
          </cell>
          <cell r="Z472">
            <v>0</v>
          </cell>
          <cell r="AA472"/>
          <cell r="AB472" t="str">
            <v>Active - signed</v>
          </cell>
          <cell r="AC472" t="str">
            <v>ACTIVO</v>
          </cell>
          <cell r="AD472"/>
          <cell r="AE472"/>
          <cell r="AF472"/>
          <cell r="AG472"/>
          <cell r="AH472"/>
          <cell r="AI472" t="str">
            <v>52411224C</v>
          </cell>
        </row>
        <row r="473">
          <cell r="A473" t="str">
            <v>42320255W</v>
          </cell>
          <cell r="B473" t="str">
            <v>González García</v>
          </cell>
          <cell r="C473" t="str">
            <v>Sergio</v>
          </cell>
          <cell r="D473" t="str">
            <v>González García, Sergio</v>
          </cell>
          <cell r="E473" t="str">
            <v>sgonzalezg@professional.universidadviu.com</v>
          </cell>
          <cell r="F473" t="str">
            <v>sgonzalezg@professional.universidadviu.com</v>
          </cell>
          <cell r="G473" t="str">
            <v>NO</v>
          </cell>
          <cell r="H473" t="str">
            <v>NO</v>
          </cell>
          <cell r="I473" t="str">
            <v>Doctor en ciencias de la Salud</v>
          </cell>
          <cell r="J473" t="str">
            <v>Master en Neurociencia y Biologia del Comportamiento. Estudios de Tercer Ciclo</v>
          </cell>
          <cell r="K473" t="str">
            <v>Licenciado en Bioquímica</v>
          </cell>
          <cell r="L473" t="str">
            <v/>
          </cell>
          <cell r="M473" t="str">
            <v>Professional</v>
          </cell>
          <cell r="N473" t="str">
            <v/>
          </cell>
          <cell r="O473" t="str">
            <v>CBS/CSS</v>
          </cell>
          <cell r="P473">
            <v>0</v>
          </cell>
          <cell r="Q473" t="str">
            <v xml:space="preserve"> </v>
          </cell>
          <cell r="R473"/>
          <cell r="S473"/>
          <cell r="T473" t="str">
            <v>Sin reducción</v>
          </cell>
          <cell r="U473">
            <v>0</v>
          </cell>
          <cell r="V473"/>
          <cell r="W473"/>
          <cell r="X473">
            <v>0</v>
          </cell>
          <cell r="Y473">
            <v>0</v>
          </cell>
          <cell r="Z473">
            <v>0</v>
          </cell>
          <cell r="AA473"/>
          <cell r="AB473" t="str">
            <v>Active - signed</v>
          </cell>
          <cell r="AC473" t="str">
            <v>ACTIVO</v>
          </cell>
          <cell r="AD473"/>
          <cell r="AE473"/>
          <cell r="AF473"/>
          <cell r="AG473"/>
          <cell r="AH473"/>
          <cell r="AI473" t="str">
            <v>42320255W</v>
          </cell>
        </row>
        <row r="474">
          <cell r="A474" t="str">
            <v>08864141X</v>
          </cell>
          <cell r="B474" t="str">
            <v>González Gil</v>
          </cell>
          <cell r="C474" t="str">
            <v>Julio</v>
          </cell>
          <cell r="D474" t="str">
            <v>González Gil, Julio</v>
          </cell>
          <cell r="E474" t="str">
            <v>julio.gonzalez0</v>
          </cell>
          <cell r="F474" t="str">
            <v>julio.gonzalez0@professional.universidadviu.com</v>
          </cell>
          <cell r="G474" t="str">
            <v>NO</v>
          </cell>
          <cell r="H474" t="str">
            <v>NO</v>
          </cell>
          <cell r="I474" t="str">
            <v>Logopedia</v>
          </cell>
          <cell r="J474" t="str">
            <v>Máster universitario en psicologia general sanitaria</v>
          </cell>
          <cell r="K474" t="str">
            <v>Graduado en Psicologia</v>
          </cell>
          <cell r="L474" t="str">
            <v/>
          </cell>
          <cell r="M474" t="str">
            <v>Professional</v>
          </cell>
          <cell r="N474" t="str">
            <v/>
          </cell>
          <cell r="O474" t="str">
            <v>CBS</v>
          </cell>
          <cell r="P474">
            <v>0</v>
          </cell>
          <cell r="Q474" t="str">
            <v xml:space="preserve"> </v>
          </cell>
          <cell r="R474"/>
          <cell r="S474"/>
          <cell r="T474" t="str">
            <v>Sin reducción</v>
          </cell>
          <cell r="U474">
            <v>0</v>
          </cell>
          <cell r="V474"/>
          <cell r="W474"/>
          <cell r="X474">
            <v>0</v>
          </cell>
          <cell r="Y474">
            <v>0</v>
          </cell>
          <cell r="Z474">
            <v>0</v>
          </cell>
          <cell r="AA474"/>
          <cell r="AB474" t="str">
            <v>Active - signed</v>
          </cell>
          <cell r="AC474" t="str">
            <v>ACTIVO</v>
          </cell>
          <cell r="AD474"/>
          <cell r="AE474"/>
          <cell r="AF474"/>
          <cell r="AG474"/>
          <cell r="AH474"/>
          <cell r="AI474" t="str">
            <v>08864141X</v>
          </cell>
        </row>
        <row r="475">
          <cell r="A475" t="str">
            <v>X5480753Z</v>
          </cell>
          <cell r="B475" t="str">
            <v>González Hernández</v>
          </cell>
          <cell r="C475" t="str">
            <v>Edgar</v>
          </cell>
          <cell r="D475" t="str">
            <v>González Hernández, Edgar</v>
          </cell>
          <cell r="E475" t="str">
            <v>edgar.gonzalez.h</v>
          </cell>
          <cell r="F475" t="str">
            <v>edgar.gonzalez.h@professor.universidadviu.com</v>
          </cell>
          <cell r="G475" t="str">
            <v>Yes</v>
          </cell>
          <cell r="H475" t="str">
            <v>NO</v>
          </cell>
          <cell r="I475" t="str">
            <v>Programa de doctorado en Investigación en Psicología</v>
          </cell>
          <cell r="J475" t="str">
            <v/>
          </cell>
          <cell r="K475" t="str">
            <v/>
          </cell>
          <cell r="L475" t="str">
            <v/>
          </cell>
          <cell r="M475" t="str">
            <v>Labour</v>
          </cell>
          <cell r="N475" t="str">
            <v>Ródenas González, Francisco</v>
          </cell>
          <cell r="O475" t="str">
            <v>CSS</v>
          </cell>
          <cell r="P475">
            <v>100</v>
          </cell>
          <cell r="Q475" t="str">
            <v>50</v>
          </cell>
          <cell r="R475"/>
          <cell r="S475"/>
          <cell r="T475" t="str">
            <v>Sin reducción</v>
          </cell>
          <cell r="U475">
            <v>0</v>
          </cell>
          <cell r="V475">
            <v>12</v>
          </cell>
          <cell r="W475"/>
          <cell r="X475">
            <v>15.9</v>
          </cell>
          <cell r="Y475">
            <v>0</v>
          </cell>
          <cell r="Z475">
            <v>0</v>
          </cell>
          <cell r="AA475"/>
          <cell r="AB475" t="str">
            <v>Active - signed</v>
          </cell>
          <cell r="AC475" t="str">
            <v>ACTIVO</v>
          </cell>
          <cell r="AD475"/>
          <cell r="AE475"/>
          <cell r="AF475"/>
          <cell r="AG475"/>
          <cell r="AH475"/>
          <cell r="AI475" t="str">
            <v>X5480753Z</v>
          </cell>
        </row>
        <row r="476">
          <cell r="A476" t="str">
            <v>52528738G</v>
          </cell>
          <cell r="B476" t="str">
            <v>González Matarín</v>
          </cell>
          <cell r="C476" t="str">
            <v>Pedro José</v>
          </cell>
          <cell r="D476" t="str">
            <v>González Matarín, Pedro José</v>
          </cell>
          <cell r="E476" t="str">
            <v>pedrojose.gonzalez@professor.universidadviu.com</v>
          </cell>
          <cell r="F476" t="str">
            <v>pedrojose.gonzalez@professional.universidadviu.com</v>
          </cell>
          <cell r="G476" t="str">
            <v>Yes</v>
          </cell>
          <cell r="H476" t="str">
            <v>Yes</v>
          </cell>
          <cell r="I476" t="str">
            <v>Programa de Doctorado en Ciencias de la Salud</v>
          </cell>
          <cell r="J476" t="str">
            <v>Graduado en Educación Física</v>
          </cell>
          <cell r="K476" t="str">
            <v/>
          </cell>
          <cell r="L476" t="str">
            <v/>
          </cell>
          <cell r="M476" t="str">
            <v>Labour</v>
          </cell>
          <cell r="N476" t="str">
            <v/>
          </cell>
          <cell r="O476" t="str">
            <v>CSS</v>
          </cell>
          <cell r="P476">
            <v>30</v>
          </cell>
          <cell r="Q476" t="str">
            <v>24</v>
          </cell>
          <cell r="R476"/>
          <cell r="S476"/>
          <cell r="T476" t="str">
            <v>Sin reducción</v>
          </cell>
          <cell r="U476">
            <v>0</v>
          </cell>
          <cell r="V476"/>
          <cell r="W476"/>
          <cell r="X476">
            <v>0</v>
          </cell>
          <cell r="Y476">
            <v>0</v>
          </cell>
          <cell r="Z476">
            <v>0</v>
          </cell>
          <cell r="AA476"/>
          <cell r="AB476" t="str">
            <v>Active - signed</v>
          </cell>
          <cell r="AC476" t="str">
            <v>ACTIVO</v>
          </cell>
          <cell r="AD476"/>
          <cell r="AE476"/>
          <cell r="AF476"/>
          <cell r="AG476"/>
          <cell r="AH476"/>
          <cell r="AI476" t="str">
            <v>52528738G</v>
          </cell>
        </row>
        <row r="477">
          <cell r="A477" t="str">
            <v>73587926R</v>
          </cell>
          <cell r="B477" t="str">
            <v>González Moreno</v>
          </cell>
          <cell r="C477" t="str">
            <v>Jesús</v>
          </cell>
          <cell r="D477" t="str">
            <v>González Moreno, Jesús</v>
          </cell>
          <cell r="E477" t="str">
            <v>jesus.gonzalezm</v>
          </cell>
          <cell r="F477" t="str">
            <v>jesus.gonzalezm@professor.universidadviu.com</v>
          </cell>
          <cell r="G477" t="str">
            <v>Yes</v>
          </cell>
          <cell r="H477" t="str">
            <v>Yes</v>
          </cell>
          <cell r="I477" t="str">
            <v>Programa de Doctorado en Psicogerontología: Perspectiva del Ciclo de la vida</v>
          </cell>
          <cell r="J477" t="str">
            <v>Programa de Doctorado en Psicogerontología: Perspectiva del Ciclo de la vida</v>
          </cell>
          <cell r="K477" t="str">
            <v>Licenciado en Psicología</v>
          </cell>
          <cell r="L477" t="str">
            <v/>
          </cell>
          <cell r="M477" t="str">
            <v>Labour</v>
          </cell>
          <cell r="N477"/>
          <cell r="O477" t="str">
            <v>CSS</v>
          </cell>
          <cell r="P477">
            <v>100</v>
          </cell>
          <cell r="Q477" t="str">
            <v>50</v>
          </cell>
          <cell r="R477"/>
          <cell r="S477"/>
          <cell r="T477" t="str">
            <v>Dirección de título Máster Universitario - 2 ediciones</v>
          </cell>
          <cell r="U477">
            <v>38</v>
          </cell>
          <cell r="V477"/>
          <cell r="W477"/>
          <cell r="X477">
            <v>0</v>
          </cell>
          <cell r="Y477">
            <v>0</v>
          </cell>
          <cell r="Z477">
            <v>0</v>
          </cell>
          <cell r="AA477"/>
          <cell r="AB477" t="str">
            <v>Concluded</v>
          </cell>
          <cell r="AC477" t="str">
            <v>NO ACTIVO</v>
          </cell>
          <cell r="AD477"/>
          <cell r="AE477"/>
          <cell r="AF477">
            <v>45834</v>
          </cell>
          <cell r="AG477" t="str">
            <v>CESE DE CONTRATO</v>
          </cell>
          <cell r="AH477"/>
          <cell r="AI477" t="str">
            <v>73587926R</v>
          </cell>
        </row>
        <row r="478">
          <cell r="A478" t="str">
            <v>33287426D</v>
          </cell>
          <cell r="B478" t="str">
            <v>González Pais</v>
          </cell>
          <cell r="C478" t="str">
            <v>María del Carmen</v>
          </cell>
          <cell r="D478" t="str">
            <v>González Pais, María del Carmen</v>
          </cell>
          <cell r="E478" t="str">
            <v>mariadelcarmen.gonzalez0</v>
          </cell>
          <cell r="F478" t="str">
            <v>mariadelcarmen.gonzalez0@professional.universidadviu.com</v>
          </cell>
          <cell r="G478" t="str">
            <v>NO</v>
          </cell>
          <cell r="H478" t="str">
            <v>NO</v>
          </cell>
          <cell r="I478" t="str">
            <v>Psicología</v>
          </cell>
          <cell r="J478" t="str">
            <v>Máster en Psicologia jurídica</v>
          </cell>
          <cell r="K478" t="str">
            <v>Licenciada en filosofía y ciencias de la educación</v>
          </cell>
          <cell r="L478" t="str">
            <v/>
          </cell>
          <cell r="M478" t="str">
            <v>Professional</v>
          </cell>
          <cell r="N478" t="str">
            <v/>
          </cell>
          <cell r="O478" t="str">
            <v>CSS</v>
          </cell>
          <cell r="P478">
            <v>0</v>
          </cell>
          <cell r="Q478" t="str">
            <v xml:space="preserve"> </v>
          </cell>
          <cell r="R478"/>
          <cell r="S478"/>
          <cell r="T478" t="str">
            <v>Sin reducción</v>
          </cell>
          <cell r="U478">
            <v>0</v>
          </cell>
          <cell r="V478"/>
          <cell r="W478"/>
          <cell r="X478">
            <v>0</v>
          </cell>
          <cell r="Y478">
            <v>0</v>
          </cell>
          <cell r="Z478">
            <v>0</v>
          </cell>
          <cell r="AA478"/>
          <cell r="AB478" t="str">
            <v>Active - signed</v>
          </cell>
          <cell r="AC478" t="str">
            <v>ACTIVO</v>
          </cell>
          <cell r="AD478"/>
          <cell r="AE478"/>
          <cell r="AF478"/>
          <cell r="AG478"/>
          <cell r="AH478"/>
          <cell r="AI478" t="str">
            <v>33287426D</v>
          </cell>
        </row>
        <row r="479">
          <cell r="A479" t="str">
            <v>26744893X</v>
          </cell>
          <cell r="B479" t="str">
            <v>González Pérez</v>
          </cell>
          <cell r="C479" t="str">
            <v>Adelaida</v>
          </cell>
          <cell r="D479" t="str">
            <v>González Pérez, Adelaida</v>
          </cell>
          <cell r="E479" t="str">
            <v>adelaida.gonzalez</v>
          </cell>
          <cell r="F479" t="str">
            <v>adelaida.gonzalez@professional.universidadviu.com</v>
          </cell>
          <cell r="G479" t="str">
            <v>Yes</v>
          </cell>
          <cell r="H479" t="str">
            <v>NO</v>
          </cell>
          <cell r="I479" t="str">
            <v>Psicología</v>
          </cell>
          <cell r="J479" t="str">
            <v>Master Universitario en Psicología General Sanitaria</v>
          </cell>
          <cell r="K479" t="str">
            <v/>
          </cell>
          <cell r="L479" t="str">
            <v/>
          </cell>
          <cell r="M479" t="str">
            <v>Professional</v>
          </cell>
          <cell r="N479" t="str">
            <v/>
          </cell>
          <cell r="O479" t="str">
            <v>CSS</v>
          </cell>
          <cell r="P479">
            <v>0</v>
          </cell>
          <cell r="Q479" t="str">
            <v xml:space="preserve"> </v>
          </cell>
          <cell r="R479"/>
          <cell r="S479"/>
          <cell r="T479" t="str">
            <v>Sin reducción</v>
          </cell>
          <cell r="U479">
            <v>0</v>
          </cell>
          <cell r="V479"/>
          <cell r="W479"/>
          <cell r="X479">
            <v>0</v>
          </cell>
          <cell r="Y479">
            <v>0</v>
          </cell>
          <cell r="Z479">
            <v>0</v>
          </cell>
          <cell r="AA479"/>
          <cell r="AB479" t="str">
            <v>Concluded</v>
          </cell>
          <cell r="AC479" t="str">
            <v>NO ACTIVO</v>
          </cell>
          <cell r="AD479"/>
          <cell r="AE479"/>
          <cell r="AF479">
            <v>45230</v>
          </cell>
          <cell r="AG479" t="str">
            <v>CESE DE CONTRATO</v>
          </cell>
          <cell r="AH479"/>
          <cell r="AI479" t="str">
            <v>26744893X</v>
          </cell>
        </row>
        <row r="480">
          <cell r="A480" t="str">
            <v>39921445T</v>
          </cell>
          <cell r="B480" t="str">
            <v>González Robles</v>
          </cell>
          <cell r="C480" t="str">
            <v>Vicente Alberto</v>
          </cell>
          <cell r="D480" t="str">
            <v>González Robles, Vicente Alberto</v>
          </cell>
          <cell r="E480" t="str">
            <v>vicentealberto.gonzalez</v>
          </cell>
          <cell r="F480" t="str">
            <v>vicentealberto.gonzalez@professional.universidadviu.com</v>
          </cell>
          <cell r="G480" t="str">
            <v>Yes</v>
          </cell>
          <cell r="H480" t="str">
            <v>Yes</v>
          </cell>
          <cell r="I480" t="str">
            <v>Psicología</v>
          </cell>
          <cell r="J480" t="str">
            <v>Doctorado en Psicología</v>
          </cell>
          <cell r="K480" t="str">
            <v/>
          </cell>
          <cell r="L480" t="str">
            <v/>
          </cell>
          <cell r="M480" t="str">
            <v>Professional</v>
          </cell>
          <cell r="N480" t="str">
            <v/>
          </cell>
          <cell r="O480" t="str">
            <v>CSS</v>
          </cell>
          <cell r="P480">
            <v>0</v>
          </cell>
          <cell r="Q480" t="str">
            <v xml:space="preserve"> </v>
          </cell>
          <cell r="R480"/>
          <cell r="S480"/>
          <cell r="T480" t="str">
            <v>Sin reducción</v>
          </cell>
          <cell r="U480">
            <v>0</v>
          </cell>
          <cell r="V480"/>
          <cell r="W480"/>
          <cell r="X480">
            <v>0</v>
          </cell>
          <cell r="Y480">
            <v>0</v>
          </cell>
          <cell r="Z480">
            <v>0</v>
          </cell>
          <cell r="AA480"/>
          <cell r="AB480" t="str">
            <v>Active - signed</v>
          </cell>
          <cell r="AC480" t="str">
            <v>ACTIVO</v>
          </cell>
          <cell r="AD480"/>
          <cell r="AE480"/>
          <cell r="AF480"/>
          <cell r="AG480"/>
          <cell r="AH480"/>
          <cell r="AI480" t="str">
            <v>39921445T</v>
          </cell>
        </row>
        <row r="481">
          <cell r="A481" t="str">
            <v>71155453P</v>
          </cell>
          <cell r="B481" t="str">
            <v>González Romero</v>
          </cell>
          <cell r="C481" t="str">
            <v>Inmaculada</v>
          </cell>
          <cell r="D481" t="str">
            <v>González Romero, Inmaculada</v>
          </cell>
          <cell r="E481" t="str">
            <v>igonzalezr@professional.universidadviu.com</v>
          </cell>
          <cell r="F481" t="str">
            <v>igonzalezr@professional.universidadviu.com</v>
          </cell>
          <cell r="G481" t="str">
            <v>NO</v>
          </cell>
          <cell r="H481" t="str">
            <v>NO</v>
          </cell>
          <cell r="I481" t="str">
            <v>Máster en Psicología General Sanitaria</v>
          </cell>
          <cell r="J481" t="str">
            <v>Licenciado en Psicología</v>
          </cell>
          <cell r="K481" t="str">
            <v/>
          </cell>
          <cell r="L481" t="str">
            <v/>
          </cell>
          <cell r="M481" t="str">
            <v>Professional</v>
          </cell>
          <cell r="N481" t="str">
            <v/>
          </cell>
          <cell r="O481" t="str">
            <v>CSS</v>
          </cell>
          <cell r="P481">
            <v>0</v>
          </cell>
          <cell r="Q481" t="str">
            <v xml:space="preserve"> </v>
          </cell>
          <cell r="R481"/>
          <cell r="S481"/>
          <cell r="T481" t="str">
            <v>Sin reducción</v>
          </cell>
          <cell r="U481">
            <v>0</v>
          </cell>
          <cell r="V481"/>
          <cell r="W481"/>
          <cell r="X481">
            <v>0</v>
          </cell>
          <cell r="Y481">
            <v>0</v>
          </cell>
          <cell r="Z481">
            <v>0</v>
          </cell>
          <cell r="AA481"/>
          <cell r="AB481" t="str">
            <v>Active - signed</v>
          </cell>
          <cell r="AC481" t="str">
            <v>ACTIVO</v>
          </cell>
          <cell r="AD481"/>
          <cell r="AE481"/>
          <cell r="AF481"/>
          <cell r="AG481"/>
          <cell r="AH481"/>
          <cell r="AI481" t="str">
            <v>71155453P</v>
          </cell>
        </row>
        <row r="482">
          <cell r="A482" t="str">
            <v>14312637J</v>
          </cell>
          <cell r="B482" t="str">
            <v>González Sánchez</v>
          </cell>
          <cell r="C482" t="str">
            <v>Beatriz</v>
          </cell>
          <cell r="D482" t="str">
            <v>González Sánchez, Beatriz</v>
          </cell>
          <cell r="E482" t="str">
            <v>beatriz.gonzalez4</v>
          </cell>
          <cell r="F482" t="str">
            <v>beatriz.gonzalez4@professional.universidadviu.com</v>
          </cell>
          <cell r="G482" t="str">
            <v>Yes</v>
          </cell>
          <cell r="H482" t="str">
            <v>NO</v>
          </cell>
          <cell r="I482" t="str">
            <v>Biotecnología</v>
          </cell>
          <cell r="J482" t="str">
            <v>Doctorado en enologia y biotecnologia</v>
          </cell>
          <cell r="K482" t="str">
            <v>Master universitario en enologia</v>
          </cell>
          <cell r="L482" t="str">
            <v/>
          </cell>
          <cell r="M482" t="str">
            <v>Professional</v>
          </cell>
          <cell r="N482" t="str">
            <v/>
          </cell>
          <cell r="O482" t="str">
            <v>CBS</v>
          </cell>
          <cell r="P482">
            <v>0</v>
          </cell>
          <cell r="Q482" t="str">
            <v xml:space="preserve"> </v>
          </cell>
          <cell r="R482"/>
          <cell r="S482"/>
          <cell r="T482" t="str">
            <v>Sin reducción</v>
          </cell>
          <cell r="U482">
            <v>0</v>
          </cell>
          <cell r="V482"/>
          <cell r="W482"/>
          <cell r="X482">
            <v>0</v>
          </cell>
          <cell r="Y482">
            <v>0</v>
          </cell>
          <cell r="Z482">
            <v>0</v>
          </cell>
          <cell r="AA482"/>
          <cell r="AB482" t="str">
            <v>Active - signed</v>
          </cell>
          <cell r="AC482" t="str">
            <v>ACTIVO</v>
          </cell>
          <cell r="AD482"/>
          <cell r="AE482"/>
          <cell r="AF482"/>
          <cell r="AG482"/>
          <cell r="AH482"/>
          <cell r="AI482" t="str">
            <v>14312637J</v>
          </cell>
        </row>
        <row r="483">
          <cell r="A483" t="str">
            <v>51460044M</v>
          </cell>
          <cell r="B483" t="str">
            <v>González Vaca</v>
          </cell>
          <cell r="C483" t="str">
            <v>Julia</v>
          </cell>
          <cell r="D483" t="str">
            <v>González Vaca, Julia</v>
          </cell>
          <cell r="E483" t="str">
            <v>julia.gonzalez2</v>
          </cell>
          <cell r="F483" t="str">
            <v>julia.gonzalez2@professional.universidadviu.com</v>
          </cell>
          <cell r="G483" t="str">
            <v>Yes</v>
          </cell>
          <cell r="H483" t="str">
            <v>NO</v>
          </cell>
          <cell r="I483" t="str">
            <v>Enfermería</v>
          </cell>
          <cell r="J483" t="str">
            <v>Enfermera especialista en enfermeria geriatrica</v>
          </cell>
          <cell r="K483" t="str">
            <v>Doctorado en enfermería y salud</v>
          </cell>
          <cell r="L483" t="str">
            <v/>
          </cell>
          <cell r="M483" t="str">
            <v>Professional</v>
          </cell>
          <cell r="N483" t="str">
            <v/>
          </cell>
          <cell r="O483" t="str">
            <v>CBS</v>
          </cell>
          <cell r="P483">
            <v>0</v>
          </cell>
          <cell r="Q483" t="str">
            <v xml:space="preserve"> </v>
          </cell>
          <cell r="R483"/>
          <cell r="S483"/>
          <cell r="T483" t="str">
            <v>Sin reducción</v>
          </cell>
          <cell r="U483">
            <v>0</v>
          </cell>
          <cell r="V483"/>
          <cell r="W483"/>
          <cell r="X483">
            <v>0</v>
          </cell>
          <cell r="Y483">
            <v>0</v>
          </cell>
          <cell r="Z483">
            <v>0</v>
          </cell>
          <cell r="AA483"/>
          <cell r="AB483" t="str">
            <v>Active - signed</v>
          </cell>
          <cell r="AC483" t="str">
            <v>ACTIVO</v>
          </cell>
          <cell r="AD483"/>
          <cell r="AE483"/>
          <cell r="AF483"/>
          <cell r="AG483"/>
          <cell r="AH483"/>
          <cell r="AI483" t="str">
            <v>51460044M</v>
          </cell>
        </row>
        <row r="484">
          <cell r="A484" t="str">
            <v>33941902C</v>
          </cell>
          <cell r="B484" t="str">
            <v>Gorchs Molist</v>
          </cell>
          <cell r="C484" t="str">
            <v>Montserrat</v>
          </cell>
          <cell r="D484" t="str">
            <v>Gorchs Molist, Montserrat</v>
          </cell>
          <cell r="E484" t="str">
            <v>montserrat.gorchs</v>
          </cell>
          <cell r="F484" t="str">
            <v>montserrat.gorchs@professional.universidadviu.com</v>
          </cell>
          <cell r="G484" t="str">
            <v>Yes</v>
          </cell>
          <cell r="H484" t="str">
            <v>NO</v>
          </cell>
          <cell r="I484" t="str">
            <v>Enfermería</v>
          </cell>
          <cell r="J484" t="str">
            <v>Programa de Doctorado en Medicina o Investigación Traslacional</v>
          </cell>
          <cell r="K484" t="str">
            <v>Postgrado en Oxiología</v>
          </cell>
          <cell r="L484" t="str">
            <v>Máster de educación profesionales de ciencias de la salud</v>
          </cell>
          <cell r="M484" t="str">
            <v>Professional</v>
          </cell>
          <cell r="N484" t="str">
            <v/>
          </cell>
          <cell r="O484" t="str">
            <v>CBS</v>
          </cell>
          <cell r="P484">
            <v>0</v>
          </cell>
          <cell r="Q484" t="str">
            <v xml:space="preserve"> </v>
          </cell>
          <cell r="R484"/>
          <cell r="S484"/>
          <cell r="T484" t="str">
            <v>Sin reducción</v>
          </cell>
          <cell r="U484">
            <v>0</v>
          </cell>
          <cell r="V484"/>
          <cell r="W484"/>
          <cell r="X484">
            <v>0</v>
          </cell>
          <cell r="Y484">
            <v>0</v>
          </cell>
          <cell r="Z484">
            <v>0</v>
          </cell>
          <cell r="AA484"/>
          <cell r="AB484" t="str">
            <v>Active - signed</v>
          </cell>
          <cell r="AC484" t="str">
            <v>ACTIVO</v>
          </cell>
          <cell r="AD484"/>
          <cell r="AE484"/>
          <cell r="AF484"/>
          <cell r="AG484"/>
          <cell r="AH484"/>
          <cell r="AI484" t="str">
            <v>33941902C</v>
          </cell>
        </row>
        <row r="485">
          <cell r="A485" t="str">
            <v>18986878X</v>
          </cell>
          <cell r="B485" t="str">
            <v>Gozalbo Monfort</v>
          </cell>
          <cell r="C485" t="str">
            <v>Mónica María</v>
          </cell>
          <cell r="D485" t="str">
            <v>Gozalbo Monfort, Mónica María</v>
          </cell>
          <cell r="E485" t="str">
            <v>monicamaria.gozalbo</v>
          </cell>
          <cell r="F485" t="str">
            <v>monicamaria.gozalbo@professional.universidadviu.com</v>
          </cell>
          <cell r="G485" t="str">
            <v>Yes</v>
          </cell>
          <cell r="H485" t="str">
            <v>Yes</v>
          </cell>
          <cell r="I485" t="str">
            <v>Bioquímica</v>
          </cell>
          <cell r="J485" t="str">
            <v>Programa Parasitología Humana y Animal</v>
          </cell>
          <cell r="K485" t="str">
            <v>Licenciada en Farmacia</v>
          </cell>
          <cell r="L485" t="str">
            <v/>
          </cell>
          <cell r="M485" t="str">
            <v>Professional</v>
          </cell>
          <cell r="N485" t="str">
            <v/>
          </cell>
          <cell r="O485" t="str">
            <v>CBS</v>
          </cell>
          <cell r="P485">
            <v>0</v>
          </cell>
          <cell r="Q485" t="str">
            <v xml:space="preserve"> </v>
          </cell>
          <cell r="R485"/>
          <cell r="S485"/>
          <cell r="T485" t="str">
            <v>Sin reducción</v>
          </cell>
          <cell r="U485">
            <v>0</v>
          </cell>
          <cell r="V485"/>
          <cell r="W485"/>
          <cell r="X485">
            <v>0</v>
          </cell>
          <cell r="Y485">
            <v>0</v>
          </cell>
          <cell r="Z485">
            <v>0</v>
          </cell>
          <cell r="AA485"/>
          <cell r="AB485" t="str">
            <v>Active - signed</v>
          </cell>
          <cell r="AC485" t="str">
            <v>ACTIVO</v>
          </cell>
          <cell r="AD485"/>
          <cell r="AE485"/>
          <cell r="AF485"/>
          <cell r="AG485"/>
          <cell r="AH485"/>
          <cell r="AI485" t="str">
            <v>18986878X</v>
          </cell>
        </row>
        <row r="486">
          <cell r="A486" t="str">
            <v>29092139Z</v>
          </cell>
          <cell r="B486" t="str">
            <v>Granada López</v>
          </cell>
          <cell r="C486" t="str">
            <v>José Manuel</v>
          </cell>
          <cell r="D486" t="str">
            <v>Granada López, José Manuel</v>
          </cell>
          <cell r="E486" t="str">
            <v>josemanuel.granada</v>
          </cell>
          <cell r="F486" t="str">
            <v>josemanuel.granada@professional.universidadviu.com</v>
          </cell>
          <cell r="G486" t="str">
            <v>Yes</v>
          </cell>
          <cell r="H486" t="str">
            <v>NO</v>
          </cell>
          <cell r="I486" t="str">
            <v>Enfermería</v>
          </cell>
          <cell r="J486" t="str">
            <v>GRADUADO EN ENFERMERÍA</v>
          </cell>
          <cell r="K486" t="str">
            <v>ENFERMERO ESPECIALISTA EN ENFERMERÍA DE SALUD MENTAL</v>
          </cell>
          <cell r="L486" t="str">
            <v/>
          </cell>
          <cell r="M486" t="str">
            <v>Professional</v>
          </cell>
          <cell r="N486" t="str">
            <v/>
          </cell>
          <cell r="O486" t="str">
            <v>CBS</v>
          </cell>
          <cell r="P486">
            <v>0</v>
          </cell>
          <cell r="Q486" t="str">
            <v xml:space="preserve"> </v>
          </cell>
          <cell r="R486"/>
          <cell r="S486"/>
          <cell r="T486" t="str">
            <v>Sin reducción</v>
          </cell>
          <cell r="U486">
            <v>0</v>
          </cell>
          <cell r="V486"/>
          <cell r="W486"/>
          <cell r="X486">
            <v>0</v>
          </cell>
          <cell r="Y486">
            <v>0</v>
          </cell>
          <cell r="Z486">
            <v>0</v>
          </cell>
          <cell r="AA486"/>
          <cell r="AB486" t="str">
            <v>Active - signed</v>
          </cell>
          <cell r="AC486" t="str">
            <v>ACTIVO</v>
          </cell>
          <cell r="AD486"/>
          <cell r="AE486"/>
          <cell r="AF486"/>
          <cell r="AG486"/>
          <cell r="AH486"/>
          <cell r="AI486" t="str">
            <v>29092139Z</v>
          </cell>
        </row>
        <row r="487">
          <cell r="A487" t="str">
            <v>Y0659226Z</v>
          </cell>
          <cell r="B487" t="str">
            <v>Grimplet</v>
          </cell>
          <cell r="C487" t="str">
            <v>Jerome</v>
          </cell>
          <cell r="D487" t="str">
            <v>Grimplet, Jerome</v>
          </cell>
          <cell r="E487" t="str">
            <v>jerome.grimplet</v>
          </cell>
          <cell r="F487" t="str">
            <v>jerome.grimplet@professional.universidadviu.com</v>
          </cell>
          <cell r="G487" t="str">
            <v>NO</v>
          </cell>
          <cell r="H487" t="str">
            <v>NO</v>
          </cell>
          <cell r="I487" t="str">
            <v>Diplome de Docteur</v>
          </cell>
          <cell r="J487" t="str">
            <v/>
          </cell>
          <cell r="K487" t="str">
            <v/>
          </cell>
          <cell r="L487" t="str">
            <v/>
          </cell>
          <cell r="M487" t="str">
            <v>Professional</v>
          </cell>
          <cell r="N487" t="str">
            <v/>
          </cell>
          <cell r="O487" t="str">
            <v>CBS</v>
          </cell>
          <cell r="P487">
            <v>0</v>
          </cell>
          <cell r="Q487" t="str">
            <v xml:space="preserve"> </v>
          </cell>
          <cell r="R487"/>
          <cell r="S487"/>
          <cell r="T487" t="str">
            <v>Sin reducción</v>
          </cell>
          <cell r="U487">
            <v>0</v>
          </cell>
          <cell r="V487"/>
          <cell r="W487"/>
          <cell r="X487">
            <v>0</v>
          </cell>
          <cell r="Y487">
            <v>0</v>
          </cell>
          <cell r="Z487">
            <v>0</v>
          </cell>
          <cell r="AA487"/>
          <cell r="AB487" t="str">
            <v>Concluded</v>
          </cell>
          <cell r="AC487" t="str">
            <v>ACTIVO</v>
          </cell>
          <cell r="AD487"/>
          <cell r="AE487"/>
          <cell r="AF487"/>
          <cell r="AG487"/>
          <cell r="AH487"/>
          <cell r="AI487" t="str">
            <v>Y0659226Z</v>
          </cell>
        </row>
        <row r="488">
          <cell r="A488" t="str">
            <v>CU84091127227</v>
          </cell>
          <cell r="B488" t="str">
            <v>Gross Tur</v>
          </cell>
          <cell r="C488" t="str">
            <v>Ramiro</v>
          </cell>
          <cell r="D488" t="str">
            <v>Gross Tur, Ramiro</v>
          </cell>
          <cell r="E488" t="str">
            <v>rgrosst@professional.universidadviu.com</v>
          </cell>
          <cell r="F488" t="str">
            <v>rgrosst@professional.universidadviu.com</v>
          </cell>
          <cell r="G488" t="str">
            <v>Yes</v>
          </cell>
          <cell r="H488" t="str">
            <v>NO</v>
          </cell>
          <cell r="I488" t="str">
            <v>Doctor en Ciencias Pedagógicas</v>
          </cell>
          <cell r="J488" t="str">
            <v>Diplomado: Formación del pensamiento científico investigativo para jóvenes docentes</v>
          </cell>
          <cell r="K488" t="str">
            <v>Licenciado en Psicología</v>
          </cell>
          <cell r="L488" t="str">
            <v/>
          </cell>
          <cell r="M488" t="str">
            <v>Professional</v>
          </cell>
          <cell r="N488"/>
          <cell r="O488" t="str">
            <v>CSS</v>
          </cell>
          <cell r="P488">
            <v>0</v>
          </cell>
          <cell r="Q488" t="str">
            <v xml:space="preserve"> </v>
          </cell>
          <cell r="R488"/>
          <cell r="S488"/>
          <cell r="T488" t="str">
            <v>Sin reducción</v>
          </cell>
          <cell r="U488">
            <v>0</v>
          </cell>
          <cell r="V488"/>
          <cell r="W488"/>
          <cell r="X488">
            <v>0</v>
          </cell>
          <cell r="Y488">
            <v>0</v>
          </cell>
          <cell r="Z488">
            <v>0</v>
          </cell>
          <cell r="AA488"/>
          <cell r="AB488" t="str">
            <v>Concluded</v>
          </cell>
          <cell r="AC488" t="str">
            <v>ACTIVO</v>
          </cell>
          <cell r="AD488"/>
          <cell r="AE488"/>
          <cell r="AF488"/>
          <cell r="AG488"/>
          <cell r="AH488"/>
          <cell r="AI488" t="str">
            <v>CU84091127227</v>
          </cell>
        </row>
        <row r="489">
          <cell r="A489" t="str">
            <v>74895367F</v>
          </cell>
          <cell r="B489" t="str">
            <v>Guerrero Pertíñez</v>
          </cell>
          <cell r="C489" t="str">
            <v>Gloria</v>
          </cell>
          <cell r="D489" t="str">
            <v>Guerrero Pertíñez, Gloria</v>
          </cell>
          <cell r="E489" t="str">
            <v>gguerrerop@professional.universidadviu.com</v>
          </cell>
          <cell r="F489" t="str">
            <v>gguerrerop@professional.universidadviu.com</v>
          </cell>
          <cell r="G489" t="str">
            <v>Yes</v>
          </cell>
          <cell r="H489" t="str">
            <v>Yes</v>
          </cell>
          <cell r="I489" t="str">
            <v>Doctorado en Neurociencia y sus Aplicaciones Clínicas</v>
          </cell>
          <cell r="J489" t="str">
            <v>Licenciada en Psicología</v>
          </cell>
          <cell r="K489" t="str">
            <v>Máster Psicología General Sanitaria</v>
          </cell>
          <cell r="L489" t="str">
            <v/>
          </cell>
          <cell r="M489" t="str">
            <v>Professional</v>
          </cell>
          <cell r="N489" t="str">
            <v/>
          </cell>
          <cell r="O489" t="str">
            <v>CSS</v>
          </cell>
          <cell r="P489">
            <v>0</v>
          </cell>
          <cell r="Q489" t="str">
            <v xml:space="preserve"> </v>
          </cell>
          <cell r="R489"/>
          <cell r="S489"/>
          <cell r="T489" t="str">
            <v>Sin reducción</v>
          </cell>
          <cell r="U489">
            <v>0</v>
          </cell>
          <cell r="V489"/>
          <cell r="W489"/>
          <cell r="X489">
            <v>0</v>
          </cell>
          <cell r="Y489">
            <v>0</v>
          </cell>
          <cell r="Z489">
            <v>0</v>
          </cell>
          <cell r="AA489"/>
          <cell r="AB489" t="str">
            <v>Active - signed</v>
          </cell>
          <cell r="AC489" t="str">
            <v>ACTIVO</v>
          </cell>
          <cell r="AD489"/>
          <cell r="AE489"/>
          <cell r="AF489"/>
          <cell r="AG489"/>
          <cell r="AH489"/>
          <cell r="AI489" t="str">
            <v>74895367F</v>
          </cell>
        </row>
        <row r="490">
          <cell r="A490" t="str">
            <v>21011903T</v>
          </cell>
          <cell r="B490" t="str">
            <v>Guijarro Blanco</v>
          </cell>
          <cell r="C490" t="str">
            <v>José María</v>
          </cell>
          <cell r="D490" t="str">
            <v>Guijarro Blanco, José María</v>
          </cell>
          <cell r="E490" t="str">
            <v>jose.guijarro@professional.universidadviu.com</v>
          </cell>
          <cell r="F490" t="str">
            <v>jose.guijarro@professional.universidadviu.com</v>
          </cell>
          <cell r="G490" t="str">
            <v>NO</v>
          </cell>
          <cell r="H490" t="str">
            <v>NO</v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>Professional</v>
          </cell>
          <cell r="N490"/>
          <cell r="O490" t="str">
            <v>CBS</v>
          </cell>
          <cell r="P490">
            <v>0</v>
          </cell>
          <cell r="Q490" t="str">
            <v xml:space="preserve"> </v>
          </cell>
          <cell r="R490"/>
          <cell r="S490"/>
          <cell r="T490" t="str">
            <v>Sin reducción</v>
          </cell>
          <cell r="U490">
            <v>0</v>
          </cell>
          <cell r="V490"/>
          <cell r="W490"/>
          <cell r="X490">
            <v>0</v>
          </cell>
          <cell r="Y490">
            <v>0</v>
          </cell>
          <cell r="Z490">
            <v>0</v>
          </cell>
          <cell r="AA490"/>
          <cell r="AB490" t="str">
            <v>Active - signed</v>
          </cell>
          <cell r="AC490" t="str">
            <v>ACTIVO</v>
          </cell>
          <cell r="AD490"/>
          <cell r="AE490"/>
          <cell r="AF490"/>
          <cell r="AG490"/>
          <cell r="AH490"/>
          <cell r="AI490" t="str">
            <v>21011903T</v>
          </cell>
        </row>
        <row r="491">
          <cell r="A491" t="str">
            <v>28707275D</v>
          </cell>
          <cell r="B491" t="str">
            <v>Guil Bozal</v>
          </cell>
          <cell r="C491" t="str">
            <v>Rocío</v>
          </cell>
          <cell r="D491" t="str">
            <v>Guil Bozal, Rocío</v>
          </cell>
          <cell r="E491" t="str">
            <v>rguilb@professional.universidadviu.com</v>
          </cell>
          <cell r="F491" t="str">
            <v>rguilb@professional.universidadviu.com</v>
          </cell>
          <cell r="G491" t="str">
            <v>Yes</v>
          </cell>
          <cell r="H491" t="str">
            <v>NO</v>
          </cell>
          <cell r="I491" t="str">
            <v>Psicología</v>
          </cell>
          <cell r="J491" t="str">
            <v/>
          </cell>
          <cell r="K491" t="str">
            <v/>
          </cell>
          <cell r="L491" t="str">
            <v/>
          </cell>
          <cell r="M491" t="str">
            <v>Professional</v>
          </cell>
          <cell r="N491" t="str">
            <v/>
          </cell>
          <cell r="O491" t="str">
            <v>CSS</v>
          </cell>
          <cell r="P491">
            <v>0</v>
          </cell>
          <cell r="Q491" t="str">
            <v xml:space="preserve"> </v>
          </cell>
          <cell r="R491"/>
          <cell r="S491"/>
          <cell r="T491" t="str">
            <v>Sin reducción</v>
          </cell>
          <cell r="U491">
            <v>0</v>
          </cell>
          <cell r="V491"/>
          <cell r="W491"/>
          <cell r="X491">
            <v>0</v>
          </cell>
          <cell r="Y491">
            <v>0</v>
          </cell>
          <cell r="Z491">
            <v>0</v>
          </cell>
          <cell r="AA491"/>
          <cell r="AB491" t="str">
            <v>Active - signed</v>
          </cell>
          <cell r="AC491" t="str">
            <v>ACTIVO</v>
          </cell>
          <cell r="AD491"/>
          <cell r="AE491"/>
          <cell r="AF491"/>
          <cell r="AG491"/>
          <cell r="AH491"/>
          <cell r="AI491" t="str">
            <v>28707275D</v>
          </cell>
        </row>
        <row r="492">
          <cell r="A492" t="str">
            <v>48455938K</v>
          </cell>
          <cell r="B492" t="str">
            <v>Guillamó Mínguez</v>
          </cell>
          <cell r="C492" t="str">
            <v>Carlos</v>
          </cell>
          <cell r="D492" t="str">
            <v>Guillamó Mínguez, Carlos</v>
          </cell>
          <cell r="E492" t="str">
            <v>carlos.guillamo</v>
          </cell>
          <cell r="F492" t="str">
            <v>carlos.guillamo@professional.universidadviu.com</v>
          </cell>
          <cell r="G492" t="str">
            <v>Yes</v>
          </cell>
          <cell r="H492" t="str">
            <v>NO</v>
          </cell>
          <cell r="I492" t="str">
            <v>Terapia ocupacional</v>
          </cell>
          <cell r="J492" t="str">
            <v>Programa Oficial de Doctorado en Investigación y Desarrollo</v>
          </cell>
          <cell r="K492" t="str">
            <v>Máster Oficial en Educación y Rehabilitación de Conductas Adictivas</v>
          </cell>
          <cell r="L492" t="str">
            <v/>
          </cell>
          <cell r="M492" t="str">
            <v>Professional</v>
          </cell>
          <cell r="N492" t="str">
            <v/>
          </cell>
          <cell r="O492" t="str">
            <v>CSS</v>
          </cell>
          <cell r="P492">
            <v>0</v>
          </cell>
          <cell r="Q492" t="str">
            <v xml:space="preserve"> </v>
          </cell>
          <cell r="R492"/>
          <cell r="S492"/>
          <cell r="T492" t="str">
            <v>Sin reducción</v>
          </cell>
          <cell r="U492">
            <v>0</v>
          </cell>
          <cell r="V492"/>
          <cell r="W492"/>
          <cell r="X492">
            <v>0</v>
          </cell>
          <cell r="Y492">
            <v>0</v>
          </cell>
          <cell r="Z492">
            <v>0</v>
          </cell>
          <cell r="AA492"/>
          <cell r="AB492" t="str">
            <v>Active - signed</v>
          </cell>
          <cell r="AC492" t="str">
            <v>ACTIVO</v>
          </cell>
          <cell r="AD492"/>
          <cell r="AE492"/>
          <cell r="AF492"/>
          <cell r="AG492"/>
          <cell r="AH492"/>
          <cell r="AI492" t="str">
            <v>48455938K</v>
          </cell>
        </row>
        <row r="493">
          <cell r="A493" t="str">
            <v>44524314V</v>
          </cell>
          <cell r="B493" t="str">
            <v>Guillem Saiz</v>
          </cell>
          <cell r="C493" t="str">
            <v>Javier</v>
          </cell>
          <cell r="D493" t="str">
            <v>Guillem Saiz, Javier</v>
          </cell>
          <cell r="E493" t="str">
            <v>javier.guillem</v>
          </cell>
          <cell r="F493" t="str">
            <v>javier.guillem@professor.universidadviu.com</v>
          </cell>
          <cell r="G493" t="str">
            <v>Yes</v>
          </cell>
          <cell r="H493" t="str">
            <v>Yes</v>
          </cell>
          <cell r="I493" t="str">
            <v>Programa Oficial de Doctorado en Medicina</v>
          </cell>
          <cell r="J493" t="str">
            <v>Programa Oficial de Doctorado en Medicina</v>
          </cell>
          <cell r="K493" t="str">
            <v>Licenciado en Psicología</v>
          </cell>
          <cell r="L493" t="str">
            <v/>
          </cell>
          <cell r="M493" t="str">
            <v>Labour</v>
          </cell>
          <cell r="N493" t="str">
            <v>Mateu Mollá, Joaquín</v>
          </cell>
          <cell r="O493" t="str">
            <v>CSS</v>
          </cell>
          <cell r="P493">
            <v>100</v>
          </cell>
          <cell r="Q493" t="str">
            <v>50</v>
          </cell>
          <cell r="R493"/>
          <cell r="S493"/>
          <cell r="T493" t="str">
            <v>Sin reducción</v>
          </cell>
          <cell r="U493">
            <v>0</v>
          </cell>
          <cell r="V493"/>
          <cell r="W493"/>
          <cell r="X493">
            <v>33</v>
          </cell>
          <cell r="Y493">
            <v>0</v>
          </cell>
          <cell r="Z493">
            <v>15.4</v>
          </cell>
          <cell r="AA493"/>
          <cell r="AB493" t="str">
            <v>Active - signed</v>
          </cell>
          <cell r="AC493" t="str">
            <v>ACTIVO</v>
          </cell>
          <cell r="AD493"/>
          <cell r="AE493"/>
          <cell r="AF493"/>
          <cell r="AG493"/>
          <cell r="AH493"/>
          <cell r="AI493" t="str">
            <v>44524314V</v>
          </cell>
        </row>
        <row r="494">
          <cell r="A494" t="str">
            <v>18459003P</v>
          </cell>
          <cell r="B494" t="str">
            <v>Guillén Martín</v>
          </cell>
          <cell r="C494" t="str">
            <v>María de la Paz</v>
          </cell>
          <cell r="D494" t="str">
            <v>Guillén Martín, María de la Paz</v>
          </cell>
          <cell r="E494" t="str">
            <v>mguillenm@professional.universidadviu.com</v>
          </cell>
          <cell r="F494" t="str">
            <v>mguillenm@professional.universidadviu.com</v>
          </cell>
          <cell r="G494" t="str">
            <v>NO</v>
          </cell>
          <cell r="H494" t="str">
            <v>NO</v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>Professional</v>
          </cell>
          <cell r="N494"/>
          <cell r="O494" t="str">
            <v>CBS</v>
          </cell>
          <cell r="P494">
            <v>0</v>
          </cell>
          <cell r="Q494" t="str">
            <v xml:space="preserve"> </v>
          </cell>
          <cell r="R494"/>
          <cell r="S494"/>
          <cell r="T494" t="str">
            <v>Sin reducción</v>
          </cell>
          <cell r="U494">
            <v>0</v>
          </cell>
          <cell r="V494"/>
          <cell r="W494"/>
          <cell r="X494">
            <v>0</v>
          </cell>
          <cell r="Y494">
            <v>0</v>
          </cell>
          <cell r="Z494">
            <v>0</v>
          </cell>
          <cell r="AA494"/>
          <cell r="AB494" t="str">
            <v>Active - signed</v>
          </cell>
          <cell r="AC494" t="str">
            <v>ACTIVO</v>
          </cell>
          <cell r="AD494"/>
          <cell r="AE494"/>
          <cell r="AF494"/>
          <cell r="AG494"/>
          <cell r="AH494"/>
          <cell r="AI494" t="str">
            <v>18459003P</v>
          </cell>
        </row>
        <row r="495">
          <cell r="A495" t="str">
            <v>44774333A</v>
          </cell>
          <cell r="B495" t="str">
            <v>Guillén Riquelme</v>
          </cell>
          <cell r="C495" t="str">
            <v>Alejandro</v>
          </cell>
          <cell r="D495" t="str">
            <v>Guillén Riquelme, Alejandro</v>
          </cell>
          <cell r="E495" t="str">
            <v>alejandro.guillen</v>
          </cell>
          <cell r="F495" t="str">
            <v>alejandro.guillen@professor.universidadviu.com</v>
          </cell>
          <cell r="G495" t="str">
            <v>Yes</v>
          </cell>
          <cell r="H495" t="str">
            <v>Yes</v>
          </cell>
          <cell r="I495" t="str">
            <v>Doctor</v>
          </cell>
          <cell r="J495" t="str">
            <v>Máster universitario en diseños y aplicaciones en psicologia y salud</v>
          </cell>
          <cell r="K495" t="str">
            <v>Doctor</v>
          </cell>
          <cell r="L495" t="str">
            <v>Licenciatura en Psicología</v>
          </cell>
          <cell r="M495" t="str">
            <v>Labour</v>
          </cell>
          <cell r="N495" t="str">
            <v>Vázquez Orellana, Nuria</v>
          </cell>
          <cell r="O495" t="str">
            <v>CSS</v>
          </cell>
          <cell r="P495">
            <v>100</v>
          </cell>
          <cell r="Q495" t="str">
            <v>50</v>
          </cell>
          <cell r="R495"/>
          <cell r="S495"/>
          <cell r="T495" t="str">
            <v>Investigador/a Senior</v>
          </cell>
          <cell r="U495" t="str">
            <v>38</v>
          </cell>
          <cell r="V495"/>
          <cell r="W495"/>
          <cell r="X495">
            <v>11.8</v>
          </cell>
          <cell r="Y495">
            <v>0</v>
          </cell>
          <cell r="Z495">
            <v>0</v>
          </cell>
          <cell r="AA495"/>
          <cell r="AB495" t="str">
            <v>Active - signed</v>
          </cell>
          <cell r="AC495" t="str">
            <v>ACTIVO</v>
          </cell>
          <cell r="AD495"/>
          <cell r="AE495"/>
          <cell r="AF495"/>
          <cell r="AG495"/>
          <cell r="AH495"/>
          <cell r="AI495" t="str">
            <v>44774333A</v>
          </cell>
        </row>
        <row r="496">
          <cell r="A496" t="str">
            <v>30269133Y</v>
          </cell>
          <cell r="B496" t="str">
            <v>Guillot Valdés</v>
          </cell>
          <cell r="C496" t="str">
            <v>María</v>
          </cell>
          <cell r="D496" t="str">
            <v>Guillot Valdés, María</v>
          </cell>
          <cell r="E496" t="str">
            <v>mguillotv@professor.universidadviu.com</v>
          </cell>
          <cell r="F496" t="str">
            <v>mguillotv@professor.universidadviu.com</v>
          </cell>
          <cell r="G496" t="str">
            <v>Yes</v>
          </cell>
          <cell r="H496" t="str">
            <v>Yes</v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>Labour</v>
          </cell>
          <cell r="N496"/>
          <cell r="O496" t="str">
            <v>CSS</v>
          </cell>
          <cell r="P496">
            <v>100</v>
          </cell>
          <cell r="Q496" t="str">
            <v>50</v>
          </cell>
          <cell r="R496"/>
          <cell r="S496"/>
          <cell r="T496" t="str">
            <v>Sin reducción</v>
          </cell>
          <cell r="U496">
            <v>0</v>
          </cell>
          <cell r="V496"/>
          <cell r="W496"/>
          <cell r="X496">
            <v>42.7</v>
          </cell>
          <cell r="Y496">
            <v>0</v>
          </cell>
          <cell r="Z496">
            <v>0</v>
          </cell>
          <cell r="AA496"/>
          <cell r="AB496" t="str">
            <v>Active - signed</v>
          </cell>
          <cell r="AC496" t="str">
            <v>ACTIVO</v>
          </cell>
          <cell r="AD496"/>
          <cell r="AE496"/>
          <cell r="AF496"/>
          <cell r="AG496"/>
          <cell r="AH496"/>
          <cell r="AI496" t="str">
            <v>30269133Y</v>
          </cell>
        </row>
        <row r="497">
          <cell r="A497" t="str">
            <v>71451984T</v>
          </cell>
          <cell r="B497" t="str">
            <v>Gutiérrez Macías</v>
          </cell>
          <cell r="C497" t="str">
            <v>Laura</v>
          </cell>
          <cell r="D497" t="str">
            <v>Gutiérrez Macías, Laura</v>
          </cell>
          <cell r="E497" t="str">
            <v>laura.gutierrez.m@professor.universidadviu.com</v>
          </cell>
          <cell r="F497" t="str">
            <v>laura.gutierrez.m@professor.universidadviu.com</v>
          </cell>
          <cell r="G497" t="str">
            <v>Yes</v>
          </cell>
          <cell r="H497" t="str">
            <v>NO</v>
          </cell>
          <cell r="I497" t="str">
            <v>Doctorado</v>
          </cell>
          <cell r="J497" t="str">
            <v>Doctorado</v>
          </cell>
          <cell r="K497" t="str">
            <v>Graduada en biotecnologia</v>
          </cell>
          <cell r="L497" t="str">
            <v>Master universitario en bioinformatica</v>
          </cell>
          <cell r="M497" t="str">
            <v>Labour</v>
          </cell>
          <cell r="N497" t="str">
            <v>Tronchoni León, Jordi</v>
          </cell>
          <cell r="O497" t="str">
            <v>CBS</v>
          </cell>
          <cell r="P497">
            <v>24</v>
          </cell>
          <cell r="Q497" t="str">
            <v>22</v>
          </cell>
          <cell r="R497" t="str">
            <v>Ampliación enero</v>
          </cell>
          <cell r="S497"/>
          <cell r="T497" t="str">
            <v>Sin reducción</v>
          </cell>
          <cell r="U497">
            <v>0</v>
          </cell>
          <cell r="V497"/>
          <cell r="W497"/>
          <cell r="X497">
            <v>0</v>
          </cell>
          <cell r="Y497">
            <v>0</v>
          </cell>
          <cell r="Z497">
            <v>22.2</v>
          </cell>
          <cell r="AA497"/>
          <cell r="AB497" t="str">
            <v>Active - signed</v>
          </cell>
          <cell r="AC497" t="str">
            <v>ACTIVO</v>
          </cell>
          <cell r="AD497"/>
          <cell r="AE497"/>
          <cell r="AF497"/>
          <cell r="AG497"/>
          <cell r="AH497"/>
          <cell r="AI497" t="str">
            <v>71451984T</v>
          </cell>
        </row>
        <row r="498">
          <cell r="A498" t="str">
            <v>71779951X</v>
          </cell>
          <cell r="B498" t="str">
            <v>Gutiérrez Menéndez</v>
          </cell>
          <cell r="C498" t="str">
            <v>Alba</v>
          </cell>
          <cell r="D498" t="str">
            <v>Gutiérrez Menéndez, Alba</v>
          </cell>
          <cell r="E498" t="str">
            <v>agutierrezm@professor.universidadviu.com</v>
          </cell>
          <cell r="F498" t="str">
            <v>agutierrezm@professor.universidadviu.com</v>
          </cell>
          <cell r="G498" t="str">
            <v>Yes</v>
          </cell>
          <cell r="H498" t="str">
            <v>Yes</v>
          </cell>
          <cell r="I498" t="str">
            <v>Doctorado en Ciencias de la Salud</v>
          </cell>
          <cell r="J498" t="str">
            <v>Master Universitario en Investigación en Neurociencias</v>
          </cell>
          <cell r="K498" t="str">
            <v>Doctorado en Ciencias de la Salud</v>
          </cell>
          <cell r="L498" t="str">
            <v/>
          </cell>
          <cell r="M498" t="str">
            <v>Labour</v>
          </cell>
          <cell r="N498" t="str">
            <v>Rama Galdón, Encarnación</v>
          </cell>
          <cell r="O498" t="str">
            <v>CSS</v>
          </cell>
          <cell r="P498">
            <v>100</v>
          </cell>
          <cell r="Q498" t="str">
            <v>50</v>
          </cell>
          <cell r="R498"/>
          <cell r="S498"/>
          <cell r="T498" t="str">
            <v>Subdirector/Coordinador de Grado - 2 ediciones</v>
          </cell>
          <cell r="U498">
            <v>38</v>
          </cell>
          <cell r="V498"/>
          <cell r="W498"/>
          <cell r="X498">
            <v>2.6</v>
          </cell>
          <cell r="Y498">
            <v>0</v>
          </cell>
          <cell r="Z498">
            <v>0</v>
          </cell>
          <cell r="AA498"/>
          <cell r="AB498" t="str">
            <v>Active - signed</v>
          </cell>
          <cell r="AC498" t="str">
            <v>ACTIVO</v>
          </cell>
          <cell r="AD498"/>
          <cell r="AE498"/>
          <cell r="AF498"/>
          <cell r="AG498"/>
          <cell r="AH498"/>
          <cell r="AI498" t="str">
            <v>71779951X</v>
          </cell>
        </row>
        <row r="499">
          <cell r="A499" t="str">
            <v>48245542Y</v>
          </cell>
          <cell r="B499" t="str">
            <v>Gutiérrez Morante</v>
          </cell>
          <cell r="C499" t="str">
            <v>Luis</v>
          </cell>
          <cell r="D499" t="str">
            <v>Gutiérrez Morante, Luis</v>
          </cell>
          <cell r="E499" t="str">
            <v>lgutierrezm@professor.universidadviu.com</v>
          </cell>
          <cell r="F499" t="str">
            <v>lgutierrezm@professor.universidadviu.com</v>
          </cell>
          <cell r="G499" t="str">
            <v>NO</v>
          </cell>
          <cell r="H499" t="str">
            <v>NO</v>
          </cell>
          <cell r="I499" t="str">
            <v>Máster Oficial en Psicología de la Educación</v>
          </cell>
          <cell r="J499" t="str">
            <v>Máster en Psicología Clínica, Legal y Forense</v>
          </cell>
          <cell r="K499" t="str">
            <v/>
          </cell>
          <cell r="L499" t="str">
            <v/>
          </cell>
          <cell r="M499" t="str">
            <v>Labour</v>
          </cell>
          <cell r="N499" t="str">
            <v>Rama Galdón, Encarnación</v>
          </cell>
          <cell r="O499" t="str">
            <v>CSS</v>
          </cell>
          <cell r="P499">
            <v>100</v>
          </cell>
          <cell r="Q499" t="str">
            <v>50</v>
          </cell>
          <cell r="R499"/>
          <cell r="S499"/>
          <cell r="T499" t="str">
            <v>Sin reducción</v>
          </cell>
          <cell r="U499">
            <v>0</v>
          </cell>
          <cell r="V499"/>
          <cell r="W499"/>
          <cell r="X499">
            <v>47.6</v>
          </cell>
          <cell r="Y499">
            <v>0</v>
          </cell>
          <cell r="Z499">
            <v>0</v>
          </cell>
          <cell r="AA499"/>
          <cell r="AB499" t="str">
            <v>Active - signed</v>
          </cell>
          <cell r="AC499" t="str">
            <v>ACTIVO</v>
          </cell>
          <cell r="AD499">
            <v>46027</v>
          </cell>
          <cell r="AE499">
            <v>46030</v>
          </cell>
          <cell r="AF499"/>
          <cell r="AG499" t="str">
            <v>MATERNIDAD</v>
          </cell>
          <cell r="AH499"/>
          <cell r="AI499" t="str">
            <v>48245542Y</v>
          </cell>
        </row>
        <row r="500">
          <cell r="A500" t="str">
            <v>52596948L</v>
          </cell>
          <cell r="B500" t="str">
            <v>Gutiérrez Naharro</v>
          </cell>
          <cell r="C500" t="str">
            <v>Eva</v>
          </cell>
          <cell r="D500" t="str">
            <v>Gutiérrez Naharro, Eva</v>
          </cell>
          <cell r="E500" t="str">
            <v>eva.gutierrez.n</v>
          </cell>
          <cell r="F500" t="str">
            <v>eva.gutierrez.n@professional.universidadviu.com</v>
          </cell>
          <cell r="G500" t="str">
            <v>NO</v>
          </cell>
          <cell r="H500" t="str">
            <v>NO</v>
          </cell>
          <cell r="I500" t="str">
            <v>Enfermería</v>
          </cell>
          <cell r="J500" t="str">
            <v>Máster Universitario en Bioética</v>
          </cell>
          <cell r="K500" t="str">
            <v>Máster Universitario en Dirección y Gestión de Unidades de Enfermería</v>
          </cell>
          <cell r="L500" t="str">
            <v/>
          </cell>
          <cell r="M500" t="str">
            <v>Professional</v>
          </cell>
          <cell r="N500" t="str">
            <v/>
          </cell>
          <cell r="O500" t="str">
            <v>CBS</v>
          </cell>
          <cell r="P500">
            <v>0</v>
          </cell>
          <cell r="Q500" t="str">
            <v xml:space="preserve"> </v>
          </cell>
          <cell r="R500"/>
          <cell r="S500"/>
          <cell r="T500" t="str">
            <v>Sin reducción</v>
          </cell>
          <cell r="U500">
            <v>0</v>
          </cell>
          <cell r="V500"/>
          <cell r="W500"/>
          <cell r="X500">
            <v>0</v>
          </cell>
          <cell r="Y500">
            <v>0</v>
          </cell>
          <cell r="Z500">
            <v>0</v>
          </cell>
          <cell r="AA500"/>
          <cell r="AB500" t="str">
            <v>Active - signed</v>
          </cell>
          <cell r="AC500" t="str">
            <v>ACTIVO</v>
          </cell>
          <cell r="AD500"/>
          <cell r="AE500"/>
          <cell r="AF500"/>
          <cell r="AG500"/>
          <cell r="AH500"/>
          <cell r="AI500" t="str">
            <v>52596948L</v>
          </cell>
        </row>
        <row r="501">
          <cell r="A501" t="str">
            <v>31663812B</v>
          </cell>
          <cell r="B501" t="str">
            <v>Gutiérrez Trigo</v>
          </cell>
          <cell r="C501" t="str">
            <v>Juan Manuel</v>
          </cell>
          <cell r="D501" t="str">
            <v>Gutiérrez Trigo, Juan Manuel</v>
          </cell>
          <cell r="E501" t="str">
            <v>jgutierrezt@professional.universidadviu.com</v>
          </cell>
          <cell r="F501" t="str">
            <v>jgutierrezt@professional.universidadviu.com</v>
          </cell>
          <cell r="G501" t="str">
            <v>Yes</v>
          </cell>
          <cell r="H501" t="str">
            <v>NO</v>
          </cell>
          <cell r="I501" t="str">
            <v>Ciencias Sociales y Juridicas</v>
          </cell>
          <cell r="J501" t="str">
            <v>Postgrau en Actualizació en Psicología Clínica</v>
          </cell>
          <cell r="K501" t="str">
            <v>LIcenciado en Filosofía y Ciencias de la Educación</v>
          </cell>
          <cell r="L501" t="str">
            <v/>
          </cell>
          <cell r="M501" t="str">
            <v>Professional</v>
          </cell>
          <cell r="N501" t="str">
            <v/>
          </cell>
          <cell r="O501" t="str">
            <v>CSS</v>
          </cell>
          <cell r="P501">
            <v>0</v>
          </cell>
          <cell r="Q501" t="str">
            <v xml:space="preserve"> </v>
          </cell>
          <cell r="R501"/>
          <cell r="S501"/>
          <cell r="T501" t="str">
            <v>Sin reducción</v>
          </cell>
          <cell r="U501">
            <v>0</v>
          </cell>
          <cell r="V501"/>
          <cell r="W501"/>
          <cell r="X501">
            <v>0</v>
          </cell>
          <cell r="Y501">
            <v>0</v>
          </cell>
          <cell r="Z501">
            <v>0</v>
          </cell>
          <cell r="AA501"/>
          <cell r="AB501" t="str">
            <v>Active - signed</v>
          </cell>
          <cell r="AC501" t="str">
            <v>ACTIVO</v>
          </cell>
          <cell r="AD501"/>
          <cell r="AE501"/>
          <cell r="AF501"/>
          <cell r="AG501"/>
          <cell r="AH501"/>
          <cell r="AI501" t="str">
            <v>31663812B</v>
          </cell>
        </row>
        <row r="502">
          <cell r="A502" t="str">
            <v>50467204Y</v>
          </cell>
          <cell r="B502" t="str">
            <v>Guzmán García</v>
          </cell>
          <cell r="C502" t="str">
            <v>José Miguel</v>
          </cell>
          <cell r="D502" t="str">
            <v>Guzmán García, José Miguel</v>
          </cell>
          <cell r="E502" t="str">
            <v>jguzmang@professional.universidadviu.com</v>
          </cell>
          <cell r="F502" t="str">
            <v>jguzmang@professional.universidadviu.com</v>
          </cell>
          <cell r="G502" t="str">
            <v>Yes</v>
          </cell>
          <cell r="H502" t="str">
            <v>NO</v>
          </cell>
          <cell r="I502" t="str">
            <v/>
          </cell>
          <cell r="J502" t="str">
            <v/>
          </cell>
          <cell r="K502" t="str">
            <v/>
          </cell>
          <cell r="L502" t="str">
            <v/>
          </cell>
          <cell r="M502" t="str">
            <v>Professional</v>
          </cell>
          <cell r="N502"/>
          <cell r="O502" t="str">
            <v>CBS</v>
          </cell>
          <cell r="P502">
            <v>0</v>
          </cell>
          <cell r="Q502" t="str">
            <v xml:space="preserve"> </v>
          </cell>
          <cell r="R502"/>
          <cell r="S502"/>
          <cell r="T502" t="str">
            <v>Sin reducción</v>
          </cell>
          <cell r="U502">
            <v>0</v>
          </cell>
          <cell r="V502"/>
          <cell r="W502"/>
          <cell r="X502">
            <v>0</v>
          </cell>
          <cell r="Y502">
            <v>0</v>
          </cell>
          <cell r="Z502">
            <v>0</v>
          </cell>
          <cell r="AA502"/>
          <cell r="AB502" t="str">
            <v>Active - signed</v>
          </cell>
          <cell r="AC502" t="str">
            <v>ACTIVO</v>
          </cell>
          <cell r="AD502"/>
          <cell r="AE502"/>
          <cell r="AF502"/>
          <cell r="AG502"/>
          <cell r="AH502"/>
          <cell r="AI502" t="str">
            <v>50467204Y</v>
          </cell>
        </row>
        <row r="503">
          <cell r="A503" t="str">
            <v>51475237H</v>
          </cell>
          <cell r="B503" t="str">
            <v>Herencias Rodríguez</v>
          </cell>
          <cell r="C503" t="str">
            <v>Cristina</v>
          </cell>
          <cell r="D503" t="str">
            <v>Herencias Rodríguez, Cristina</v>
          </cell>
          <cell r="E503" t="str">
            <v>cristina.herencias</v>
          </cell>
          <cell r="F503" t="str">
            <v>cristina.herencias@professional.universidadviu.com</v>
          </cell>
          <cell r="G503" t="str">
            <v>Yes</v>
          </cell>
          <cell r="H503" t="str">
            <v>NO</v>
          </cell>
          <cell r="I503" t="str">
            <v>Bioquímica</v>
          </cell>
          <cell r="J503" t="str">
            <v>Máster universitario en microbiologia y parasitologia</v>
          </cell>
          <cell r="K503" t="str">
            <v>Doctorado en Bioquimica</v>
          </cell>
          <cell r="L503" t="str">
            <v/>
          </cell>
          <cell r="M503" t="str">
            <v>Professional</v>
          </cell>
          <cell r="N503" t="str">
            <v/>
          </cell>
          <cell r="O503" t="str">
            <v>CBS</v>
          </cell>
          <cell r="P503">
            <v>0</v>
          </cell>
          <cell r="Q503" t="str">
            <v xml:space="preserve"> </v>
          </cell>
          <cell r="R503"/>
          <cell r="S503"/>
          <cell r="T503" t="str">
            <v>Sin reducción</v>
          </cell>
          <cell r="U503">
            <v>0</v>
          </cell>
          <cell r="V503"/>
          <cell r="W503"/>
          <cell r="X503">
            <v>0</v>
          </cell>
          <cell r="Y503">
            <v>0</v>
          </cell>
          <cell r="Z503">
            <v>0</v>
          </cell>
          <cell r="AA503"/>
          <cell r="AB503" t="str">
            <v>Active - signed</v>
          </cell>
          <cell r="AC503" t="str">
            <v>ACTIVO</v>
          </cell>
          <cell r="AD503"/>
          <cell r="AE503"/>
          <cell r="AF503"/>
          <cell r="AG503"/>
          <cell r="AH503"/>
          <cell r="AI503" t="str">
            <v>51475237H</v>
          </cell>
        </row>
        <row r="504">
          <cell r="A504" t="str">
            <v>78567288R</v>
          </cell>
          <cell r="B504" t="str">
            <v>Hernández del Castillo</v>
          </cell>
          <cell r="C504" t="str">
            <v>Lilia</v>
          </cell>
          <cell r="D504" t="str">
            <v>Hernández del Castillo, Lilia</v>
          </cell>
          <cell r="E504" t="str">
            <v>lilia.hernandez</v>
          </cell>
          <cell r="F504" t="str">
            <v>lilia.hernandez@professor.universidadviu.com</v>
          </cell>
          <cell r="G504" t="str">
            <v>Yes</v>
          </cell>
          <cell r="H504" t="str">
            <v>NO</v>
          </cell>
          <cell r="I504" t="str">
            <v>Programa de Psicología Clínica y de la Salud</v>
          </cell>
          <cell r="J504" t="str">
            <v>Programa de Psicología Clínica y de la Salud</v>
          </cell>
          <cell r="K504" t="str">
            <v>Licenciada en Psicología</v>
          </cell>
          <cell r="L504" t="str">
            <v/>
          </cell>
          <cell r="M504" t="str">
            <v>Labour</v>
          </cell>
          <cell r="N504" t="str">
            <v>Aliño Costa, Marta</v>
          </cell>
          <cell r="O504" t="str">
            <v>CSS</v>
          </cell>
          <cell r="P504">
            <v>100</v>
          </cell>
          <cell r="Q504" t="str">
            <v>50</v>
          </cell>
          <cell r="R504"/>
          <cell r="S504"/>
          <cell r="T504" t="str">
            <v>Sin reducción</v>
          </cell>
          <cell r="U504">
            <v>0</v>
          </cell>
          <cell r="V504"/>
          <cell r="W504"/>
          <cell r="X504">
            <v>2.4</v>
          </cell>
          <cell r="Y504">
            <v>0</v>
          </cell>
          <cell r="Z504">
            <v>0</v>
          </cell>
          <cell r="AA504"/>
          <cell r="AB504" t="str">
            <v>Active - signed</v>
          </cell>
          <cell r="AC504" t="str">
            <v>ACTIVO</v>
          </cell>
          <cell r="AD504"/>
          <cell r="AE504"/>
          <cell r="AF504"/>
          <cell r="AG504"/>
          <cell r="AH504"/>
          <cell r="AI504" t="str">
            <v>78567288R</v>
          </cell>
        </row>
        <row r="505">
          <cell r="A505" t="str">
            <v>04198788T</v>
          </cell>
          <cell r="B505" t="str">
            <v>Hernández del Mazo</v>
          </cell>
          <cell r="C505" t="str">
            <v>Patricia</v>
          </cell>
          <cell r="D505" t="str">
            <v>Hernández del Mazo, Patricia</v>
          </cell>
          <cell r="E505" t="str">
            <v>phernandezd@professional.universidadviu.com</v>
          </cell>
          <cell r="F505" t="str">
            <v>phernandezd@professional.universidadviu.com</v>
          </cell>
          <cell r="G505" t="str">
            <v>NO</v>
          </cell>
          <cell r="H505" t="str">
            <v>NO</v>
          </cell>
          <cell r="I505" t="str">
            <v>Neuropsicología clínica</v>
          </cell>
          <cell r="J505" t="str">
            <v>Licenciatura Psicología</v>
          </cell>
          <cell r="K505" t="str">
            <v/>
          </cell>
          <cell r="L505" t="str">
            <v/>
          </cell>
          <cell r="M505" t="str">
            <v>Professional</v>
          </cell>
          <cell r="N505" t="str">
            <v/>
          </cell>
          <cell r="O505" t="str">
            <v>CSS</v>
          </cell>
          <cell r="P505">
            <v>0</v>
          </cell>
          <cell r="Q505" t="str">
            <v xml:space="preserve"> </v>
          </cell>
          <cell r="R505"/>
          <cell r="S505"/>
          <cell r="T505" t="str">
            <v>Sin reducción</v>
          </cell>
          <cell r="U505">
            <v>0</v>
          </cell>
          <cell r="V505"/>
          <cell r="W505"/>
          <cell r="X505">
            <v>0</v>
          </cell>
          <cell r="Y505">
            <v>0</v>
          </cell>
          <cell r="Z505">
            <v>0</v>
          </cell>
          <cell r="AA505"/>
          <cell r="AB505" t="str">
            <v>Active - signed</v>
          </cell>
          <cell r="AC505" t="str">
            <v>ACTIVO</v>
          </cell>
          <cell r="AD505"/>
          <cell r="AE505"/>
          <cell r="AF505"/>
          <cell r="AG505"/>
          <cell r="AH505"/>
          <cell r="AI505" t="str">
            <v>04198788T</v>
          </cell>
        </row>
        <row r="506">
          <cell r="A506" t="str">
            <v>03906794Z</v>
          </cell>
          <cell r="B506" t="str">
            <v>Hernández Dorado</v>
          </cell>
          <cell r="C506" t="str">
            <v>Ana</v>
          </cell>
          <cell r="D506" t="str">
            <v>Hernández Dorado, Ana</v>
          </cell>
          <cell r="E506" t="str">
            <v>ahernandezd@professor.universidadviu.com</v>
          </cell>
          <cell r="F506" t="str">
            <v>ahernandezd@professor.universidadviu.com</v>
          </cell>
          <cell r="G506" t="str">
            <v>Yes</v>
          </cell>
          <cell r="H506" t="str">
            <v>NO</v>
          </cell>
          <cell r="I506" t="str">
            <v>Programa de Doctorado en Salud, Psicología y Psiquiatría</v>
          </cell>
          <cell r="J506" t="str">
            <v>Programa de Doctorado en Salud, Psicología y Psiquiatría</v>
          </cell>
          <cell r="K506" t="str">
            <v>Máster universitario en Metodología de las Ciencias del Comportamiento y de la Salud</v>
          </cell>
          <cell r="L506" t="str">
            <v>Grado en Psicología</v>
          </cell>
          <cell r="M506" t="str">
            <v>Labour</v>
          </cell>
          <cell r="N506" t="str">
            <v>Rama Galdón, Encarnación</v>
          </cell>
          <cell r="O506" t="str">
            <v>CSS</v>
          </cell>
          <cell r="P506">
            <v>100</v>
          </cell>
          <cell r="Q506" t="str">
            <v>50</v>
          </cell>
          <cell r="R506"/>
          <cell r="S506"/>
          <cell r="T506" t="str">
            <v>Sin reducción</v>
          </cell>
          <cell r="U506">
            <v>0</v>
          </cell>
          <cell r="V506"/>
          <cell r="W506"/>
          <cell r="X506">
            <v>50.1</v>
          </cell>
          <cell r="Y506">
            <v>0</v>
          </cell>
          <cell r="Z506">
            <v>0</v>
          </cell>
          <cell r="AA506"/>
          <cell r="AB506" t="str">
            <v>Active - signed</v>
          </cell>
          <cell r="AC506" t="str">
            <v>ACTIVO</v>
          </cell>
          <cell r="AD506"/>
          <cell r="AE506"/>
          <cell r="AF506"/>
          <cell r="AG506"/>
          <cell r="AH506"/>
          <cell r="AI506" t="str">
            <v>03906794Z</v>
          </cell>
        </row>
        <row r="507">
          <cell r="A507" t="str">
            <v>07981414T</v>
          </cell>
          <cell r="B507" t="str">
            <v>Hernández Hernández</v>
          </cell>
          <cell r="C507" t="str">
            <v>Laura</v>
          </cell>
          <cell r="D507" t="str">
            <v>Hernández Hernández, Laura</v>
          </cell>
          <cell r="E507" t="str">
            <v>laura.hernandez6@professional.universidadviu.com</v>
          </cell>
          <cell r="F507" t="str">
            <v>laura.hernandez6@professional.universidadviu.com</v>
          </cell>
          <cell r="G507" t="str">
            <v>Yes</v>
          </cell>
          <cell r="H507" t="str">
            <v>NO</v>
          </cell>
          <cell r="I507" t="str">
            <v>Biología y Genética</v>
          </cell>
          <cell r="J507" t="str">
            <v>Master Universitario Analisis Avanzado de Datos Multivariantes</v>
          </cell>
          <cell r="K507" t="str">
            <v>Doctorado en Biología</v>
          </cell>
          <cell r="L507" t="str">
            <v/>
          </cell>
          <cell r="M507" t="str">
            <v>Professional</v>
          </cell>
          <cell r="N507" t="str">
            <v/>
          </cell>
          <cell r="O507" t="str">
            <v>CBS</v>
          </cell>
          <cell r="P507">
            <v>0</v>
          </cell>
          <cell r="Q507" t="str">
            <v xml:space="preserve"> </v>
          </cell>
          <cell r="R507"/>
          <cell r="S507"/>
          <cell r="T507" t="str">
            <v>Sin reducción</v>
          </cell>
          <cell r="U507">
            <v>0</v>
          </cell>
          <cell r="V507"/>
          <cell r="W507"/>
          <cell r="X507">
            <v>0</v>
          </cell>
          <cell r="Y507">
            <v>0</v>
          </cell>
          <cell r="Z507">
            <v>0</v>
          </cell>
          <cell r="AA507"/>
          <cell r="AB507" t="str">
            <v>Active - signed</v>
          </cell>
          <cell r="AC507" t="str">
            <v>ACTIVO</v>
          </cell>
          <cell r="AD507"/>
          <cell r="AE507"/>
          <cell r="AF507"/>
          <cell r="AG507"/>
          <cell r="AH507"/>
          <cell r="AI507" t="str">
            <v>07981414T</v>
          </cell>
        </row>
        <row r="508">
          <cell r="A508" t="str">
            <v>54084306J</v>
          </cell>
          <cell r="B508" t="str">
            <v>Hernández Hernández</v>
          </cell>
          <cell r="C508" t="str">
            <v>Cristo Nauzet</v>
          </cell>
          <cell r="D508" t="str">
            <v>Hernández Hernández, Cristo Nauzet</v>
          </cell>
          <cell r="E508" t="str">
            <v>chernandezh@professional.universidadviu.com</v>
          </cell>
          <cell r="F508" t="str">
            <v>chernandezh@professional.universidadviu.com</v>
          </cell>
          <cell r="G508" t="str">
            <v>NO</v>
          </cell>
          <cell r="H508" t="str">
            <v>NO</v>
          </cell>
          <cell r="I508" t="str">
            <v>MÁSTER UNIVERSITARIO EN DIRECCIÓN Y GESTIÓN DE ENFERMERÍA</v>
          </cell>
          <cell r="J508" t="str">
            <v>Diplomado en enfermería</v>
          </cell>
          <cell r="K508" t="str">
            <v/>
          </cell>
          <cell r="L508" t="str">
            <v/>
          </cell>
          <cell r="M508" t="str">
            <v>Professional</v>
          </cell>
          <cell r="N508"/>
          <cell r="O508" t="str">
            <v>CBS</v>
          </cell>
          <cell r="P508">
            <v>0</v>
          </cell>
          <cell r="Q508" t="str">
            <v xml:space="preserve"> </v>
          </cell>
          <cell r="R508"/>
          <cell r="S508"/>
          <cell r="T508" t="str">
            <v>Sin reducción</v>
          </cell>
          <cell r="U508">
            <v>0</v>
          </cell>
          <cell r="V508"/>
          <cell r="W508"/>
          <cell r="X508">
            <v>0</v>
          </cell>
          <cell r="Y508">
            <v>0</v>
          </cell>
          <cell r="Z508">
            <v>0</v>
          </cell>
          <cell r="AA508"/>
          <cell r="AB508" t="str">
            <v>Active - signed</v>
          </cell>
          <cell r="AC508" t="str">
            <v>ACTIVO</v>
          </cell>
          <cell r="AD508"/>
          <cell r="AE508"/>
          <cell r="AF508"/>
          <cell r="AG508"/>
          <cell r="AH508"/>
          <cell r="AI508" t="str">
            <v>54084306J</v>
          </cell>
        </row>
        <row r="509">
          <cell r="A509" t="str">
            <v>74507728X</v>
          </cell>
          <cell r="B509" t="str">
            <v>Hernández Jiménez</v>
          </cell>
          <cell r="C509" t="str">
            <v>María Jesús</v>
          </cell>
          <cell r="D509" t="str">
            <v>Hernández Jiménez, María Jesús</v>
          </cell>
          <cell r="E509" t="e">
            <v>#VALUE!</v>
          </cell>
          <cell r="F509" t="str">
            <v>mariajesus.hernandez@professor.universidadviu.com</v>
          </cell>
          <cell r="G509" t="e">
            <v>#VALUE!</v>
          </cell>
          <cell r="H509" t="e">
            <v>#VALUE!</v>
          </cell>
          <cell r="I509" t="str">
            <v>Doctorado</v>
          </cell>
          <cell r="J509" t="str">
            <v>Doctorado</v>
          </cell>
          <cell r="K509" t="str">
            <v>Licenciado en Psicología</v>
          </cell>
          <cell r="L509" t="str">
            <v/>
          </cell>
          <cell r="M509" t="e">
            <v>#VALUE!</v>
          </cell>
          <cell r="N509" t="str">
            <v>Duque Moreno, María Aranzazu</v>
          </cell>
          <cell r="O509" t="str">
            <v>CSS</v>
          </cell>
          <cell r="P509" t="str">
            <v xml:space="preserve"> </v>
          </cell>
          <cell r="Q509" t="b">
            <v>0</v>
          </cell>
          <cell r="R509"/>
          <cell r="S509"/>
          <cell r="T509" t="str">
            <v>Dirección de título Máster Universitario - 2 ediciones</v>
          </cell>
          <cell r="U509">
            <v>38</v>
          </cell>
          <cell r="V509"/>
          <cell r="W509"/>
          <cell r="X509">
            <v>0</v>
          </cell>
          <cell r="Y509">
            <v>0</v>
          </cell>
          <cell r="Z509">
            <v>0</v>
          </cell>
          <cell r="AA509"/>
          <cell r="AB509" t="e">
            <v>#VALUE!</v>
          </cell>
          <cell r="AC509" t="str">
            <v>NO ACTIVO</v>
          </cell>
          <cell r="AD509"/>
          <cell r="AE509"/>
          <cell r="AF509">
            <v>46022</v>
          </cell>
          <cell r="AG509" t="str">
            <v>CESE DE CONTRATO</v>
          </cell>
          <cell r="AH509" t="str">
            <v>no sabemos fecha fin</v>
          </cell>
          <cell r="AI509" t="str">
            <v>74507728X</v>
          </cell>
        </row>
        <row r="510">
          <cell r="A510" t="str">
            <v>EC1716365265001</v>
          </cell>
          <cell r="B510" t="str">
            <v>Hernández Mantilla</v>
          </cell>
          <cell r="C510" t="str">
            <v>Gabriela Elizabeth</v>
          </cell>
          <cell r="D510" t="str">
            <v>Hernández Mantilla, Gabriela Elizabeth</v>
          </cell>
          <cell r="E510" t="str">
            <v>gabrielaelizabeth.hernandez</v>
          </cell>
          <cell r="F510" t="str">
            <v>gabrielaelizabeth.hernandez@professional.universidadviu.com</v>
          </cell>
          <cell r="G510" t="str">
            <v>NO</v>
          </cell>
          <cell r="H510" t="str">
            <v>NO</v>
          </cell>
          <cell r="I510" t="str">
            <v>Máster Universitario en Investigación, Tratamiento y Patologías Asociadas en Drogodependencia</v>
          </cell>
          <cell r="J510" t="str">
            <v>Psicóloga Clínica</v>
          </cell>
          <cell r="K510" t="str">
            <v/>
          </cell>
          <cell r="L510" t="str">
            <v/>
          </cell>
          <cell r="M510" t="str">
            <v>Professional</v>
          </cell>
          <cell r="N510" t="str">
            <v/>
          </cell>
          <cell r="O510" t="str">
            <v>CSS</v>
          </cell>
          <cell r="P510">
            <v>0</v>
          </cell>
          <cell r="Q510" t="str">
            <v xml:space="preserve"> </v>
          </cell>
          <cell r="R510"/>
          <cell r="S510"/>
          <cell r="T510" t="str">
            <v>Sin reducción</v>
          </cell>
          <cell r="U510">
            <v>0</v>
          </cell>
          <cell r="V510"/>
          <cell r="W510"/>
          <cell r="X510">
            <v>0</v>
          </cell>
          <cell r="Y510">
            <v>0</v>
          </cell>
          <cell r="Z510">
            <v>0</v>
          </cell>
          <cell r="AA510"/>
          <cell r="AB510" t="str">
            <v>Active - signed</v>
          </cell>
          <cell r="AC510" t="str">
            <v>ACTIVO</v>
          </cell>
          <cell r="AD510"/>
          <cell r="AE510"/>
          <cell r="AF510"/>
          <cell r="AG510"/>
          <cell r="AH510"/>
          <cell r="AI510" t="str">
            <v>EC1716365265001</v>
          </cell>
        </row>
        <row r="511">
          <cell r="A511" t="str">
            <v>51362698H</v>
          </cell>
          <cell r="B511" t="str">
            <v>Hernández Núñez-Polo</v>
          </cell>
          <cell r="C511" t="str">
            <v>Mercedes</v>
          </cell>
          <cell r="D511" t="str">
            <v>Hernández Núñez-Polo, Mercedes</v>
          </cell>
          <cell r="E511" t="str">
            <v>mercedes.hernandez.n</v>
          </cell>
          <cell r="F511" t="str">
            <v>mercedes.hernandez.n@professional.universidadviu.com</v>
          </cell>
          <cell r="G511" t="str">
            <v>Yes</v>
          </cell>
          <cell r="H511" t="str">
            <v>NO</v>
          </cell>
          <cell r="I511" t="str">
            <v>Programa de Doctorado de Medicina y Cirugía</v>
          </cell>
          <cell r="J511" t="str">
            <v>MSc Mental Health Services Research</v>
          </cell>
          <cell r="K511" t="str">
            <v>Licenciada en Filosofía y Letras, Sección Psicología</v>
          </cell>
          <cell r="L511" t="str">
            <v/>
          </cell>
          <cell r="M511" t="str">
            <v>Professional</v>
          </cell>
          <cell r="N511" t="str">
            <v/>
          </cell>
          <cell r="O511" t="str">
            <v>CSS</v>
          </cell>
          <cell r="P511">
            <v>0</v>
          </cell>
          <cell r="Q511" t="str">
            <v xml:space="preserve"> </v>
          </cell>
          <cell r="R511"/>
          <cell r="S511"/>
          <cell r="T511" t="str">
            <v>Sin reducción</v>
          </cell>
          <cell r="U511">
            <v>0</v>
          </cell>
          <cell r="V511"/>
          <cell r="W511"/>
          <cell r="X511">
            <v>0</v>
          </cell>
          <cell r="Y511">
            <v>0</v>
          </cell>
          <cell r="Z511">
            <v>0</v>
          </cell>
          <cell r="AA511"/>
          <cell r="AB511" t="str">
            <v>Active - signed</v>
          </cell>
          <cell r="AC511" t="str">
            <v>ACTIVO</v>
          </cell>
          <cell r="AD511"/>
          <cell r="AE511"/>
          <cell r="AF511"/>
          <cell r="AG511"/>
          <cell r="AH511"/>
          <cell r="AI511" t="str">
            <v>51362698H</v>
          </cell>
        </row>
        <row r="512">
          <cell r="A512" t="str">
            <v>MXHEOF810814DMA</v>
          </cell>
          <cell r="B512" t="str">
            <v>Hernández Orduña</v>
          </cell>
          <cell r="C512" t="str">
            <v>Francisco Omar</v>
          </cell>
          <cell r="D512" t="str">
            <v>Hernández Orduña, Francisco Omar</v>
          </cell>
          <cell r="E512" t="str">
            <v>fhernandezo@professional.universidadviu.com</v>
          </cell>
          <cell r="F512" t="str">
            <v>fhernandezo@professional.universidadviu.com</v>
          </cell>
          <cell r="G512" t="str">
            <v>NO</v>
          </cell>
          <cell r="H512" t="str">
            <v>NO</v>
          </cell>
          <cell r="I512" t="str">
            <v>Doctorado en psicología</v>
          </cell>
          <cell r="J512" t="str">
            <v>Maestría en psicología</v>
          </cell>
          <cell r="K512" t="str">
            <v>Licenciatura en psicología</v>
          </cell>
          <cell r="L512" t="str">
            <v/>
          </cell>
          <cell r="M512" t="str">
            <v>Professional</v>
          </cell>
          <cell r="N512"/>
          <cell r="O512" t="str">
            <v>CSS</v>
          </cell>
          <cell r="P512">
            <v>0</v>
          </cell>
          <cell r="Q512" t="str">
            <v xml:space="preserve"> </v>
          </cell>
          <cell r="R512"/>
          <cell r="S512"/>
          <cell r="T512" t="str">
            <v>Sin reducción</v>
          </cell>
          <cell r="U512">
            <v>0</v>
          </cell>
          <cell r="V512"/>
          <cell r="W512"/>
          <cell r="X512">
            <v>0</v>
          </cell>
          <cell r="Y512">
            <v>0</v>
          </cell>
          <cell r="Z512">
            <v>0</v>
          </cell>
          <cell r="AA512"/>
          <cell r="AB512" t="str">
            <v>Active - signed</v>
          </cell>
          <cell r="AC512" t="str">
            <v>ACTIVO</v>
          </cell>
          <cell r="AD512"/>
          <cell r="AE512"/>
          <cell r="AF512"/>
          <cell r="AG512"/>
          <cell r="AH512"/>
          <cell r="AI512" t="str">
            <v>MXHEOF810814DMA</v>
          </cell>
        </row>
        <row r="513">
          <cell r="A513" t="str">
            <v>MXHEPA870315G23</v>
          </cell>
          <cell r="B513" t="str">
            <v>Hernández Posadas</v>
          </cell>
          <cell r="C513" t="str">
            <v>Alejandrina</v>
          </cell>
          <cell r="D513" t="str">
            <v>Hernández Posadas, Alejandrina</v>
          </cell>
          <cell r="E513" t="str">
            <v>ahernandezp@professional.universidadviu.com</v>
          </cell>
          <cell r="F513" t="str">
            <v>ahernandezp@professional.universidadviu.com</v>
          </cell>
          <cell r="G513" t="str">
            <v>NO</v>
          </cell>
          <cell r="H513" t="str">
            <v>NO</v>
          </cell>
          <cell r="I513" t="str">
            <v>Licenciada en Psicología</v>
          </cell>
          <cell r="J513" t="str">
            <v>Maestra en Psicología</v>
          </cell>
          <cell r="K513" t="str">
            <v/>
          </cell>
          <cell r="L513" t="str">
            <v/>
          </cell>
          <cell r="M513" t="str">
            <v>Professional</v>
          </cell>
          <cell r="N513" t="str">
            <v/>
          </cell>
          <cell r="O513" t="str">
            <v>CSS</v>
          </cell>
          <cell r="P513">
            <v>0</v>
          </cell>
          <cell r="Q513" t="str">
            <v xml:space="preserve"> </v>
          </cell>
          <cell r="R513"/>
          <cell r="S513"/>
          <cell r="T513" t="str">
            <v>Sin reducción</v>
          </cell>
          <cell r="U513">
            <v>0</v>
          </cell>
          <cell r="V513"/>
          <cell r="W513"/>
          <cell r="X513">
            <v>0</v>
          </cell>
          <cell r="Y513">
            <v>0</v>
          </cell>
          <cell r="Z513">
            <v>0</v>
          </cell>
          <cell r="AA513"/>
          <cell r="AB513" t="str">
            <v>Active - signed</v>
          </cell>
          <cell r="AC513" t="str">
            <v>ACTIVO</v>
          </cell>
          <cell r="AD513"/>
          <cell r="AE513"/>
          <cell r="AF513"/>
          <cell r="AG513"/>
          <cell r="AH513"/>
          <cell r="AI513" t="str">
            <v>MXHEPA870315G23</v>
          </cell>
        </row>
        <row r="514">
          <cell r="A514" t="str">
            <v>70068688Q</v>
          </cell>
          <cell r="B514" t="str">
            <v>Hernández Saguar</v>
          </cell>
          <cell r="C514" t="str">
            <v>Aida Esther</v>
          </cell>
          <cell r="D514" t="str">
            <v>Hernández Saguar, Aida Esther</v>
          </cell>
          <cell r="E514" t="str">
            <v>aida.hernandez</v>
          </cell>
          <cell r="F514" t="str">
            <v>aida.hernandez@professor.universidadviu.com</v>
          </cell>
          <cell r="G514" t="str">
            <v>NO</v>
          </cell>
          <cell r="H514" t="str">
            <v>NO</v>
          </cell>
          <cell r="I514" t="str">
            <v>Psicología</v>
          </cell>
          <cell r="J514" t="str">
            <v>Máster Universitario en Terapias Psicológicas de Tercera Generación</v>
          </cell>
          <cell r="K514" t="str">
            <v/>
          </cell>
          <cell r="L514" t="str">
            <v/>
          </cell>
          <cell r="M514" t="str">
            <v>Labour</v>
          </cell>
          <cell r="N514" t="str">
            <v>Duque Moreno, Maria Aranzazu</v>
          </cell>
          <cell r="O514" t="str">
            <v>CSS</v>
          </cell>
          <cell r="P514">
            <v>100</v>
          </cell>
          <cell r="Q514" t="str">
            <v>50</v>
          </cell>
          <cell r="R514"/>
          <cell r="S514"/>
          <cell r="T514" t="str">
            <v>Dirección de título Máster Universitario - 2 ediciones</v>
          </cell>
          <cell r="U514">
            <v>38</v>
          </cell>
          <cell r="V514"/>
          <cell r="W514"/>
          <cell r="X514">
            <v>12</v>
          </cell>
          <cell r="Y514">
            <v>0</v>
          </cell>
          <cell r="Z514">
            <v>0</v>
          </cell>
          <cell r="AA514"/>
          <cell r="AB514" t="str">
            <v>Active - signed</v>
          </cell>
          <cell r="AC514" t="str">
            <v>ACTIVO</v>
          </cell>
          <cell r="AD514"/>
          <cell r="AE514"/>
          <cell r="AF514"/>
          <cell r="AG514"/>
          <cell r="AH514"/>
          <cell r="AI514" t="str">
            <v>70068688Q</v>
          </cell>
        </row>
        <row r="515">
          <cell r="A515" t="str">
            <v>19847784A</v>
          </cell>
          <cell r="B515" t="str">
            <v>Hernández Sánchez</v>
          </cell>
          <cell r="C515" t="str">
            <v>Francisco Esteban</v>
          </cell>
          <cell r="D515" t="str">
            <v>Hernández Sánchez, Francisco Esteban</v>
          </cell>
          <cell r="E515" t="str">
            <v>franciscoesteban.hernandez</v>
          </cell>
          <cell r="F515" t="str">
            <v>franciscoesteban.hernandez@professor.universidadviu.com</v>
          </cell>
          <cell r="G515" t="str">
            <v>Yes</v>
          </cell>
          <cell r="H515" t="str">
            <v>NO</v>
          </cell>
          <cell r="I515" t="str">
            <v>Programa de Doctorado en Derechos Humanos, Democracia y Justicia Internacional</v>
          </cell>
          <cell r="J515" t="str">
            <v>Programa de Doctorado en Derechos Humanos, Democracia y Justicia Internacional</v>
          </cell>
          <cell r="K515" t="str">
            <v>Licenciatura en Derecho</v>
          </cell>
          <cell r="L515" t="str">
            <v>Máster Universitario en Derecho y Violencia de Género</v>
          </cell>
          <cell r="M515" t="str">
            <v>Labour</v>
          </cell>
          <cell r="N515" t="str">
            <v>Consultar a Facultad Ciencias Sociales y Jurídicas</v>
          </cell>
          <cell r="O515" t="str">
            <v>CBS</v>
          </cell>
          <cell r="P515">
            <v>100</v>
          </cell>
          <cell r="Q515" t="str">
            <v>50</v>
          </cell>
          <cell r="R515"/>
          <cell r="S515"/>
          <cell r="T515" t="str">
            <v>Sin reducción</v>
          </cell>
          <cell r="U515">
            <v>0</v>
          </cell>
          <cell r="V515">
            <v>44</v>
          </cell>
          <cell r="W515" t="str">
            <v>JURÍDICO</v>
          </cell>
          <cell r="X515">
            <v>0</v>
          </cell>
          <cell r="Y515">
            <v>0</v>
          </cell>
          <cell r="Z515">
            <v>6</v>
          </cell>
          <cell r="AA515"/>
          <cell r="AB515" t="str">
            <v>Active - signed</v>
          </cell>
          <cell r="AC515" t="str">
            <v>ACTIVO</v>
          </cell>
          <cell r="AD515"/>
          <cell r="AE515"/>
          <cell r="AF515"/>
          <cell r="AG515"/>
          <cell r="AH515"/>
          <cell r="AI515" t="str">
            <v>19847784A</v>
          </cell>
        </row>
        <row r="516">
          <cell r="A516" t="str">
            <v>75886763B</v>
          </cell>
          <cell r="B516" t="str">
            <v>Herrera Alarcón</v>
          </cell>
          <cell r="C516" t="str">
            <v>Juan Francisco</v>
          </cell>
          <cell r="D516" t="str">
            <v>Herrera Alarcón, Juan Francisco</v>
          </cell>
          <cell r="E516" t="str">
            <v>juanf.herrera@professional.universidadviu.com</v>
          </cell>
          <cell r="F516" t="str">
            <v>juanf.herrera@professional.universidadviu.com</v>
          </cell>
          <cell r="G516" t="str">
            <v>NO</v>
          </cell>
          <cell r="H516" t="str">
            <v>NO</v>
          </cell>
          <cell r="I516" t="str">
            <v>Master en Psicología General Sanitaria</v>
          </cell>
          <cell r="J516" t="str">
            <v>Grado en Psicología con Mención en Psicología de a Salud e Intervención en Trastornos Mentales y del comportamiento</v>
          </cell>
          <cell r="K516" t="str">
            <v/>
          </cell>
          <cell r="L516" t="str">
            <v/>
          </cell>
          <cell r="M516" t="str">
            <v>Professional</v>
          </cell>
          <cell r="N516" t="str">
            <v/>
          </cell>
          <cell r="O516" t="str">
            <v>CSS</v>
          </cell>
          <cell r="P516">
            <v>0</v>
          </cell>
          <cell r="Q516" t="str">
            <v xml:space="preserve"> </v>
          </cell>
          <cell r="R516"/>
          <cell r="S516"/>
          <cell r="T516" t="str">
            <v>Sin reducción</v>
          </cell>
          <cell r="U516">
            <v>0</v>
          </cell>
          <cell r="V516"/>
          <cell r="W516"/>
          <cell r="X516">
            <v>0</v>
          </cell>
          <cell r="Y516">
            <v>0</v>
          </cell>
          <cell r="Z516">
            <v>0</v>
          </cell>
          <cell r="AA516"/>
          <cell r="AB516" t="str">
            <v>Active - signed</v>
          </cell>
          <cell r="AC516" t="str">
            <v>ACTIVO</v>
          </cell>
          <cell r="AD516"/>
          <cell r="AE516"/>
          <cell r="AF516"/>
          <cell r="AG516"/>
          <cell r="AH516"/>
          <cell r="AI516" t="str">
            <v>75886763B</v>
          </cell>
        </row>
        <row r="517">
          <cell r="A517" t="str">
            <v>77004260F</v>
          </cell>
          <cell r="B517" t="str">
            <v>Herrera Pérez</v>
          </cell>
          <cell r="C517" t="str">
            <v>Salvador</v>
          </cell>
          <cell r="D517" t="str">
            <v>Herrera Pérez, Salvador</v>
          </cell>
          <cell r="E517" t="str">
            <v>salvador.herrera</v>
          </cell>
          <cell r="F517" t="str">
            <v>salvador.herrera@professor.universidadviu.com</v>
          </cell>
          <cell r="G517" t="str">
            <v>Yes</v>
          </cell>
          <cell r="H517" t="str">
            <v>Yes</v>
          </cell>
          <cell r="I517" t="str">
            <v>Doctorado en Neurociencia y Psicología Clínica</v>
          </cell>
          <cell r="J517" t="str">
            <v>Doctorado en Neurociencia y Psicología Clínica</v>
          </cell>
          <cell r="K517" t="str">
            <v>Master universitario en Neurociencia</v>
          </cell>
          <cell r="L517" t="str">
            <v>Grado en Psicología</v>
          </cell>
          <cell r="M517" t="str">
            <v>Labour</v>
          </cell>
          <cell r="N517" t="str">
            <v>Cairós González, Mariana Elena</v>
          </cell>
          <cell r="O517" t="str">
            <v>CSS</v>
          </cell>
          <cell r="P517">
            <v>100</v>
          </cell>
          <cell r="Q517" t="str">
            <v>50</v>
          </cell>
          <cell r="R517"/>
          <cell r="S517"/>
          <cell r="T517" t="str">
            <v>Sin reducción</v>
          </cell>
          <cell r="U517">
            <v>0</v>
          </cell>
          <cell r="V517"/>
          <cell r="W517"/>
          <cell r="X517">
            <v>21.1</v>
          </cell>
          <cell r="Y517">
            <v>6</v>
          </cell>
          <cell r="Z517">
            <v>17.100000000000001</v>
          </cell>
          <cell r="AA517"/>
          <cell r="AB517" t="str">
            <v>Active - signed</v>
          </cell>
          <cell r="AC517" t="str">
            <v>ACTIVO</v>
          </cell>
          <cell r="AD517"/>
          <cell r="AE517"/>
          <cell r="AF517"/>
          <cell r="AG517"/>
          <cell r="AH517"/>
          <cell r="AI517" t="str">
            <v>77004260F</v>
          </cell>
        </row>
        <row r="518">
          <cell r="A518" t="str">
            <v>07957471T</v>
          </cell>
          <cell r="B518" t="str">
            <v>Herrero Izquierdo</v>
          </cell>
          <cell r="C518" t="str">
            <v>Laura</v>
          </cell>
          <cell r="D518" t="str">
            <v>Herrero Izquierdo, Laura</v>
          </cell>
          <cell r="E518" t="str">
            <v>lherreroi@professional.universidadviu.com</v>
          </cell>
          <cell r="F518" t="str">
            <v>lherreroi@professional.universidadviu.com</v>
          </cell>
          <cell r="G518" t="str">
            <v>NO</v>
          </cell>
          <cell r="H518" t="str">
            <v>NO</v>
          </cell>
          <cell r="I518" t="str">
            <v>Máster Universitario en Investigación en Cuidados de Salud</v>
          </cell>
          <cell r="J518" t="str">
            <v>Grado en Enfermería</v>
          </cell>
          <cell r="K518" t="str">
            <v/>
          </cell>
          <cell r="L518" t="str">
            <v/>
          </cell>
          <cell r="M518" t="str">
            <v>Professional</v>
          </cell>
          <cell r="N518"/>
          <cell r="O518" t="str">
            <v>CBS</v>
          </cell>
          <cell r="P518">
            <v>0</v>
          </cell>
          <cell r="Q518" t="str">
            <v xml:space="preserve"> </v>
          </cell>
          <cell r="R518"/>
          <cell r="S518"/>
          <cell r="T518" t="str">
            <v>Sin reducción</v>
          </cell>
          <cell r="U518">
            <v>0</v>
          </cell>
          <cell r="V518"/>
          <cell r="W518"/>
          <cell r="X518">
            <v>0</v>
          </cell>
          <cell r="Y518">
            <v>0</v>
          </cell>
          <cell r="Z518">
            <v>0</v>
          </cell>
          <cell r="AA518"/>
          <cell r="AB518" t="str">
            <v>Active - signed</v>
          </cell>
          <cell r="AC518" t="str">
            <v>ACTIVO</v>
          </cell>
          <cell r="AD518"/>
          <cell r="AE518"/>
          <cell r="AF518"/>
          <cell r="AG518"/>
          <cell r="AH518"/>
          <cell r="AI518" t="str">
            <v>07957471T</v>
          </cell>
        </row>
        <row r="519">
          <cell r="A519" t="str">
            <v>03124856F</v>
          </cell>
          <cell r="B519" t="str">
            <v>Herrero Lladró</v>
          </cell>
          <cell r="C519" t="str">
            <v>Raquel</v>
          </cell>
          <cell r="D519" t="str">
            <v>Herrero Lladró, Raquel</v>
          </cell>
          <cell r="E519" t="str">
            <v>rherrerol@professor.universidadviu.com</v>
          </cell>
          <cell r="F519" t="str">
            <v>rherrerol@professor.universidadviu.com</v>
          </cell>
          <cell r="G519" t="str">
            <v>Yes</v>
          </cell>
          <cell r="H519" t="str">
            <v>NO</v>
          </cell>
          <cell r="I519" t="str">
            <v>Programa de Doctorado en Psicología</v>
          </cell>
          <cell r="J519" t="str">
            <v>Máster universitario de Psicología general Sanitaria</v>
          </cell>
          <cell r="K519" t="str">
            <v>Grado en Psicología</v>
          </cell>
          <cell r="L519" t="str">
            <v/>
          </cell>
          <cell r="M519" t="str">
            <v>Labour</v>
          </cell>
          <cell r="N519" t="str">
            <v>Aliño Costa, Marta</v>
          </cell>
          <cell r="O519" t="str">
            <v>CSS</v>
          </cell>
          <cell r="P519">
            <v>75</v>
          </cell>
          <cell r="Q519" t="str">
            <v>46</v>
          </cell>
          <cell r="R519" t="str">
            <v>Ampliación febrero</v>
          </cell>
          <cell r="S519"/>
          <cell r="T519" t="str">
            <v>Sin reducción</v>
          </cell>
          <cell r="U519">
            <v>0</v>
          </cell>
          <cell r="V519"/>
          <cell r="W519"/>
          <cell r="X519">
            <v>34</v>
          </cell>
          <cell r="Y519">
            <v>0</v>
          </cell>
          <cell r="Z519">
            <v>0</v>
          </cell>
          <cell r="AA519"/>
          <cell r="AB519" t="str">
            <v>Active - signed</v>
          </cell>
          <cell r="AC519" t="str">
            <v>ACTIVO</v>
          </cell>
          <cell r="AD519"/>
          <cell r="AE519"/>
          <cell r="AF519"/>
          <cell r="AG519"/>
          <cell r="AH519"/>
          <cell r="AI519" t="str">
            <v>03124856F</v>
          </cell>
        </row>
        <row r="520">
          <cell r="A520" t="str">
            <v>47556594T</v>
          </cell>
          <cell r="B520" t="str">
            <v>Hervás Begines</v>
          </cell>
          <cell r="C520" t="str">
            <v>Damián</v>
          </cell>
          <cell r="D520" t="str">
            <v>Hervás Begines, Damián</v>
          </cell>
          <cell r="E520" t="str">
            <v>dhervasb@professional.universidadviu.com</v>
          </cell>
          <cell r="F520" t="str">
            <v>dhervasb@professional.universidadviu.com</v>
          </cell>
          <cell r="G520" t="str">
            <v>Yes</v>
          </cell>
          <cell r="H520" t="str">
            <v>NO</v>
          </cell>
          <cell r="I520" t="str">
            <v/>
          </cell>
          <cell r="J520" t="str">
            <v/>
          </cell>
          <cell r="K520" t="str">
            <v/>
          </cell>
          <cell r="L520" t="str">
            <v/>
          </cell>
          <cell r="M520" t="str">
            <v>Labour</v>
          </cell>
          <cell r="N520"/>
          <cell r="O520" t="str">
            <v>CSS</v>
          </cell>
          <cell r="P520">
            <v>100</v>
          </cell>
          <cell r="Q520" t="str">
            <v>50</v>
          </cell>
          <cell r="R520" t="str">
            <v>Laboralización marzo educación</v>
          </cell>
          <cell r="S520"/>
          <cell r="T520" t="str">
            <v>Sin reducción</v>
          </cell>
          <cell r="U520">
            <v>0</v>
          </cell>
          <cell r="V520">
            <v>40</v>
          </cell>
          <cell r="W520" t="str">
            <v>EDUCACIÓN</v>
          </cell>
          <cell r="X520">
            <v>10</v>
          </cell>
          <cell r="Y520">
            <v>0</v>
          </cell>
          <cell r="Z520">
            <v>0</v>
          </cell>
          <cell r="AA520"/>
          <cell r="AB520" t="str">
            <v>Active - signed</v>
          </cell>
          <cell r="AC520" t="str">
            <v>ACTIVO</v>
          </cell>
          <cell r="AD520"/>
          <cell r="AE520"/>
          <cell r="AF520"/>
          <cell r="AG520"/>
          <cell r="AH520" t="str">
            <v>PTE. LABORALIZACIÓN/ PROPUESTA LABORAL</v>
          </cell>
          <cell r="AI520" t="str">
            <v>47556594T</v>
          </cell>
        </row>
        <row r="521">
          <cell r="A521" t="str">
            <v>17725278Y</v>
          </cell>
          <cell r="B521" t="str">
            <v>Hijazo Larrosa</v>
          </cell>
          <cell r="C521" t="str">
            <v>Sergio</v>
          </cell>
          <cell r="D521" t="str">
            <v>Hijazo Larrosa, Sergio</v>
          </cell>
          <cell r="E521" t="str">
            <v>sergio.hijazo</v>
          </cell>
          <cell r="F521" t="str">
            <v>sergio.hijazo@professional.universidadviu.com</v>
          </cell>
          <cell r="G521" t="str">
            <v>Yes</v>
          </cell>
          <cell r="H521" t="str">
            <v>NO</v>
          </cell>
          <cell r="I521" t="str">
            <v>Programa de doctorado en Ciencias de la Salud y Deporte</v>
          </cell>
          <cell r="J521" t="str">
            <v/>
          </cell>
          <cell r="K521" t="str">
            <v/>
          </cell>
          <cell r="L521" t="str">
            <v/>
          </cell>
          <cell r="M521" t="str">
            <v>Professional</v>
          </cell>
          <cell r="N521" t="str">
            <v/>
          </cell>
          <cell r="O521" t="str">
            <v>CBS</v>
          </cell>
          <cell r="P521">
            <v>0</v>
          </cell>
          <cell r="Q521" t="str">
            <v xml:space="preserve"> </v>
          </cell>
          <cell r="R521"/>
          <cell r="S521"/>
          <cell r="T521" t="str">
            <v>Sin reducción</v>
          </cell>
          <cell r="U521">
            <v>0</v>
          </cell>
          <cell r="V521"/>
          <cell r="W521"/>
          <cell r="X521">
            <v>0</v>
          </cell>
          <cell r="Y521">
            <v>0</v>
          </cell>
          <cell r="Z521">
            <v>0</v>
          </cell>
          <cell r="AA521"/>
          <cell r="AB521" t="str">
            <v>Concluded</v>
          </cell>
          <cell r="AC521" t="str">
            <v>NO ACTIVO</v>
          </cell>
          <cell r="AD521"/>
          <cell r="AE521"/>
          <cell r="AF521">
            <v>45623</v>
          </cell>
          <cell r="AG521" t="str">
            <v>CESE DE CONTRATO</v>
          </cell>
          <cell r="AH521"/>
          <cell r="AI521" t="str">
            <v>17725278Y</v>
          </cell>
        </row>
        <row r="522">
          <cell r="A522" t="str">
            <v>Y8509188F</v>
          </cell>
          <cell r="B522" t="str">
            <v>Hincapié Pinzón</v>
          </cell>
          <cell r="C522" t="str">
            <v>Juanita</v>
          </cell>
          <cell r="D522" t="str">
            <v>Hincapié Pinzón, Juanita</v>
          </cell>
          <cell r="E522" t="str">
            <v>jhincapiep@professor.universidadviu.com</v>
          </cell>
          <cell r="F522" t="str">
            <v>jhincapiep@professor.universidadviu.com</v>
          </cell>
          <cell r="G522" t="str">
            <v>Yes</v>
          </cell>
          <cell r="H522" t="str">
            <v>NO</v>
          </cell>
          <cell r="I522" t="str">
            <v>Doctorado en los Retos de las Ciencia Sociales y Humanas en la Sociedad del Siglo XXI</v>
          </cell>
          <cell r="J522" t="str">
            <v>Máster en Psicología</v>
          </cell>
          <cell r="K522" t="str">
            <v>Máster en Psicología, Área de especialización: Psicología Social</v>
          </cell>
          <cell r="L522" t="str">
            <v>Curso de Post-Graduado especializado en Psicología Organizacional</v>
          </cell>
          <cell r="M522" t="str">
            <v>Labour</v>
          </cell>
          <cell r="N522" t="str">
            <v>Consultar a Jurídico</v>
          </cell>
          <cell r="O522" t="str">
            <v>CSS</v>
          </cell>
          <cell r="P522">
            <v>100</v>
          </cell>
          <cell r="Q522" t="str">
            <v>50</v>
          </cell>
          <cell r="R522"/>
          <cell r="S522"/>
          <cell r="T522" t="str">
            <v>Sin reducción</v>
          </cell>
          <cell r="U522">
            <v>0</v>
          </cell>
          <cell r="V522">
            <v>38</v>
          </cell>
          <cell r="W522" t="str">
            <v>JURÍDICO</v>
          </cell>
          <cell r="X522">
            <v>12</v>
          </cell>
          <cell r="Y522">
            <v>0</v>
          </cell>
          <cell r="Z522">
            <v>0</v>
          </cell>
          <cell r="AA522"/>
          <cell r="AB522" t="str">
            <v>Active - signed</v>
          </cell>
          <cell r="AC522" t="str">
            <v>ACTIVO</v>
          </cell>
          <cell r="AD522"/>
          <cell r="AE522"/>
          <cell r="AF522"/>
          <cell r="AG522"/>
          <cell r="AH522"/>
          <cell r="AI522" t="str">
            <v>Y8509188F</v>
          </cell>
        </row>
        <row r="523">
          <cell r="A523" t="str">
            <v>75135462M</v>
          </cell>
          <cell r="B523" t="str">
            <v>Hita Yáñez</v>
          </cell>
          <cell r="C523" t="str">
            <v>Eva María</v>
          </cell>
          <cell r="D523" t="str">
            <v>Hita Yáñez, Eva María</v>
          </cell>
          <cell r="E523" t="str">
            <v>evamaria.hita</v>
          </cell>
          <cell r="F523" t="str">
            <v>evamaria.hita@professor.universidadviu.com</v>
          </cell>
          <cell r="G523" t="str">
            <v>Yes</v>
          </cell>
          <cell r="H523" t="str">
            <v>Yes</v>
          </cell>
          <cell r="I523" t="str">
            <v>Programa Oficial de Postgrado en Neurociencias</v>
          </cell>
          <cell r="J523" t="str">
            <v>Licenciado en Psicología</v>
          </cell>
          <cell r="K523" t="str">
            <v/>
          </cell>
          <cell r="L523" t="str">
            <v/>
          </cell>
          <cell r="M523" t="str">
            <v>Labour</v>
          </cell>
          <cell r="N523" t="str">
            <v>Hernández Saguar, Aida Esther</v>
          </cell>
          <cell r="O523" t="str">
            <v>CSS</v>
          </cell>
          <cell r="P523">
            <v>100</v>
          </cell>
          <cell r="Q523" t="str">
            <v>50</v>
          </cell>
          <cell r="R523"/>
          <cell r="S523"/>
          <cell r="T523" t="str">
            <v>Sin reducción</v>
          </cell>
          <cell r="U523">
            <v>0</v>
          </cell>
          <cell r="V523"/>
          <cell r="W523"/>
          <cell r="X523">
            <v>42.9</v>
          </cell>
          <cell r="Y523">
            <v>0</v>
          </cell>
          <cell r="Z523">
            <v>0</v>
          </cell>
          <cell r="AA523"/>
          <cell r="AB523" t="str">
            <v>Active - signed</v>
          </cell>
          <cell r="AC523" t="str">
            <v>ACTIVO</v>
          </cell>
          <cell r="AD523"/>
          <cell r="AE523"/>
          <cell r="AF523"/>
          <cell r="AG523"/>
          <cell r="AH523"/>
          <cell r="AI523" t="str">
            <v>75135462M</v>
          </cell>
        </row>
        <row r="524">
          <cell r="A524" t="str">
            <v>29499679V</v>
          </cell>
          <cell r="B524" t="str">
            <v>Hmadcha Afif</v>
          </cell>
          <cell r="C524" t="str">
            <v>Abdelkrim</v>
          </cell>
          <cell r="D524" t="str">
            <v>Hmadcha Afif, Abdelkrim</v>
          </cell>
          <cell r="E524" t="str">
            <v>abdelkrim.hmadcha</v>
          </cell>
          <cell r="F524" t="str">
            <v>abdelkrim.hmadcha@professor.universidadviu.com</v>
          </cell>
          <cell r="G524" t="str">
            <v>Yes</v>
          </cell>
          <cell r="H524" t="str">
            <v>Yes</v>
          </cell>
          <cell r="I524" t="str">
            <v>Biología y Genética</v>
          </cell>
          <cell r="J524" t="str">
            <v>Biología Molecular y Celular</v>
          </cell>
          <cell r="K524" t="str">
            <v>Licenciatura</v>
          </cell>
          <cell r="L524" t="str">
            <v/>
          </cell>
          <cell r="M524" t="str">
            <v>Labour</v>
          </cell>
          <cell r="N524" t="str">
            <v>Consultar Vicerrectorado de Investigación</v>
          </cell>
          <cell r="O524" t="str">
            <v>CBS</v>
          </cell>
          <cell r="P524">
            <v>100</v>
          </cell>
          <cell r="Q524" t="str">
            <v>50</v>
          </cell>
          <cell r="R524"/>
          <cell r="S524" t="str">
            <v>1997-2002</v>
          </cell>
          <cell r="T524" t="str">
            <v>Investigador/a Senior</v>
          </cell>
          <cell r="U524" t="str">
            <v>38</v>
          </cell>
          <cell r="V524"/>
          <cell r="W524"/>
          <cell r="X524">
            <v>0</v>
          </cell>
          <cell r="Y524">
            <v>10.1</v>
          </cell>
          <cell r="Z524">
            <v>7.4</v>
          </cell>
          <cell r="AA524"/>
          <cell r="AB524" t="str">
            <v>Active - signed</v>
          </cell>
          <cell r="AC524" t="str">
            <v>ACTIVO</v>
          </cell>
          <cell r="AD524"/>
          <cell r="AE524"/>
          <cell r="AF524"/>
          <cell r="AG524"/>
          <cell r="AH524"/>
          <cell r="AI524" t="str">
            <v>29499679V</v>
          </cell>
        </row>
        <row r="525">
          <cell r="A525" t="str">
            <v>03819308C</v>
          </cell>
          <cell r="B525" t="str">
            <v>Huerta Álvarez</v>
          </cell>
          <cell r="C525" t="str">
            <v>Consuelo</v>
          </cell>
          <cell r="D525" t="str">
            <v>Huerta Álvarez, Consuelo</v>
          </cell>
          <cell r="E525" t="str">
            <v>chuertaa@professor.universidadviu.com</v>
          </cell>
          <cell r="F525" t="str">
            <v>chuertaa@professor.universidadviu.com</v>
          </cell>
          <cell r="G525" t="str">
            <v>Yes</v>
          </cell>
          <cell r="H525" t="str">
            <v>Yes</v>
          </cell>
          <cell r="I525" t="str">
            <v>Doctorado en Medicina Preventiva, Salud Pública e Historia de la Ciencia</v>
          </cell>
          <cell r="J525" t="str">
            <v>Diplomado en Sanidad</v>
          </cell>
          <cell r="K525" t="str">
            <v>Doctorado en Medicina Preventiva, Salud Pública e Historia de la Ciencia</v>
          </cell>
          <cell r="L525" t="str">
            <v/>
          </cell>
          <cell r="M525" t="str">
            <v>Labour</v>
          </cell>
          <cell r="N525"/>
          <cell r="O525" t="str">
            <v>CBS</v>
          </cell>
          <cell r="P525">
            <v>100</v>
          </cell>
          <cell r="Q525" t="str">
            <v>50</v>
          </cell>
          <cell r="R525"/>
          <cell r="S525"/>
          <cell r="T525" t="str">
            <v>Sin reducción</v>
          </cell>
          <cell r="U525">
            <v>0</v>
          </cell>
          <cell r="V525"/>
          <cell r="W525"/>
          <cell r="X525">
            <v>0</v>
          </cell>
          <cell r="Y525">
            <v>0</v>
          </cell>
          <cell r="Z525">
            <v>0</v>
          </cell>
          <cell r="AA525"/>
          <cell r="AB525" t="str">
            <v>Concluded</v>
          </cell>
          <cell r="AC525" t="str">
            <v>NO ACTIVO</v>
          </cell>
          <cell r="AD525"/>
          <cell r="AE525"/>
          <cell r="AF525">
            <v>45862</v>
          </cell>
          <cell r="AG525" t="str">
            <v>CESE DE CONTRATO</v>
          </cell>
          <cell r="AH525"/>
          <cell r="AI525" t="str">
            <v>03819308C</v>
          </cell>
        </row>
        <row r="526">
          <cell r="A526" t="str">
            <v>47309237P</v>
          </cell>
          <cell r="B526" t="str">
            <v>Huguet Cuadrado</v>
          </cell>
          <cell r="C526" t="str">
            <v>Elena</v>
          </cell>
          <cell r="D526" t="str">
            <v>Huguet Cuadrado, Elena</v>
          </cell>
          <cell r="E526" t="str">
            <v>ehuguetc@professional.universidadviu.com</v>
          </cell>
          <cell r="F526" t="str">
            <v>ehuguetc@professional.universidadviu.com</v>
          </cell>
          <cell r="G526" t="str">
            <v>NO</v>
          </cell>
          <cell r="H526" t="str">
            <v>NO</v>
          </cell>
          <cell r="I526" t="str">
            <v>Master en psicología clinica basada en la evidencia</v>
          </cell>
          <cell r="J526" t="str">
            <v>Licenciado en Psicología</v>
          </cell>
          <cell r="K526" t="str">
            <v/>
          </cell>
          <cell r="L526" t="str">
            <v/>
          </cell>
          <cell r="M526" t="str">
            <v>Professional</v>
          </cell>
          <cell r="N526" t="str">
            <v/>
          </cell>
          <cell r="O526" t="str">
            <v>CSS</v>
          </cell>
          <cell r="P526">
            <v>0</v>
          </cell>
          <cell r="Q526" t="str">
            <v xml:space="preserve"> </v>
          </cell>
          <cell r="R526"/>
          <cell r="S526"/>
          <cell r="T526" t="str">
            <v>Sin reducción</v>
          </cell>
          <cell r="U526">
            <v>0</v>
          </cell>
          <cell r="V526"/>
          <cell r="W526"/>
          <cell r="X526">
            <v>0</v>
          </cell>
          <cell r="Y526">
            <v>0</v>
          </cell>
          <cell r="Z526">
            <v>0</v>
          </cell>
          <cell r="AA526"/>
          <cell r="AB526" t="str">
            <v>Active - signed</v>
          </cell>
          <cell r="AC526" t="str">
            <v>ACTIVO</v>
          </cell>
          <cell r="AD526"/>
          <cell r="AE526"/>
          <cell r="AF526"/>
          <cell r="AG526"/>
          <cell r="AH526"/>
          <cell r="AI526" t="str">
            <v>47309237P</v>
          </cell>
        </row>
        <row r="527">
          <cell r="A527" t="str">
            <v>21071057K</v>
          </cell>
          <cell r="B527" t="str">
            <v>Iantzi Vicente</v>
          </cell>
          <cell r="C527" t="str">
            <v>Stella</v>
          </cell>
          <cell r="D527" t="str">
            <v>Iantzi Vicente, Stella</v>
          </cell>
          <cell r="E527" t="str">
            <v>stella.iantzi@professor.universidadviu.com</v>
          </cell>
          <cell r="F527" t="str">
            <v>stella.iantzi@professor.universidadviu.com</v>
          </cell>
          <cell r="G527" t="str">
            <v>NO</v>
          </cell>
          <cell r="H527" t="str">
            <v>NO</v>
          </cell>
          <cell r="I527" t="str">
            <v>Graduada en Trabajo Social</v>
          </cell>
          <cell r="J527" t="str">
            <v>Máster Universitario en Trabajo Social Comunitario: Gestión y Evaluación de Servicios Sociales</v>
          </cell>
          <cell r="K527" t="str">
            <v/>
          </cell>
          <cell r="L527" t="str">
            <v/>
          </cell>
          <cell r="M527" t="str">
            <v>Labour</v>
          </cell>
          <cell r="N527" t="str">
            <v>Mesas Fernández, Javier</v>
          </cell>
          <cell r="O527" t="str">
            <v>CSS</v>
          </cell>
          <cell r="P527">
            <v>100</v>
          </cell>
          <cell r="Q527" t="str">
            <v>50</v>
          </cell>
          <cell r="R527"/>
          <cell r="S527"/>
          <cell r="T527" t="str">
            <v>Sin reducción</v>
          </cell>
          <cell r="U527">
            <v>0</v>
          </cell>
          <cell r="V527"/>
          <cell r="W527"/>
          <cell r="X527">
            <v>48.7</v>
          </cell>
          <cell r="Y527">
            <v>0</v>
          </cell>
          <cell r="Z527">
            <v>48.7</v>
          </cell>
          <cell r="AA527"/>
          <cell r="AB527" t="str">
            <v>Active - signed</v>
          </cell>
          <cell r="AC527" t="str">
            <v>ACTIVO</v>
          </cell>
          <cell r="AD527"/>
          <cell r="AE527"/>
          <cell r="AF527"/>
          <cell r="AG527"/>
          <cell r="AH527"/>
          <cell r="AI527" t="str">
            <v>21071057K</v>
          </cell>
        </row>
        <row r="528">
          <cell r="A528" t="str">
            <v>74391393D</v>
          </cell>
          <cell r="B528" t="str">
            <v>Ibáñez Torres</v>
          </cell>
          <cell r="C528" t="str">
            <v>Nerea</v>
          </cell>
          <cell r="D528" t="str">
            <v>Ibáñez Torres, Nerea</v>
          </cell>
          <cell r="E528" t="str">
            <v>nibanezt@professional.universidadviu.com</v>
          </cell>
          <cell r="F528" t="str">
            <v>nibanezt@professional.universidadviu.com</v>
          </cell>
          <cell r="G528" t="str">
            <v>NO</v>
          </cell>
          <cell r="H528" t="str">
            <v>NO</v>
          </cell>
          <cell r="I528" t="str">
            <v>Máster Universitario en Psicología General Sanitaria</v>
          </cell>
          <cell r="J528" t="str">
            <v>Grado en Psicología</v>
          </cell>
          <cell r="K528" t="str">
            <v/>
          </cell>
          <cell r="L528" t="str">
            <v/>
          </cell>
          <cell r="M528" t="str">
            <v>Professional</v>
          </cell>
          <cell r="N528" t="str">
            <v/>
          </cell>
          <cell r="O528" t="str">
            <v>CSS</v>
          </cell>
          <cell r="P528">
            <v>0</v>
          </cell>
          <cell r="Q528" t="str">
            <v xml:space="preserve"> </v>
          </cell>
          <cell r="R528"/>
          <cell r="S528"/>
          <cell r="T528" t="str">
            <v>Sin reducción</v>
          </cell>
          <cell r="U528">
            <v>0</v>
          </cell>
          <cell r="V528"/>
          <cell r="W528"/>
          <cell r="X528">
            <v>0</v>
          </cell>
          <cell r="Y528">
            <v>0</v>
          </cell>
          <cell r="Z528">
            <v>0</v>
          </cell>
          <cell r="AA528"/>
          <cell r="AB528" t="str">
            <v>Active - signed</v>
          </cell>
          <cell r="AC528" t="str">
            <v>ACTIVO</v>
          </cell>
          <cell r="AD528"/>
          <cell r="AE528"/>
          <cell r="AF528"/>
          <cell r="AG528"/>
          <cell r="AH528"/>
          <cell r="AI528" t="str">
            <v>74391393D</v>
          </cell>
        </row>
        <row r="529">
          <cell r="A529" t="str">
            <v>76129602Q</v>
          </cell>
          <cell r="B529" t="str">
            <v>Incera Fernández</v>
          </cell>
          <cell r="C529" t="str">
            <v>Daniel</v>
          </cell>
          <cell r="D529" t="str">
            <v>Incera Fernández, Daniel</v>
          </cell>
          <cell r="E529" t="str">
            <v>daniel.incera</v>
          </cell>
          <cell r="F529" t="str">
            <v>daniel.incera@professional.universidadviu.com</v>
          </cell>
          <cell r="G529" t="str">
            <v>Yes</v>
          </cell>
          <cell r="H529" t="str">
            <v>NO</v>
          </cell>
          <cell r="I529" t="str">
            <v>Psicología</v>
          </cell>
          <cell r="J529" t="str">
            <v>Doctorado en Psicología Clínica y de la Salud</v>
          </cell>
          <cell r="K529" t="str">
            <v>Master universitario en neurociencias</v>
          </cell>
          <cell r="L529" t="str">
            <v/>
          </cell>
          <cell r="M529" t="str">
            <v>Professional</v>
          </cell>
          <cell r="N529" t="str">
            <v/>
          </cell>
          <cell r="O529" t="str">
            <v>CSS</v>
          </cell>
          <cell r="P529">
            <v>0</v>
          </cell>
          <cell r="Q529" t="str">
            <v xml:space="preserve"> </v>
          </cell>
          <cell r="R529"/>
          <cell r="S529"/>
          <cell r="T529" t="str">
            <v>Sin reducción</v>
          </cell>
          <cell r="U529">
            <v>0</v>
          </cell>
          <cell r="V529"/>
          <cell r="W529"/>
          <cell r="X529">
            <v>0</v>
          </cell>
          <cell r="Y529">
            <v>0</v>
          </cell>
          <cell r="Z529">
            <v>0</v>
          </cell>
          <cell r="AA529"/>
          <cell r="AB529" t="str">
            <v>Active - signed</v>
          </cell>
          <cell r="AC529" t="str">
            <v>ACTIVO</v>
          </cell>
          <cell r="AD529"/>
          <cell r="AE529"/>
          <cell r="AF529"/>
          <cell r="AG529"/>
          <cell r="AH529"/>
          <cell r="AI529" t="str">
            <v>76129602Q</v>
          </cell>
        </row>
        <row r="530">
          <cell r="A530" t="str">
            <v>47804635D</v>
          </cell>
          <cell r="B530" t="str">
            <v>Infante Caballero</v>
          </cell>
          <cell r="C530" t="str">
            <v>Desirée</v>
          </cell>
          <cell r="D530" t="str">
            <v>Infante Caballero, Desirée</v>
          </cell>
          <cell r="E530" t="str">
            <v>dinfantec@professional.universidadviu.com</v>
          </cell>
          <cell r="F530" t="str">
            <v>dinfantec@professional.universidadviu.com</v>
          </cell>
          <cell r="G530" t="str">
            <v>NO</v>
          </cell>
          <cell r="H530" t="str">
            <v>NO</v>
          </cell>
          <cell r="I530" t="str">
            <v>MÁSTER EN NEUROPSICOLOGÍA Y EDUCACIÓN</v>
          </cell>
          <cell r="J530" t="str">
            <v>MÁSTER PSICOLOGÍA GENERAL SANITARIA</v>
          </cell>
          <cell r="K530" t="str">
            <v/>
          </cell>
          <cell r="L530" t="str">
            <v/>
          </cell>
          <cell r="M530" t="str">
            <v>Professional</v>
          </cell>
          <cell r="N530" t="str">
            <v/>
          </cell>
          <cell r="O530" t="str">
            <v>CSS</v>
          </cell>
          <cell r="P530">
            <v>0</v>
          </cell>
          <cell r="Q530" t="str">
            <v xml:space="preserve"> </v>
          </cell>
          <cell r="R530"/>
          <cell r="S530"/>
          <cell r="T530" t="str">
            <v>Sin reducción</v>
          </cell>
          <cell r="U530">
            <v>0</v>
          </cell>
          <cell r="V530"/>
          <cell r="W530"/>
          <cell r="X530">
            <v>0</v>
          </cell>
          <cell r="Y530">
            <v>0</v>
          </cell>
          <cell r="Z530">
            <v>0</v>
          </cell>
          <cell r="AA530"/>
          <cell r="AB530" t="str">
            <v>Concluded</v>
          </cell>
          <cell r="AC530" t="str">
            <v>NO ACTIVO</v>
          </cell>
          <cell r="AD530"/>
          <cell r="AE530"/>
          <cell r="AF530">
            <v>45393</v>
          </cell>
          <cell r="AG530" t="str">
            <v>CESE DE CONTRATO</v>
          </cell>
          <cell r="AH530"/>
          <cell r="AI530" t="str">
            <v>47804635D</v>
          </cell>
        </row>
        <row r="531">
          <cell r="A531" t="str">
            <v>23282257R</v>
          </cell>
          <cell r="B531" t="str">
            <v>Invernón Gómez</v>
          </cell>
          <cell r="C531" t="str">
            <v>Ana Isabel</v>
          </cell>
          <cell r="D531" t="str">
            <v>Invernón Gómez, Ana Isabel</v>
          </cell>
          <cell r="E531" t="str">
            <v>anaisabel.invernon</v>
          </cell>
          <cell r="F531" t="str">
            <v>anaisabel.invernon@professional.universidadviu.com</v>
          </cell>
          <cell r="G531" t="str">
            <v>Yes</v>
          </cell>
          <cell r="H531" t="str">
            <v>NO</v>
          </cell>
          <cell r="I531" t="str">
            <v>Doctorado en ciencias sociales y de la salud</v>
          </cell>
          <cell r="J531" t="str">
            <v>Master universitario en desarrollo social</v>
          </cell>
          <cell r="K531" t="str">
            <v>Licenciatura en pedagogia</v>
          </cell>
          <cell r="L531" t="str">
            <v/>
          </cell>
          <cell r="M531" t="str">
            <v>Professional</v>
          </cell>
          <cell r="N531" t="str">
            <v/>
          </cell>
          <cell r="O531" t="str">
            <v>CSS</v>
          </cell>
          <cell r="P531">
            <v>0</v>
          </cell>
          <cell r="Q531" t="str">
            <v xml:space="preserve"> </v>
          </cell>
          <cell r="R531"/>
          <cell r="S531"/>
          <cell r="T531" t="str">
            <v>Sin reducción</v>
          </cell>
          <cell r="U531">
            <v>0</v>
          </cell>
          <cell r="V531"/>
          <cell r="W531"/>
          <cell r="X531">
            <v>0</v>
          </cell>
          <cell r="Y531">
            <v>0</v>
          </cell>
          <cell r="Z531">
            <v>0</v>
          </cell>
          <cell r="AA531"/>
          <cell r="AB531" t="str">
            <v>Concluded</v>
          </cell>
          <cell r="AC531" t="str">
            <v>NO ACTIVO</v>
          </cell>
          <cell r="AD531"/>
          <cell r="AE531"/>
          <cell r="AF531">
            <v>45301</v>
          </cell>
          <cell r="AG531" t="str">
            <v>CESE DE CONTRATO</v>
          </cell>
          <cell r="AH531"/>
          <cell r="AI531" t="str">
            <v>23282257R</v>
          </cell>
        </row>
        <row r="532">
          <cell r="A532" t="str">
            <v>44885938N</v>
          </cell>
          <cell r="B532" t="str">
            <v>Iranzo Ejarque</v>
          </cell>
          <cell r="C532" t="str">
            <v>Begoña</v>
          </cell>
          <cell r="D532" t="str">
            <v>Iranzo Ejarque, Begoña</v>
          </cell>
          <cell r="E532" t="str">
            <v>begona.iranzo</v>
          </cell>
          <cell r="F532" t="str">
            <v>begona.iranzo@professor.universidadviu.com</v>
          </cell>
          <cell r="G532" t="str">
            <v>Yes</v>
          </cell>
          <cell r="H532" t="str">
            <v>Yes</v>
          </cell>
          <cell r="I532" t="str">
            <v>Programa de Doctorado en Investigación en Psicología</v>
          </cell>
          <cell r="J532" t="str">
            <v>Doctorado</v>
          </cell>
          <cell r="K532" t="str">
            <v>Licenciada en Psicología</v>
          </cell>
          <cell r="L532" t="str">
            <v/>
          </cell>
          <cell r="M532" t="str">
            <v>Labour</v>
          </cell>
          <cell r="N532" t="str">
            <v>Duque Moreno, María Aranzazu</v>
          </cell>
          <cell r="O532" t="str">
            <v>CSS</v>
          </cell>
          <cell r="P532">
            <v>100</v>
          </cell>
          <cell r="Q532" t="str">
            <v>50</v>
          </cell>
          <cell r="R532"/>
          <cell r="S532"/>
          <cell r="T532" t="str">
            <v>Dirección de título Máster Universitario &gt; 60 - 1 edición</v>
          </cell>
          <cell r="U532" t="str">
            <v>32</v>
          </cell>
          <cell r="V532"/>
          <cell r="W532"/>
          <cell r="X532">
            <v>12.4</v>
          </cell>
          <cell r="Y532">
            <v>0</v>
          </cell>
          <cell r="Z532">
            <v>0</v>
          </cell>
          <cell r="AA532"/>
          <cell r="AB532" t="str">
            <v>Active - signed</v>
          </cell>
          <cell r="AC532" t="str">
            <v>ACTIVO</v>
          </cell>
          <cell r="AD532"/>
          <cell r="AE532"/>
          <cell r="AF532"/>
          <cell r="AG532"/>
          <cell r="AH532"/>
          <cell r="AI532" t="str">
            <v>44885938N</v>
          </cell>
        </row>
        <row r="533">
          <cell r="A533" t="str">
            <v>35453103Y</v>
          </cell>
          <cell r="B533" t="str">
            <v>Isorna Folgar</v>
          </cell>
          <cell r="C533" t="str">
            <v>Manuel</v>
          </cell>
          <cell r="D533" t="str">
            <v>Isorna Folgar, Manuel</v>
          </cell>
          <cell r="E533" t="str">
            <v>manuel.isorna</v>
          </cell>
          <cell r="F533" t="str">
            <v>manuel.isorna@professional.universidadviu.com</v>
          </cell>
          <cell r="G533" t="str">
            <v>Yes</v>
          </cell>
          <cell r="H533" t="str">
            <v>Yes</v>
          </cell>
          <cell r="I533" t="str">
            <v>Psicología</v>
          </cell>
          <cell r="J533" t="str">
            <v>Programa de Psicología Social</v>
          </cell>
          <cell r="K533" t="str">
            <v>Licenciado en Filosofía y Ciencias de la Educación</v>
          </cell>
          <cell r="L533" t="str">
            <v/>
          </cell>
          <cell r="M533" t="str">
            <v>Professional</v>
          </cell>
          <cell r="N533" t="str">
            <v/>
          </cell>
          <cell r="O533" t="str">
            <v>CSS</v>
          </cell>
          <cell r="P533">
            <v>0</v>
          </cell>
          <cell r="Q533" t="str">
            <v xml:space="preserve"> </v>
          </cell>
          <cell r="R533"/>
          <cell r="S533"/>
          <cell r="T533" t="str">
            <v>Sin reducción</v>
          </cell>
          <cell r="U533">
            <v>0</v>
          </cell>
          <cell r="V533"/>
          <cell r="W533"/>
          <cell r="X533">
            <v>0</v>
          </cell>
          <cell r="Y533">
            <v>0</v>
          </cell>
          <cell r="Z533">
            <v>0</v>
          </cell>
          <cell r="AA533"/>
          <cell r="AB533" t="str">
            <v>Active - signed</v>
          </cell>
          <cell r="AC533" t="str">
            <v>ACTIVO</v>
          </cell>
          <cell r="AD533"/>
          <cell r="AE533"/>
          <cell r="AF533"/>
          <cell r="AG533"/>
          <cell r="AH533"/>
          <cell r="AI533" t="str">
            <v>35453103Y</v>
          </cell>
        </row>
        <row r="534">
          <cell r="A534" t="str">
            <v>44883044Q</v>
          </cell>
          <cell r="B534" t="str">
            <v>Izquierdo Alventosa</v>
          </cell>
          <cell r="C534" t="str">
            <v>Ruth</v>
          </cell>
          <cell r="D534" t="str">
            <v>Izquierdo Alventosa, Ruth</v>
          </cell>
          <cell r="E534" t="str">
            <v>ruth.izquierdo</v>
          </cell>
          <cell r="F534" t="str">
            <v>ruth.izquierdo@professor.universidadviu.com</v>
          </cell>
          <cell r="G534" t="str">
            <v>Yes</v>
          </cell>
          <cell r="H534" t="str">
            <v>NO</v>
          </cell>
          <cell r="I534" t="str">
            <v>Programa de Doctorado en Fisioterapia</v>
          </cell>
          <cell r="J534" t="str">
            <v>Programa de Doctorado en Fisioterapia</v>
          </cell>
          <cell r="K534" t="str">
            <v>Máster Universitari en Rehabilitació del Malalt Neurològic</v>
          </cell>
          <cell r="L534" t="str">
            <v>Graduada en Fisioterapia por la Universitat de València</v>
          </cell>
          <cell r="M534" t="str">
            <v>Labour</v>
          </cell>
          <cell r="N534" t="str">
            <v>García Tejedor, Aurora</v>
          </cell>
          <cell r="O534" t="str">
            <v>CBS</v>
          </cell>
          <cell r="P534">
            <v>100</v>
          </cell>
          <cell r="Q534" t="str">
            <v>50</v>
          </cell>
          <cell r="R534"/>
          <cell r="S534"/>
          <cell r="T534" t="str">
            <v>Dirección de título Máster Universitario &gt; 60 - 1 edición</v>
          </cell>
          <cell r="U534" t="str">
            <v>32</v>
          </cell>
          <cell r="V534"/>
          <cell r="W534"/>
          <cell r="X534">
            <v>0</v>
          </cell>
          <cell r="Y534">
            <v>17.100000000000001</v>
          </cell>
          <cell r="Z534">
            <v>0</v>
          </cell>
          <cell r="AA534"/>
          <cell r="AB534" t="str">
            <v>Active - signed</v>
          </cell>
          <cell r="AC534" t="str">
            <v>ACTIVO</v>
          </cell>
          <cell r="AD534"/>
          <cell r="AE534"/>
          <cell r="AF534"/>
          <cell r="AG534"/>
          <cell r="AH534"/>
          <cell r="AI534" t="str">
            <v>44883044Q</v>
          </cell>
        </row>
        <row r="535">
          <cell r="A535" t="str">
            <v>53445462V</v>
          </cell>
          <cell r="B535" t="str">
            <v>Izquierdo García</v>
          </cell>
          <cell r="C535" t="str">
            <v>José Luis</v>
          </cell>
          <cell r="D535" t="str">
            <v>Izquierdo García, José Luis</v>
          </cell>
          <cell r="E535" t="str">
            <v>joseluis.izquierdo.g</v>
          </cell>
          <cell r="F535" t="str">
            <v>joseluis.izquierdo.g@professional.universidadviu.com</v>
          </cell>
          <cell r="G535" t="str">
            <v>Yes</v>
          </cell>
          <cell r="H535" t="str">
            <v>Yes</v>
          </cell>
          <cell r="I535" t="str">
            <v>Físicas</v>
          </cell>
          <cell r="J535" t="str">
            <v>Licenciatura en Física</v>
          </cell>
          <cell r="K535" t="str">
            <v>Master en Física Biomédica</v>
          </cell>
          <cell r="L535" t="str">
            <v/>
          </cell>
          <cell r="M535" t="str">
            <v>Professional</v>
          </cell>
          <cell r="N535" t="str">
            <v/>
          </cell>
          <cell r="O535" t="str">
            <v>CBS</v>
          </cell>
          <cell r="P535">
            <v>0</v>
          </cell>
          <cell r="Q535" t="str">
            <v xml:space="preserve"> </v>
          </cell>
          <cell r="R535"/>
          <cell r="S535"/>
          <cell r="T535" t="str">
            <v>Sin reducción</v>
          </cell>
          <cell r="U535">
            <v>0</v>
          </cell>
          <cell r="V535"/>
          <cell r="W535"/>
          <cell r="X535">
            <v>0</v>
          </cell>
          <cell r="Y535">
            <v>0</v>
          </cell>
          <cell r="Z535">
            <v>0</v>
          </cell>
          <cell r="AA535"/>
          <cell r="AB535" t="str">
            <v>Active - signed</v>
          </cell>
          <cell r="AC535" t="str">
            <v>ACTIVO</v>
          </cell>
          <cell r="AD535"/>
          <cell r="AE535"/>
          <cell r="AF535"/>
          <cell r="AG535"/>
          <cell r="AH535"/>
          <cell r="AI535" t="str">
            <v>53445462V</v>
          </cell>
        </row>
        <row r="536">
          <cell r="A536" t="str">
            <v>05454651V</v>
          </cell>
          <cell r="B536" t="str">
            <v>Izquierdo Zarzo</v>
          </cell>
          <cell r="C536" t="str">
            <v>Ana</v>
          </cell>
          <cell r="D536" t="str">
            <v>Izquierdo Zarzo, Ana</v>
          </cell>
          <cell r="E536" t="str">
            <v>ana.izquierdo.z</v>
          </cell>
          <cell r="F536" t="str">
            <v>ana.izquierdo.z@professional.universidadviu.com</v>
          </cell>
          <cell r="G536" t="str">
            <v>Yes</v>
          </cell>
          <cell r="H536" t="str">
            <v>NO</v>
          </cell>
          <cell r="I536" t="str">
            <v>Psicología</v>
          </cell>
          <cell r="J536" t="str">
            <v>Máster Universitario en Psicología General Sanitaria</v>
          </cell>
          <cell r="K536" t="str">
            <v>Doctor en Medicina y Cirugía</v>
          </cell>
          <cell r="L536" t="str">
            <v/>
          </cell>
          <cell r="M536" t="str">
            <v>Professional</v>
          </cell>
          <cell r="N536" t="str">
            <v/>
          </cell>
          <cell r="O536" t="str">
            <v>CSS</v>
          </cell>
          <cell r="P536">
            <v>0</v>
          </cell>
          <cell r="Q536" t="str">
            <v xml:space="preserve"> </v>
          </cell>
          <cell r="R536"/>
          <cell r="S536"/>
          <cell r="T536" t="str">
            <v>Sin reducción</v>
          </cell>
          <cell r="U536">
            <v>0</v>
          </cell>
          <cell r="V536"/>
          <cell r="W536"/>
          <cell r="X536">
            <v>0</v>
          </cell>
          <cell r="Y536">
            <v>0</v>
          </cell>
          <cell r="Z536">
            <v>0</v>
          </cell>
          <cell r="AA536"/>
          <cell r="AB536" t="str">
            <v>Active - signed</v>
          </cell>
          <cell r="AC536" t="str">
            <v>ACTIVO</v>
          </cell>
          <cell r="AD536"/>
          <cell r="AE536"/>
          <cell r="AF536"/>
          <cell r="AG536"/>
          <cell r="AH536"/>
          <cell r="AI536" t="str">
            <v>05454651V</v>
          </cell>
        </row>
        <row r="537">
          <cell r="A537" t="str">
            <v>20455693E</v>
          </cell>
          <cell r="B537" t="str">
            <v>Jaén Parrilla</v>
          </cell>
          <cell r="C537" t="str">
            <v>Irene</v>
          </cell>
          <cell r="D537" t="str">
            <v>Jaén Parrilla, Irene</v>
          </cell>
          <cell r="E537" t="str">
            <v>irene.jaen</v>
          </cell>
          <cell r="F537" t="str">
            <v>irene.jaen@professional.universidadviu.com</v>
          </cell>
          <cell r="G537" t="str">
            <v>Yes</v>
          </cell>
          <cell r="H537" t="str">
            <v>Yes</v>
          </cell>
          <cell r="I537" t="str">
            <v>Psicología</v>
          </cell>
          <cell r="J537" t="str">
            <v>Máster en Psicopatología Salud y Neuropsicología</v>
          </cell>
          <cell r="K537" t="str">
            <v>Doctorado en Psicología</v>
          </cell>
          <cell r="L537" t="str">
            <v/>
          </cell>
          <cell r="M537" t="str">
            <v>Professional</v>
          </cell>
          <cell r="N537" t="str">
            <v/>
          </cell>
          <cell r="O537" t="str">
            <v>CSS</v>
          </cell>
          <cell r="P537">
            <v>0</v>
          </cell>
          <cell r="Q537" t="str">
            <v xml:space="preserve"> </v>
          </cell>
          <cell r="R537"/>
          <cell r="S537"/>
          <cell r="T537" t="str">
            <v>Sin reducción</v>
          </cell>
          <cell r="U537">
            <v>0</v>
          </cell>
          <cell r="V537"/>
          <cell r="W537"/>
          <cell r="X537">
            <v>0</v>
          </cell>
          <cell r="Y537">
            <v>0</v>
          </cell>
          <cell r="Z537">
            <v>0</v>
          </cell>
          <cell r="AA537"/>
          <cell r="AB537" t="str">
            <v>Active - signed</v>
          </cell>
          <cell r="AC537" t="str">
            <v>ACTIVO</v>
          </cell>
          <cell r="AD537"/>
          <cell r="AE537"/>
          <cell r="AF537"/>
          <cell r="AG537"/>
          <cell r="AH537"/>
          <cell r="AI537" t="str">
            <v>20455693E</v>
          </cell>
        </row>
        <row r="538">
          <cell r="A538" t="str">
            <v>13998388J</v>
          </cell>
          <cell r="B538" t="str">
            <v>Jatahy Peixoto</v>
          </cell>
          <cell r="C538" t="str">
            <v>Clicia</v>
          </cell>
          <cell r="D538" t="str">
            <v>Jatahy Peixoto, Clicia</v>
          </cell>
          <cell r="E538" t="str">
            <v>clicia.jatahy</v>
          </cell>
          <cell r="F538" t="str">
            <v>clicia.jatahy@professional.universidadviu.com</v>
          </cell>
          <cell r="G538" t="str">
            <v>Yes</v>
          </cell>
          <cell r="H538" t="str">
            <v>NO</v>
          </cell>
          <cell r="I538" t="str">
            <v>Psicología</v>
          </cell>
          <cell r="J538" t="str">
            <v>Programa Oficial de de Doctorado en Psicogerontología</v>
          </cell>
          <cell r="K538" t="str">
            <v>Máster Universitario en Psicogerontología</v>
          </cell>
          <cell r="L538" t="str">
            <v/>
          </cell>
          <cell r="M538" t="str">
            <v>Professional</v>
          </cell>
          <cell r="N538" t="str">
            <v/>
          </cell>
          <cell r="O538" t="str">
            <v>CSS</v>
          </cell>
          <cell r="P538">
            <v>0</v>
          </cell>
          <cell r="Q538" t="str">
            <v xml:space="preserve"> </v>
          </cell>
          <cell r="R538"/>
          <cell r="S538"/>
          <cell r="T538" t="str">
            <v>Sin reducción</v>
          </cell>
          <cell r="U538">
            <v>0</v>
          </cell>
          <cell r="V538"/>
          <cell r="W538"/>
          <cell r="X538">
            <v>0</v>
          </cell>
          <cell r="Y538">
            <v>0</v>
          </cell>
          <cell r="Z538">
            <v>0</v>
          </cell>
          <cell r="AA538"/>
          <cell r="AB538" t="str">
            <v>Active - signed</v>
          </cell>
          <cell r="AC538" t="str">
            <v>ACTIVO</v>
          </cell>
          <cell r="AD538"/>
          <cell r="AE538"/>
          <cell r="AF538"/>
          <cell r="AG538"/>
          <cell r="AH538"/>
          <cell r="AI538" t="str">
            <v>13998388J</v>
          </cell>
        </row>
        <row r="539">
          <cell r="A539">
            <v>7713300</v>
          </cell>
          <cell r="B539" t="str">
            <v>Javela González</v>
          </cell>
          <cell r="C539" t="str">
            <v>José Julián</v>
          </cell>
          <cell r="D539" t="str">
            <v>Javela González, José Julián</v>
          </cell>
          <cell r="E539" t="str">
            <v>jjavelag@professional.universidadviu.com</v>
          </cell>
          <cell r="F539" t="str">
            <v>jjavelag@professional.universidadviu.com</v>
          </cell>
          <cell r="G539" t="str">
            <v>Yes</v>
          </cell>
          <cell r="H539" t="str">
            <v>Yes</v>
          </cell>
          <cell r="I539" t="str">
            <v>Licenciado en Psicología</v>
          </cell>
          <cell r="J539" t="str">
            <v>Dr. En Neurociencias</v>
          </cell>
          <cell r="K539" t="str">
            <v/>
          </cell>
          <cell r="L539" t="str">
            <v/>
          </cell>
          <cell r="M539" t="str">
            <v>Professional</v>
          </cell>
          <cell r="N539" t="str">
            <v/>
          </cell>
          <cell r="O539" t="str">
            <v>CSS</v>
          </cell>
          <cell r="P539">
            <v>0</v>
          </cell>
          <cell r="Q539" t="str">
            <v xml:space="preserve"> </v>
          </cell>
          <cell r="R539"/>
          <cell r="S539"/>
          <cell r="T539" t="str">
            <v>Sin reducción</v>
          </cell>
          <cell r="U539">
            <v>0</v>
          </cell>
          <cell r="V539"/>
          <cell r="W539"/>
          <cell r="X539">
            <v>0</v>
          </cell>
          <cell r="Y539">
            <v>0</v>
          </cell>
          <cell r="Z539">
            <v>0</v>
          </cell>
          <cell r="AA539"/>
          <cell r="AB539" t="str">
            <v>Active - signed</v>
          </cell>
          <cell r="AC539" t="str">
            <v>ACTIVO</v>
          </cell>
          <cell r="AD539"/>
          <cell r="AE539"/>
          <cell r="AF539"/>
          <cell r="AG539"/>
          <cell r="AH539"/>
          <cell r="AI539">
            <v>7713300</v>
          </cell>
        </row>
        <row r="540">
          <cell r="A540" t="str">
            <v>45678285D</v>
          </cell>
          <cell r="B540" t="str">
            <v>Jayo Andrés</v>
          </cell>
          <cell r="C540" t="str">
            <v>Asier</v>
          </cell>
          <cell r="D540" t="str">
            <v>Jayo Andrés, Asier</v>
          </cell>
          <cell r="E540" t="str">
            <v>asier.jayo</v>
          </cell>
          <cell r="F540" t="str">
            <v>asier.jayo@professional.universidadviu.com</v>
          </cell>
          <cell r="G540" t="str">
            <v>Yes</v>
          </cell>
          <cell r="H540" t="str">
            <v>Yes</v>
          </cell>
          <cell r="I540" t="str">
            <v>Biología y Genética</v>
          </cell>
          <cell r="J540" t="str">
            <v>Certificate in Advanced English (Grade A)</v>
          </cell>
          <cell r="K540" t="str">
            <v>Bioquímica y Biología Molecular</v>
          </cell>
          <cell r="L540" t="str">
            <v>Master en Formación del Profesorado de Secundaria y Formación Profesional</v>
          </cell>
          <cell r="M540" t="str">
            <v>Professional</v>
          </cell>
          <cell r="N540" t="str">
            <v/>
          </cell>
          <cell r="O540" t="str">
            <v>CBS</v>
          </cell>
          <cell r="P540">
            <v>0</v>
          </cell>
          <cell r="Q540" t="str">
            <v xml:space="preserve"> </v>
          </cell>
          <cell r="R540"/>
          <cell r="S540"/>
          <cell r="T540" t="str">
            <v>Sin reducción</v>
          </cell>
          <cell r="U540">
            <v>0</v>
          </cell>
          <cell r="V540"/>
          <cell r="W540"/>
          <cell r="X540">
            <v>0</v>
          </cell>
          <cell r="Y540">
            <v>0</v>
          </cell>
          <cell r="Z540">
            <v>0</v>
          </cell>
          <cell r="AA540"/>
          <cell r="AB540" t="str">
            <v>Active - signed</v>
          </cell>
          <cell r="AC540" t="str">
            <v>ACTIVO</v>
          </cell>
          <cell r="AD540"/>
          <cell r="AE540"/>
          <cell r="AF540"/>
          <cell r="AG540"/>
          <cell r="AH540"/>
          <cell r="AI540" t="str">
            <v>45678285D</v>
          </cell>
        </row>
        <row r="541">
          <cell r="A541" t="str">
            <v>07991322H</v>
          </cell>
          <cell r="B541" t="str">
            <v>Jiménez Arberas</v>
          </cell>
          <cell r="C541" t="str">
            <v>Estíbaliz</v>
          </cell>
          <cell r="D541" t="str">
            <v>Jiménez Arberas, Estíbaliz</v>
          </cell>
          <cell r="E541" t="str">
            <v>estibaliz.jimeneza</v>
          </cell>
          <cell r="F541" t="str">
            <v>estibaliz.jimeneza@professional.universidadviu.com</v>
          </cell>
          <cell r="G541" t="str">
            <v>Yes</v>
          </cell>
          <cell r="H541" t="str">
            <v>Yes</v>
          </cell>
          <cell r="I541" t="str">
            <v>Psicología</v>
          </cell>
          <cell r="J541" t="str">
            <v>Programa de Doctorado en Psicología</v>
          </cell>
          <cell r="K541" t="str">
            <v/>
          </cell>
          <cell r="L541" t="str">
            <v/>
          </cell>
          <cell r="M541" t="str">
            <v>Professional</v>
          </cell>
          <cell r="N541" t="str">
            <v/>
          </cell>
          <cell r="O541" t="str">
            <v>CSS</v>
          </cell>
          <cell r="P541">
            <v>0</v>
          </cell>
          <cell r="Q541" t="str">
            <v xml:space="preserve"> </v>
          </cell>
          <cell r="R541"/>
          <cell r="S541"/>
          <cell r="T541" t="str">
            <v>Sin reducción</v>
          </cell>
          <cell r="U541">
            <v>0</v>
          </cell>
          <cell r="V541"/>
          <cell r="W541"/>
          <cell r="X541">
            <v>0</v>
          </cell>
          <cell r="Y541">
            <v>0</v>
          </cell>
          <cell r="Z541">
            <v>0</v>
          </cell>
          <cell r="AA541"/>
          <cell r="AB541" t="str">
            <v>Active - signed</v>
          </cell>
          <cell r="AC541" t="str">
            <v>ACTIVO</v>
          </cell>
          <cell r="AD541"/>
          <cell r="AE541"/>
          <cell r="AF541"/>
          <cell r="AG541"/>
          <cell r="AH541"/>
          <cell r="AI541" t="str">
            <v>07991322H</v>
          </cell>
        </row>
        <row r="542">
          <cell r="A542" t="str">
            <v>53252050N</v>
          </cell>
          <cell r="B542" t="str">
            <v>Jiménez Ballester</v>
          </cell>
          <cell r="C542" t="str">
            <v>Ana María</v>
          </cell>
          <cell r="D542" t="str">
            <v>Jiménez Ballester, Ana María</v>
          </cell>
          <cell r="E542" t="str">
            <v>anamaria.jimenez</v>
          </cell>
          <cell r="F542" t="str">
            <v>anamaria.jimenez@professor.universidadviu.com</v>
          </cell>
          <cell r="G542" t="str">
            <v>Yes</v>
          </cell>
          <cell r="H542" t="str">
            <v>NO</v>
          </cell>
          <cell r="I542" t="str">
            <v>Psicología</v>
          </cell>
          <cell r="J542" t="str">
            <v>Máster Universitario en Psicología General Sanitaria</v>
          </cell>
          <cell r="K542" t="str">
            <v>Máster Universitario en Avances en Investigación y Tratamientos en Psicopatología y Salud</v>
          </cell>
          <cell r="L542" t="str">
            <v/>
          </cell>
          <cell r="M542" t="str">
            <v>Labour</v>
          </cell>
          <cell r="N542"/>
          <cell r="O542" t="str">
            <v>CSS</v>
          </cell>
          <cell r="P542" t="str">
            <v>0,01</v>
          </cell>
          <cell r="Q542" t="b">
            <v>0</v>
          </cell>
          <cell r="R542"/>
          <cell r="S542"/>
          <cell r="T542" t="str">
            <v>Sin reducción</v>
          </cell>
          <cell r="U542">
            <v>0</v>
          </cell>
          <cell r="V542">
            <v>23</v>
          </cell>
          <cell r="W542" t="str">
            <v>EDUCACIÓN</v>
          </cell>
          <cell r="X542">
            <v>0</v>
          </cell>
          <cell r="Y542">
            <v>0</v>
          </cell>
          <cell r="Z542">
            <v>0</v>
          </cell>
          <cell r="AA542"/>
          <cell r="AB542" t="str">
            <v>Active - signed</v>
          </cell>
          <cell r="AC542" t="str">
            <v>ACTIVO</v>
          </cell>
          <cell r="AD542">
            <v>45569</v>
          </cell>
          <cell r="AE542">
            <v>45934</v>
          </cell>
          <cell r="AF542"/>
          <cell r="AG542" t="str">
            <v>EXCEDENCIA</v>
          </cell>
          <cell r="AH542"/>
          <cell r="AI542" t="str">
            <v>53252050N</v>
          </cell>
        </row>
        <row r="543">
          <cell r="A543" t="str">
            <v>45839869H</v>
          </cell>
          <cell r="B543" t="str">
            <v>Jiménez García</v>
          </cell>
          <cell r="C543" t="str">
            <v>Segundo</v>
          </cell>
          <cell r="D543" t="str">
            <v>Jiménez García, Segundo</v>
          </cell>
          <cell r="E543" t="str">
            <v>sjimenezg@professor.universidadviu.com</v>
          </cell>
          <cell r="F543" t="str">
            <v>sjimenezg@professor.universidadviu.com</v>
          </cell>
          <cell r="G543" t="str">
            <v>Yes</v>
          </cell>
          <cell r="H543" t="str">
            <v>NO</v>
          </cell>
          <cell r="I543" t="str">
            <v>Doctorado</v>
          </cell>
          <cell r="J543" t="str">
            <v>Diplomado en Enfermería</v>
          </cell>
          <cell r="K543" t="str">
            <v>Master Universitario en Ciencias de la Enfermería</v>
          </cell>
          <cell r="L543" t="str">
            <v/>
          </cell>
          <cell r="M543" t="str">
            <v>Labour</v>
          </cell>
          <cell r="N543" t="str">
            <v/>
          </cell>
          <cell r="O543" t="str">
            <v>CBS</v>
          </cell>
          <cell r="P543" t="str">
            <v>10,00</v>
          </cell>
          <cell r="Q543" t="b">
            <v>0</v>
          </cell>
          <cell r="R543"/>
          <cell r="S543"/>
          <cell r="T543" t="str">
            <v>Sin reducción</v>
          </cell>
          <cell r="U543">
            <v>0</v>
          </cell>
          <cell r="V543"/>
          <cell r="W543"/>
          <cell r="X543">
            <v>0</v>
          </cell>
          <cell r="Y543">
            <v>0</v>
          </cell>
          <cell r="Z543">
            <v>0</v>
          </cell>
          <cell r="AA543"/>
          <cell r="AB543" t="str">
            <v>Concluded</v>
          </cell>
          <cell r="AC543" t="str">
            <v>NO ACTIVO</v>
          </cell>
          <cell r="AD543"/>
          <cell r="AE543"/>
          <cell r="AF543"/>
          <cell r="AG543" t="str">
            <v>CESE DE CONTRATO</v>
          </cell>
          <cell r="AH543"/>
          <cell r="AI543" t="str">
            <v>45839869H</v>
          </cell>
        </row>
        <row r="544">
          <cell r="A544" t="str">
            <v>49025397T</v>
          </cell>
          <cell r="B544" t="str">
            <v>Jiménez García-Escribano</v>
          </cell>
          <cell r="C544" t="str">
            <v>Patricia</v>
          </cell>
          <cell r="D544" t="str">
            <v>Jiménez García-Escribano, Patricia</v>
          </cell>
          <cell r="E544" t="str">
            <v>patricia.jimenez.e</v>
          </cell>
          <cell r="F544" t="str">
            <v>patricia.jimenez.e@professor.universidadviu.com</v>
          </cell>
          <cell r="G544" t="str">
            <v>Yes</v>
          </cell>
          <cell r="H544" t="str">
            <v>Yes</v>
          </cell>
          <cell r="I544" t="str">
            <v>Programa de Doctorado en Psicología</v>
          </cell>
          <cell r="J544" t="str">
            <v>Programa de Doctorado en Psicología</v>
          </cell>
          <cell r="K544" t="str">
            <v>Licenciada en Psicología</v>
          </cell>
          <cell r="L544" t="str">
            <v>Máster Universitario en Intervención y Mediación Familiar</v>
          </cell>
          <cell r="M544" t="str">
            <v>Labour</v>
          </cell>
          <cell r="N544" t="str">
            <v>Duque Moreno, María Aranzazu</v>
          </cell>
          <cell r="O544" t="str">
            <v>CSS</v>
          </cell>
          <cell r="P544">
            <v>100</v>
          </cell>
          <cell r="Q544" t="str">
            <v>50</v>
          </cell>
          <cell r="R544"/>
          <cell r="S544"/>
          <cell r="T544" t="str">
            <v>Dirección de título Máster Universitario &gt; 60 - 1 edición</v>
          </cell>
          <cell r="U544" t="str">
            <v>32</v>
          </cell>
          <cell r="V544"/>
          <cell r="W544"/>
          <cell r="X544">
            <v>14.6</v>
          </cell>
          <cell r="Y544">
            <v>0</v>
          </cell>
          <cell r="Z544">
            <v>0</v>
          </cell>
          <cell r="AA544"/>
          <cell r="AB544" t="str">
            <v>Active - signed</v>
          </cell>
          <cell r="AC544" t="str">
            <v>ACTIVO</v>
          </cell>
          <cell r="AD544"/>
          <cell r="AE544"/>
          <cell r="AF544"/>
          <cell r="AG544"/>
          <cell r="AH544"/>
          <cell r="AI544" t="str">
            <v>49025397T</v>
          </cell>
        </row>
        <row r="545">
          <cell r="A545" t="str">
            <v>JILP870623HCSMPL09</v>
          </cell>
          <cell r="B545" t="str">
            <v>Jiménez López</v>
          </cell>
          <cell r="C545" t="str">
            <v>Paul Eduardo</v>
          </cell>
          <cell r="D545" t="str">
            <v>Jiménez López, Paul Eduardo</v>
          </cell>
          <cell r="E545" t="str">
            <v>pauleduardo.jimenez</v>
          </cell>
          <cell r="F545"/>
          <cell r="G545" t="str">
            <v>NO</v>
          </cell>
          <cell r="H545" t="str">
            <v>NO</v>
          </cell>
          <cell r="I545" t="str">
            <v>Estudios Regionales</v>
          </cell>
          <cell r="J545" t="str">
            <v>Maestría en Economía del Sector Público</v>
          </cell>
          <cell r="K545" t="str">
            <v>Licenciatura en Economía</v>
          </cell>
          <cell r="L545" t="str">
            <v/>
          </cell>
          <cell r="M545" t="str">
            <v>Professional</v>
          </cell>
          <cell r="N545" t="str">
            <v/>
          </cell>
          <cell r="O545" t="str">
            <v>CSS</v>
          </cell>
          <cell r="P545">
            <v>0</v>
          </cell>
          <cell r="Q545" t="str">
            <v xml:space="preserve"> </v>
          </cell>
          <cell r="R545"/>
          <cell r="S545"/>
          <cell r="T545" t="str">
            <v>Sin reducción</v>
          </cell>
          <cell r="U545">
            <v>0</v>
          </cell>
          <cell r="V545"/>
          <cell r="W545"/>
          <cell r="X545">
            <v>0</v>
          </cell>
          <cell r="Y545">
            <v>0</v>
          </cell>
          <cell r="Z545">
            <v>0</v>
          </cell>
          <cell r="AA545"/>
          <cell r="AB545" t="str">
            <v>Active - signed</v>
          </cell>
          <cell r="AC545" t="str">
            <v>ACTIVO</v>
          </cell>
          <cell r="AD545"/>
          <cell r="AE545"/>
          <cell r="AF545"/>
          <cell r="AG545"/>
          <cell r="AH545"/>
          <cell r="AI545" t="str">
            <v>JILP870623HCSMPL09</v>
          </cell>
        </row>
        <row r="546">
          <cell r="A546" t="str">
            <v>77140489F</v>
          </cell>
          <cell r="B546" t="str">
            <v>Jiménez Marín</v>
          </cell>
          <cell r="C546" t="str">
            <v>Antonio</v>
          </cell>
          <cell r="D546" t="str">
            <v>Jiménez Marín, Antonio</v>
          </cell>
          <cell r="E546" t="str">
            <v>antonio.jimenez.m</v>
          </cell>
          <cell r="F546" t="str">
            <v>antonio.jimenez.m@professional.universidadviu.com</v>
          </cell>
          <cell r="G546" t="str">
            <v>Yes</v>
          </cell>
          <cell r="H546" t="str">
            <v>NO</v>
          </cell>
          <cell r="I546" t="str">
            <v>Programa de Doctorado en Investigación Biomédica</v>
          </cell>
          <cell r="J546" t="str">
            <v>Master universitario en Ingeniería Biomédica</v>
          </cell>
          <cell r="K546" t="str">
            <v>Grado en Ingeniería de Tecnologías de Telecomunicación</v>
          </cell>
          <cell r="L546" t="str">
            <v/>
          </cell>
          <cell r="M546" t="str">
            <v>Professional</v>
          </cell>
          <cell r="N546" t="str">
            <v/>
          </cell>
          <cell r="O546" t="str">
            <v>CBS</v>
          </cell>
          <cell r="P546">
            <v>0</v>
          </cell>
          <cell r="Q546" t="str">
            <v xml:space="preserve"> </v>
          </cell>
          <cell r="R546"/>
          <cell r="S546"/>
          <cell r="T546" t="str">
            <v>Sin reducción</v>
          </cell>
          <cell r="U546">
            <v>0</v>
          </cell>
          <cell r="V546"/>
          <cell r="W546"/>
          <cell r="X546">
            <v>0</v>
          </cell>
          <cell r="Y546">
            <v>0</v>
          </cell>
          <cell r="Z546">
            <v>0</v>
          </cell>
          <cell r="AA546"/>
          <cell r="AB546" t="str">
            <v>Active - signed</v>
          </cell>
          <cell r="AC546" t="str">
            <v>ACTIVO</v>
          </cell>
          <cell r="AD546"/>
          <cell r="AE546"/>
          <cell r="AF546"/>
          <cell r="AG546"/>
          <cell r="AH546"/>
          <cell r="AI546" t="str">
            <v>77140489F</v>
          </cell>
        </row>
        <row r="547">
          <cell r="A547" t="str">
            <v>48317868C</v>
          </cell>
          <cell r="B547" t="str">
            <v>Jiménez Martínez</v>
          </cell>
          <cell r="C547" t="str">
            <v>Javier</v>
          </cell>
          <cell r="D547" t="str">
            <v>Jiménez Martínez, Javier</v>
          </cell>
          <cell r="E547" t="str">
            <v>javier.jimenez.m@professor.universidadviu.com</v>
          </cell>
          <cell r="F547" t="str">
            <v>javier.jimenez.m@professor.universidadviu.com</v>
          </cell>
          <cell r="G547" t="str">
            <v>Yes</v>
          </cell>
          <cell r="H547" t="str">
            <v>NO</v>
          </cell>
          <cell r="I547" t="str">
            <v>Programa de Doctorado en Investigación en Psicología</v>
          </cell>
          <cell r="J547" t="str">
            <v>Programa Oficial de Doctorado en Investigación en Psicología</v>
          </cell>
          <cell r="K547" t="str">
            <v>Licenciado en Psicología</v>
          </cell>
          <cell r="L547" t="str">
            <v/>
          </cell>
          <cell r="M547" t="str">
            <v>Labour</v>
          </cell>
          <cell r="N547" t="str">
            <v>Rama Galdón, Encarnación</v>
          </cell>
          <cell r="O547" t="str">
            <v>CSS</v>
          </cell>
          <cell r="P547">
            <v>100</v>
          </cell>
          <cell r="Q547" t="str">
            <v>50</v>
          </cell>
          <cell r="R547"/>
          <cell r="S547"/>
          <cell r="T547" t="str">
            <v>Sin reducción</v>
          </cell>
          <cell r="U547">
            <v>0</v>
          </cell>
          <cell r="V547"/>
          <cell r="W547"/>
          <cell r="X547">
            <v>50.1</v>
          </cell>
          <cell r="Y547">
            <v>0</v>
          </cell>
          <cell r="Z547">
            <v>0</v>
          </cell>
          <cell r="AA547"/>
          <cell r="AB547" t="str">
            <v>Active - signed</v>
          </cell>
          <cell r="AC547" t="str">
            <v>ACTIVO</v>
          </cell>
          <cell r="AD547"/>
          <cell r="AE547"/>
          <cell r="AF547"/>
          <cell r="AG547"/>
          <cell r="AH547"/>
          <cell r="AI547" t="str">
            <v>48317868C</v>
          </cell>
        </row>
        <row r="548">
          <cell r="A548" t="str">
            <v>74855835N</v>
          </cell>
          <cell r="B548" t="str">
            <v>Jiménez Real</v>
          </cell>
          <cell r="C548" t="str">
            <v>María Carmen</v>
          </cell>
          <cell r="D548" t="str">
            <v>Jiménez Real, María Carmen</v>
          </cell>
          <cell r="E548" t="str">
            <v>mjimenezr@professor.universidadviu.com</v>
          </cell>
          <cell r="F548" t="str">
            <v>mjimenezr@professor.universidadviu.com</v>
          </cell>
          <cell r="G548" t="str">
            <v>NO</v>
          </cell>
          <cell r="H548" t="str">
            <v>NO</v>
          </cell>
          <cell r="I548" t="str">
            <v/>
          </cell>
          <cell r="J548" t="str">
            <v/>
          </cell>
          <cell r="K548" t="str">
            <v/>
          </cell>
          <cell r="L548" t="str">
            <v/>
          </cell>
          <cell r="M548" t="str">
            <v>Labour</v>
          </cell>
          <cell r="N548"/>
          <cell r="O548" t="str">
            <v>CSS</v>
          </cell>
          <cell r="P548">
            <v>100</v>
          </cell>
          <cell r="Q548" t="str">
            <v>50</v>
          </cell>
          <cell r="R548"/>
          <cell r="S548"/>
          <cell r="T548" t="str">
            <v>Sin reducción</v>
          </cell>
          <cell r="U548">
            <v>0</v>
          </cell>
          <cell r="V548">
            <v>18</v>
          </cell>
          <cell r="W548" t="str">
            <v>EDUCACIÓN</v>
          </cell>
          <cell r="X548">
            <v>24</v>
          </cell>
          <cell r="Y548">
            <v>0</v>
          </cell>
          <cell r="Z548">
            <v>0</v>
          </cell>
          <cell r="AA548"/>
          <cell r="AB548" t="str">
            <v>Active - signed</v>
          </cell>
          <cell r="AC548" t="str">
            <v>ACTIVO</v>
          </cell>
          <cell r="AD548"/>
          <cell r="AE548"/>
          <cell r="AF548"/>
          <cell r="AG548"/>
          <cell r="AH548"/>
          <cell r="AI548" t="str">
            <v>74855835N</v>
          </cell>
        </row>
        <row r="549">
          <cell r="A549" t="str">
            <v>44284004B</v>
          </cell>
          <cell r="B549" t="str">
            <v>Jiménez Rodríguez</v>
          </cell>
          <cell r="C549" t="str">
            <v>José Manuel</v>
          </cell>
          <cell r="D549" t="str">
            <v>Jiménez Rodríguez, José Manuel</v>
          </cell>
          <cell r="E549" t="str">
            <v>josemanuel.jimenez0</v>
          </cell>
          <cell r="F549"/>
          <cell r="G549" t="str">
            <v>Yes</v>
          </cell>
          <cell r="H549" t="str">
            <v>NO</v>
          </cell>
          <cell r="I549" t="str">
            <v>Doctorado en Ciencias Sociales</v>
          </cell>
          <cell r="J549" t="str">
            <v>Diplomado de Trabajo Social</v>
          </cell>
          <cell r="K549" t="str">
            <v>Ldo. en Antropología Social y Cultura</v>
          </cell>
          <cell r="L549" t="str">
            <v/>
          </cell>
          <cell r="M549" t="str">
            <v>Professional</v>
          </cell>
          <cell r="N549" t="str">
            <v/>
          </cell>
          <cell r="O549" t="str">
            <v>CSS</v>
          </cell>
          <cell r="P549">
            <v>0</v>
          </cell>
          <cell r="Q549" t="str">
            <v xml:space="preserve"> </v>
          </cell>
          <cell r="R549"/>
          <cell r="S549"/>
          <cell r="T549" t="str">
            <v>Sin reducción</v>
          </cell>
          <cell r="U549">
            <v>0</v>
          </cell>
          <cell r="V549"/>
          <cell r="W549"/>
          <cell r="X549">
            <v>0</v>
          </cell>
          <cell r="Y549">
            <v>0</v>
          </cell>
          <cell r="Z549">
            <v>0</v>
          </cell>
          <cell r="AA549"/>
          <cell r="AB549" t="str">
            <v>Active - signed</v>
          </cell>
          <cell r="AC549" t="str">
            <v>ACTIVO</v>
          </cell>
          <cell r="AD549"/>
          <cell r="AE549"/>
          <cell r="AF549"/>
          <cell r="AG549"/>
          <cell r="AH549"/>
          <cell r="AI549" t="str">
            <v>44284004B</v>
          </cell>
        </row>
        <row r="550">
          <cell r="A550" t="str">
            <v>04595624V</v>
          </cell>
          <cell r="B550" t="str">
            <v>Jiménez Rubio</v>
          </cell>
          <cell r="C550" t="str">
            <v>María Yolanda</v>
          </cell>
          <cell r="D550" t="str">
            <v>Jiménez Rubio, María Yolanda</v>
          </cell>
          <cell r="E550" t="str">
            <v>mariayolanda.jimenez</v>
          </cell>
          <cell r="F550" t="str">
            <v>mariayolanda.jimenez@professor.universidadviu.com</v>
          </cell>
          <cell r="G550" t="str">
            <v>NO</v>
          </cell>
          <cell r="H550" t="str">
            <v>NO</v>
          </cell>
          <cell r="I550" t="str">
            <v>Máster Universitario en Especialización y Cuidado de Enfermería</v>
          </cell>
          <cell r="J550" t="str">
            <v>Graduada en Enfermería</v>
          </cell>
          <cell r="K550" t="str">
            <v/>
          </cell>
          <cell r="L550" t="str">
            <v/>
          </cell>
          <cell r="M550" t="str">
            <v>Labour</v>
          </cell>
          <cell r="N550" t="str">
            <v>Consultar a Educación</v>
          </cell>
          <cell r="O550" t="str">
            <v>CBS</v>
          </cell>
          <cell r="P550">
            <v>100</v>
          </cell>
          <cell r="Q550" t="str">
            <v>50</v>
          </cell>
          <cell r="R550"/>
          <cell r="S550"/>
          <cell r="T550" t="str">
            <v>Sin reducción</v>
          </cell>
          <cell r="U550">
            <v>0</v>
          </cell>
          <cell r="V550">
            <v>37</v>
          </cell>
          <cell r="W550" t="str">
            <v>Educación</v>
          </cell>
          <cell r="X550">
            <v>0</v>
          </cell>
          <cell r="Y550">
            <v>11.8</v>
          </cell>
          <cell r="Z550">
            <v>0</v>
          </cell>
          <cell r="AA550"/>
          <cell r="AB550" t="str">
            <v>Active - signed</v>
          </cell>
          <cell r="AC550" t="str">
            <v>ACTIVO</v>
          </cell>
          <cell r="AD550"/>
          <cell r="AE550"/>
          <cell r="AF550"/>
          <cell r="AG550"/>
          <cell r="AH550"/>
          <cell r="AI550" t="str">
            <v>04595624V</v>
          </cell>
        </row>
        <row r="551">
          <cell r="A551" t="str">
            <v>75136991Q</v>
          </cell>
          <cell r="B551" t="str">
            <v>Jiménez Sánchez</v>
          </cell>
          <cell r="C551" t="str">
            <v>Cecilia</v>
          </cell>
          <cell r="D551" t="str">
            <v>Jiménez Sánchez, Cecilia</v>
          </cell>
          <cell r="E551" t="str">
            <v>cecilia.jimenez</v>
          </cell>
          <cell r="F551" t="str">
            <v>cecilia.jimenez@professor.universidadviu.com</v>
          </cell>
          <cell r="G551" t="str">
            <v>Yes</v>
          </cell>
          <cell r="H551" t="str">
            <v>NO</v>
          </cell>
          <cell r="I551" t="str">
            <v>Ciencia y tecnología de los alimentos</v>
          </cell>
          <cell r="J551" t="str">
            <v>Programa de Doctorado en Química</v>
          </cell>
          <cell r="K551" t="str">
            <v>Diplomada en Nutrición Humana y Dietética</v>
          </cell>
          <cell r="L551" t="str">
            <v>Máster Universitario en Química</v>
          </cell>
          <cell r="M551" t="str">
            <v>Labour</v>
          </cell>
          <cell r="N551" t="str">
            <v/>
          </cell>
          <cell r="O551" t="str">
            <v>CBS</v>
          </cell>
          <cell r="P551" t="str">
            <v>40,00</v>
          </cell>
          <cell r="Q551" t="b">
            <v>0</v>
          </cell>
          <cell r="R551"/>
          <cell r="S551"/>
          <cell r="T551" t="str">
            <v>Sin reducción</v>
          </cell>
          <cell r="U551">
            <v>0</v>
          </cell>
          <cell r="V551"/>
          <cell r="W551"/>
          <cell r="X551">
            <v>0</v>
          </cell>
          <cell r="Y551">
            <v>0</v>
          </cell>
          <cell r="Z551">
            <v>0</v>
          </cell>
          <cell r="AA551"/>
          <cell r="AB551" t="str">
            <v>Concluded</v>
          </cell>
          <cell r="AC551" t="str">
            <v>NO ACTIVO</v>
          </cell>
          <cell r="AD551"/>
          <cell r="AE551"/>
          <cell r="AF551">
            <v>45198</v>
          </cell>
          <cell r="AG551" t="str">
            <v>CESE DE CONTRATO</v>
          </cell>
          <cell r="AH551"/>
          <cell r="AI551" t="str">
            <v>75136991Q</v>
          </cell>
        </row>
        <row r="552">
          <cell r="A552" t="str">
            <v>70355021E</v>
          </cell>
          <cell r="B552" t="str">
            <v>Juárez Carreño</v>
          </cell>
          <cell r="C552" t="str">
            <v>Sergio</v>
          </cell>
          <cell r="D552" t="str">
            <v>Juárez Carreño, Sergio</v>
          </cell>
          <cell r="E552" t="str">
            <v>sergio.juarez</v>
          </cell>
          <cell r="F552" t="str">
            <v>sergio.juarez@professional.universidadviu.com</v>
          </cell>
          <cell r="G552" t="str">
            <v>Yes</v>
          </cell>
          <cell r="H552" t="str">
            <v>NO</v>
          </cell>
          <cell r="I552" t="str">
            <v>Doctorado</v>
          </cell>
          <cell r="J552" t="str">
            <v/>
          </cell>
          <cell r="K552" t="str">
            <v/>
          </cell>
          <cell r="L552" t="str">
            <v/>
          </cell>
          <cell r="M552" t="str">
            <v>Professional</v>
          </cell>
          <cell r="N552" t="str">
            <v/>
          </cell>
          <cell r="O552" t="str">
            <v>CBS</v>
          </cell>
          <cell r="P552">
            <v>0</v>
          </cell>
          <cell r="Q552" t="str">
            <v xml:space="preserve"> </v>
          </cell>
          <cell r="R552"/>
          <cell r="S552"/>
          <cell r="T552" t="str">
            <v>Sin reducción</v>
          </cell>
          <cell r="U552">
            <v>0</v>
          </cell>
          <cell r="V552"/>
          <cell r="W552"/>
          <cell r="X552">
            <v>0</v>
          </cell>
          <cell r="Y552">
            <v>0</v>
          </cell>
          <cell r="Z552">
            <v>0</v>
          </cell>
          <cell r="AA552"/>
          <cell r="AB552" t="str">
            <v>Active - signed</v>
          </cell>
          <cell r="AC552" t="str">
            <v>ACTIVO</v>
          </cell>
          <cell r="AD552"/>
          <cell r="AE552"/>
          <cell r="AF552"/>
          <cell r="AG552"/>
          <cell r="AH552"/>
          <cell r="AI552" t="str">
            <v>70355021E</v>
          </cell>
        </row>
        <row r="553">
          <cell r="A553" t="str">
            <v>78949358H</v>
          </cell>
          <cell r="B553" t="str">
            <v>Juarros Basterretxea</v>
          </cell>
          <cell r="C553" t="str">
            <v>Joel</v>
          </cell>
          <cell r="D553" t="str">
            <v>Juarros Basterretxea, Joel</v>
          </cell>
          <cell r="E553" t="str">
            <v>joel.juarros</v>
          </cell>
          <cell r="F553"/>
          <cell r="G553" t="str">
            <v>Yes</v>
          </cell>
          <cell r="H553" t="str">
            <v>Yes</v>
          </cell>
          <cell r="I553" t="str">
            <v>Psicología</v>
          </cell>
          <cell r="J553" t="str">
            <v>Programa Oficial de Doctorado en Educación y Psicología</v>
          </cell>
          <cell r="K553" t="str">
            <v/>
          </cell>
          <cell r="L553" t="str">
            <v/>
          </cell>
          <cell r="M553" t="str">
            <v>Professional</v>
          </cell>
          <cell r="N553" t="str">
            <v/>
          </cell>
          <cell r="O553" t="str">
            <v>CSS</v>
          </cell>
          <cell r="P553">
            <v>0</v>
          </cell>
          <cell r="Q553" t="str">
            <v xml:space="preserve"> </v>
          </cell>
          <cell r="R553"/>
          <cell r="S553"/>
          <cell r="T553" t="str">
            <v>Sin reducción</v>
          </cell>
          <cell r="U553">
            <v>0</v>
          </cell>
          <cell r="V553"/>
          <cell r="W553"/>
          <cell r="X553">
            <v>0</v>
          </cell>
          <cell r="Y553">
            <v>0</v>
          </cell>
          <cell r="Z553">
            <v>0</v>
          </cell>
          <cell r="AA553"/>
          <cell r="AB553" t="str">
            <v>Concluded</v>
          </cell>
          <cell r="AC553" t="str">
            <v>NO ACTIVO</v>
          </cell>
          <cell r="AD553"/>
          <cell r="AE553"/>
          <cell r="AF553">
            <v>45002</v>
          </cell>
          <cell r="AG553" t="str">
            <v>CESE DE CONTRATO</v>
          </cell>
          <cell r="AH553"/>
          <cell r="AI553" t="str">
            <v>78949358H</v>
          </cell>
        </row>
        <row r="554">
          <cell r="A554" t="str">
            <v>Y2607995Q</v>
          </cell>
          <cell r="B554" t="str">
            <v>Kasprzak</v>
          </cell>
          <cell r="C554" t="str">
            <v>Agata</v>
          </cell>
          <cell r="D554" t="str">
            <v>Kasprzak, Agata</v>
          </cell>
          <cell r="E554" t="str">
            <v>agata.kasprzak</v>
          </cell>
          <cell r="F554" t="str">
            <v>agata.kasprzak@professional.universidadviu.com</v>
          </cell>
          <cell r="G554" t="str">
            <v>Yes</v>
          </cell>
          <cell r="H554" t="str">
            <v>NO</v>
          </cell>
          <cell r="I554" t="str">
            <v/>
          </cell>
          <cell r="J554" t="str">
            <v/>
          </cell>
          <cell r="K554" t="str">
            <v/>
          </cell>
          <cell r="L554" t="str">
            <v/>
          </cell>
          <cell r="M554" t="str">
            <v>Professional</v>
          </cell>
          <cell r="N554"/>
          <cell r="O554" t="str">
            <v>CSS</v>
          </cell>
          <cell r="P554">
            <v>0</v>
          </cell>
          <cell r="Q554" t="str">
            <v xml:space="preserve"> </v>
          </cell>
          <cell r="R554"/>
          <cell r="S554"/>
          <cell r="T554" t="str">
            <v>Sin reducción</v>
          </cell>
          <cell r="U554">
            <v>0</v>
          </cell>
          <cell r="V554"/>
          <cell r="W554"/>
          <cell r="X554">
            <v>0</v>
          </cell>
          <cell r="Y554">
            <v>0</v>
          </cell>
          <cell r="Z554">
            <v>0</v>
          </cell>
          <cell r="AA554"/>
          <cell r="AB554" t="str">
            <v>Active - signed</v>
          </cell>
          <cell r="AC554" t="str">
            <v>ACTIVO</v>
          </cell>
          <cell r="AD554"/>
          <cell r="AE554"/>
          <cell r="AF554"/>
          <cell r="AG554"/>
          <cell r="AH554"/>
          <cell r="AI554" t="str">
            <v>Y2607995Q</v>
          </cell>
        </row>
        <row r="555">
          <cell r="A555" t="str">
            <v>20858109F</v>
          </cell>
          <cell r="B555" t="str">
            <v>Lairón Peris</v>
          </cell>
          <cell r="C555" t="str">
            <v>Maria</v>
          </cell>
          <cell r="D555" t="str">
            <v>Lairón Peris, Maria</v>
          </cell>
          <cell r="E555" t="str">
            <v>maria.lairon</v>
          </cell>
          <cell r="F555" t="str">
            <v>maria.lairon@professor.universidadviu.com</v>
          </cell>
          <cell r="G555" t="str">
            <v>Yes</v>
          </cell>
          <cell r="H555" t="str">
            <v>NO</v>
          </cell>
          <cell r="I555" t="str">
            <v>Doctorado en Biomedicina y biotecnologia</v>
          </cell>
          <cell r="J555" t="str">
            <v>Doctorado en Biomedicina y biotecnologia</v>
          </cell>
          <cell r="K555" t="str">
            <v>Grado en Biotecnología</v>
          </cell>
          <cell r="L555" t="str">
            <v>Máster en Bioinformática</v>
          </cell>
          <cell r="M555" t="str">
            <v>Labour</v>
          </cell>
          <cell r="N555" t="str">
            <v>Tronchoni León, Jordi</v>
          </cell>
          <cell r="O555" t="str">
            <v>CBS</v>
          </cell>
          <cell r="P555">
            <v>30</v>
          </cell>
          <cell r="Q555" t="str">
            <v>24</v>
          </cell>
          <cell r="R555"/>
          <cell r="S555"/>
          <cell r="T555" t="str">
            <v>Sin reducción</v>
          </cell>
          <cell r="U555">
            <v>0</v>
          </cell>
          <cell r="V555"/>
          <cell r="W555"/>
          <cell r="X555">
            <v>0</v>
          </cell>
          <cell r="Y555">
            <v>0</v>
          </cell>
          <cell r="Z555">
            <v>24.3</v>
          </cell>
          <cell r="AA555"/>
          <cell r="AB555" t="str">
            <v>Active - signed</v>
          </cell>
          <cell r="AC555" t="str">
            <v>ACTIVO</v>
          </cell>
          <cell r="AD555"/>
          <cell r="AE555"/>
          <cell r="AF555"/>
          <cell r="AG555"/>
          <cell r="AH555"/>
          <cell r="AI555" t="str">
            <v>20858109F</v>
          </cell>
        </row>
        <row r="556">
          <cell r="A556" t="str">
            <v>76924903T</v>
          </cell>
          <cell r="B556" t="str">
            <v>Lamiquiz Moneo</v>
          </cell>
          <cell r="C556" t="str">
            <v>Itziar</v>
          </cell>
          <cell r="D556" t="str">
            <v>Lamiquiz Moneo, Itziar</v>
          </cell>
          <cell r="E556" t="str">
            <v>itziar.lamiquiz</v>
          </cell>
          <cell r="F556" t="str">
            <v>itziar.lamiquiz@professional.universidadviu.com</v>
          </cell>
          <cell r="G556" t="str">
            <v>Yes</v>
          </cell>
          <cell r="H556" t="str">
            <v>Yes</v>
          </cell>
          <cell r="I556" t="str">
            <v>Biología y Genética</v>
          </cell>
          <cell r="J556" t="str">
            <v>Licenciada en Veterina</v>
          </cell>
          <cell r="K556" t="str">
            <v>Programa de Bioquímica y Biología Molecular</v>
          </cell>
          <cell r="L556" t="str">
            <v/>
          </cell>
          <cell r="M556" t="str">
            <v>Professional</v>
          </cell>
          <cell r="N556" t="str">
            <v/>
          </cell>
          <cell r="O556" t="str">
            <v>CBS</v>
          </cell>
          <cell r="P556">
            <v>0</v>
          </cell>
          <cell r="Q556" t="str">
            <v xml:space="preserve"> </v>
          </cell>
          <cell r="R556"/>
          <cell r="S556"/>
          <cell r="T556" t="str">
            <v>Sin reducción</v>
          </cell>
          <cell r="U556">
            <v>0</v>
          </cell>
          <cell r="V556"/>
          <cell r="W556"/>
          <cell r="X556">
            <v>0</v>
          </cell>
          <cell r="Y556">
            <v>0</v>
          </cell>
          <cell r="Z556">
            <v>0</v>
          </cell>
          <cell r="AA556"/>
          <cell r="AB556" t="str">
            <v>Active - signed</v>
          </cell>
          <cell r="AC556" t="str">
            <v>ACTIVO</v>
          </cell>
          <cell r="AD556"/>
          <cell r="AE556"/>
          <cell r="AF556"/>
          <cell r="AG556"/>
          <cell r="AH556"/>
          <cell r="AI556" t="str">
            <v>76924903T</v>
          </cell>
        </row>
        <row r="557">
          <cell r="A557" t="str">
            <v>02601370R</v>
          </cell>
          <cell r="B557" t="str">
            <v>Laorden Gutiérrez</v>
          </cell>
          <cell r="C557" t="str">
            <v>Cristina</v>
          </cell>
          <cell r="D557" t="str">
            <v>Laorden Gutiérrez, Cristina</v>
          </cell>
          <cell r="E557" t="str">
            <v>cristina.laorden0</v>
          </cell>
          <cell r="F557" t="str">
            <v>cristina.laorden0@professional.universidadviu.com</v>
          </cell>
          <cell r="G557" t="str">
            <v>Yes</v>
          </cell>
          <cell r="H557" t="str">
            <v>Yes</v>
          </cell>
          <cell r="I557" t="str">
            <v>Licenciado en filosofía y ciencias de la educación</v>
          </cell>
          <cell r="J557" t="str">
            <v>Doctora en filosofía y ciencias de la educación</v>
          </cell>
          <cell r="K557" t="str">
            <v/>
          </cell>
          <cell r="L557" t="str">
            <v/>
          </cell>
          <cell r="M557" t="str">
            <v>Professional</v>
          </cell>
          <cell r="N557" t="str">
            <v/>
          </cell>
          <cell r="O557" t="str">
            <v>CSS</v>
          </cell>
          <cell r="P557">
            <v>0</v>
          </cell>
          <cell r="Q557" t="str">
            <v xml:space="preserve"> </v>
          </cell>
          <cell r="R557"/>
          <cell r="S557"/>
          <cell r="T557" t="str">
            <v>Sin reducción</v>
          </cell>
          <cell r="U557">
            <v>0</v>
          </cell>
          <cell r="V557"/>
          <cell r="W557"/>
          <cell r="X557">
            <v>0</v>
          </cell>
          <cell r="Y557">
            <v>0</v>
          </cell>
          <cell r="Z557">
            <v>0</v>
          </cell>
          <cell r="AA557"/>
          <cell r="AB557" t="str">
            <v>Concluded</v>
          </cell>
          <cell r="AC557" t="str">
            <v>NO ACTIVO</v>
          </cell>
          <cell r="AD557"/>
          <cell r="AE557"/>
          <cell r="AF557">
            <v>45348</v>
          </cell>
          <cell r="AG557" t="str">
            <v>CESE DE CONTRATO</v>
          </cell>
          <cell r="AH557"/>
          <cell r="AI557" t="str">
            <v>02601370R</v>
          </cell>
        </row>
        <row r="558">
          <cell r="A558" t="str">
            <v>20429449K</v>
          </cell>
          <cell r="B558" t="str">
            <v>Laparra Llopis</v>
          </cell>
          <cell r="C558" t="str">
            <v>José Moisés</v>
          </cell>
          <cell r="D558" t="str">
            <v>Laparra Llopis, José Moisés</v>
          </cell>
          <cell r="E558" t="str">
            <v>josemoises.laparra</v>
          </cell>
          <cell r="F558" t="str">
            <v>josemoises.laparra@professor.universidad.com</v>
          </cell>
          <cell r="G558" t="str">
            <v>Yes</v>
          </cell>
          <cell r="H558" t="str">
            <v>NO</v>
          </cell>
          <cell r="I558" t="str">
            <v>Programa Ciencia de los Alimentos</v>
          </cell>
          <cell r="J558" t="str">
            <v>Programa Ciencia de los Alimentos</v>
          </cell>
          <cell r="K558" t="str">
            <v>Licenciado en Farmacia</v>
          </cell>
          <cell r="L558" t="str">
            <v/>
          </cell>
          <cell r="M558" t="str">
            <v>Labour</v>
          </cell>
          <cell r="N558" t="str">
            <v>Consultar a VR Investigación</v>
          </cell>
          <cell r="O558" t="str">
            <v>CBS</v>
          </cell>
          <cell r="P558">
            <v>6</v>
          </cell>
          <cell r="Q558" t="str">
            <v>6</v>
          </cell>
          <cell r="R558"/>
          <cell r="S558"/>
          <cell r="T558" t="str">
            <v>Investigador/a Senior</v>
          </cell>
          <cell r="U558" t="str">
            <v>38</v>
          </cell>
          <cell r="V558"/>
          <cell r="W558"/>
          <cell r="X558">
            <v>0</v>
          </cell>
          <cell r="Y558">
            <v>0</v>
          </cell>
          <cell r="Z558">
            <v>0</v>
          </cell>
          <cell r="AA558"/>
          <cell r="AB558" t="str">
            <v>Active - signed</v>
          </cell>
          <cell r="AC558" t="str">
            <v>ACTIVO</v>
          </cell>
          <cell r="AD558"/>
          <cell r="AE558"/>
          <cell r="AF558"/>
          <cell r="AG558"/>
          <cell r="AH558"/>
          <cell r="AI558" t="str">
            <v>20429449K</v>
          </cell>
        </row>
        <row r="559">
          <cell r="A559" t="str">
            <v>78689814Y</v>
          </cell>
          <cell r="B559" t="str">
            <v>Lara Estepa</v>
          </cell>
          <cell r="C559" t="str">
            <v>Tania</v>
          </cell>
          <cell r="D559" t="str">
            <v>Lara Estepa, Tania</v>
          </cell>
          <cell r="E559" t="str">
            <v>tlarae@professor.universidadviu.com</v>
          </cell>
          <cell r="F559" t="str">
            <v>tlarae@professor.universidadviu.com</v>
          </cell>
          <cell r="G559" t="str">
            <v>Yes</v>
          </cell>
          <cell r="H559" t="str">
            <v>NO</v>
          </cell>
          <cell r="I559" t="str">
            <v>Doctorado en Psicología</v>
          </cell>
          <cell r="J559" t="str">
            <v>Máster Universitario en Neurociencia Cognitiva y del Comportamiento</v>
          </cell>
          <cell r="K559" t="str">
            <v>Licenciada en Psicología</v>
          </cell>
          <cell r="L559" t="str">
            <v/>
          </cell>
          <cell r="M559" t="str">
            <v>Labour</v>
          </cell>
          <cell r="N559"/>
          <cell r="O559" t="str">
            <v>CSS</v>
          </cell>
          <cell r="P559" t="str">
            <v>24,00</v>
          </cell>
          <cell r="Q559" t="b">
            <v>0</v>
          </cell>
          <cell r="R559"/>
          <cell r="S559"/>
          <cell r="T559" t="str">
            <v>Sin reducción</v>
          </cell>
          <cell r="U559">
            <v>0</v>
          </cell>
          <cell r="V559"/>
          <cell r="W559"/>
          <cell r="X559">
            <v>0</v>
          </cell>
          <cell r="Y559">
            <v>0</v>
          </cell>
          <cell r="Z559">
            <v>0</v>
          </cell>
          <cell r="AA559"/>
          <cell r="AB559" t="str">
            <v>Concluded</v>
          </cell>
          <cell r="AC559" t="str">
            <v>NO ACTIVO</v>
          </cell>
          <cell r="AD559"/>
          <cell r="AE559"/>
          <cell r="AF559">
            <v>45631</v>
          </cell>
          <cell r="AG559" t="str">
            <v>CESE DE CONTRATO</v>
          </cell>
          <cell r="AH559"/>
          <cell r="AI559" t="str">
            <v>78689814Y</v>
          </cell>
        </row>
        <row r="560">
          <cell r="A560" t="str">
            <v>25600335R</v>
          </cell>
          <cell r="B560" t="str">
            <v>Lara Pérez</v>
          </cell>
          <cell r="C560" t="str">
            <v>Elvira</v>
          </cell>
          <cell r="D560" t="str">
            <v>Lara Pérez, Elvira</v>
          </cell>
          <cell r="E560" t="str">
            <v>elvira.lara</v>
          </cell>
          <cell r="F560"/>
          <cell r="G560" t="str">
            <v>Yes</v>
          </cell>
          <cell r="H560" t="str">
            <v>Yes</v>
          </cell>
          <cell r="I560" t="str">
            <v>Medicina</v>
          </cell>
          <cell r="J560" t="str">
            <v>Doctorado en medicina</v>
          </cell>
          <cell r="K560" t="str">
            <v/>
          </cell>
          <cell r="L560" t="str">
            <v/>
          </cell>
          <cell r="M560" t="str">
            <v>Professional</v>
          </cell>
          <cell r="N560" t="str">
            <v/>
          </cell>
          <cell r="O560" t="str">
            <v>CBS/CSS</v>
          </cell>
          <cell r="P560">
            <v>0</v>
          </cell>
          <cell r="Q560" t="str">
            <v xml:space="preserve"> </v>
          </cell>
          <cell r="R560"/>
          <cell r="S560"/>
          <cell r="T560" t="str">
            <v>Sin reducción</v>
          </cell>
          <cell r="U560">
            <v>0</v>
          </cell>
          <cell r="V560"/>
          <cell r="W560"/>
          <cell r="X560">
            <v>0</v>
          </cell>
          <cell r="Y560">
            <v>0</v>
          </cell>
          <cell r="Z560">
            <v>0</v>
          </cell>
          <cell r="AA560"/>
          <cell r="AB560" t="str">
            <v>Active - signed</v>
          </cell>
          <cell r="AC560" t="str">
            <v>ACTIVO</v>
          </cell>
          <cell r="AD560"/>
          <cell r="AE560"/>
          <cell r="AF560"/>
          <cell r="AG560"/>
          <cell r="AH560"/>
          <cell r="AI560" t="str">
            <v>25600335R</v>
          </cell>
        </row>
        <row r="561">
          <cell r="A561" t="str">
            <v>21790788J</v>
          </cell>
          <cell r="B561" t="str">
            <v>Larumbe Llobell</v>
          </cell>
          <cell r="C561" t="str">
            <v>Laura</v>
          </cell>
          <cell r="D561" t="str">
            <v>Larumbe Llobell, Laura</v>
          </cell>
          <cell r="E561" t="str">
            <v>laura.larumbe</v>
          </cell>
          <cell r="F561" t="str">
            <v>laura.larumbe@professor.universidadviu.com</v>
          </cell>
          <cell r="G561" t="str">
            <v>NO</v>
          </cell>
          <cell r="H561" t="str">
            <v>NO</v>
          </cell>
          <cell r="I561" t="str">
            <v>Fisioterapia</v>
          </cell>
          <cell r="J561" t="str">
            <v>Graduada en fisioterapia</v>
          </cell>
          <cell r="K561" t="str">
            <v/>
          </cell>
          <cell r="L561" t="str">
            <v/>
          </cell>
          <cell r="M561" t="str">
            <v>Labour</v>
          </cell>
          <cell r="N561" t="str">
            <v>Pellín Carcelén, Ana</v>
          </cell>
          <cell r="O561" t="str">
            <v>CBS</v>
          </cell>
          <cell r="P561">
            <v>15</v>
          </cell>
          <cell r="Q561" t="str">
            <v>15</v>
          </cell>
          <cell r="R561" t="str">
            <v>Ampliación Marzo</v>
          </cell>
          <cell r="S561"/>
          <cell r="T561" t="str">
            <v>Sin reducción</v>
          </cell>
          <cell r="U561">
            <v>0</v>
          </cell>
          <cell r="V561"/>
          <cell r="W561"/>
          <cell r="X561">
            <v>0</v>
          </cell>
          <cell r="Y561">
            <v>15.1</v>
          </cell>
          <cell r="Z561">
            <v>0</v>
          </cell>
          <cell r="AA561"/>
          <cell r="AB561" t="str">
            <v>Active - signed</v>
          </cell>
          <cell r="AC561" t="str">
            <v>ACTIVO</v>
          </cell>
          <cell r="AD561"/>
          <cell r="AE561"/>
          <cell r="AF561"/>
          <cell r="AG561"/>
          <cell r="AH561"/>
          <cell r="AI561" t="str">
            <v>21790788J</v>
          </cell>
        </row>
        <row r="562">
          <cell r="A562" t="str">
            <v>33565475B</v>
          </cell>
          <cell r="B562" t="str">
            <v>Layrón Folgado</v>
          </cell>
          <cell r="C562" t="str">
            <v>José Enrique</v>
          </cell>
          <cell r="D562" t="str">
            <v>Layrón Folgado, José Enrique</v>
          </cell>
          <cell r="E562" t="str">
            <v>joseenrique.layron</v>
          </cell>
          <cell r="F562" t="str">
            <v>joseenrique.layron@professor.universidadviu.com</v>
          </cell>
          <cell r="G562" t="str">
            <v>Yes</v>
          </cell>
          <cell r="H562" t="str">
            <v>NO</v>
          </cell>
          <cell r="I562" t="str">
            <v>Doctorado en Ciencias de la Salud</v>
          </cell>
          <cell r="J562" t="str">
            <v>Doctorado en Ciencias de la Salud</v>
          </cell>
          <cell r="K562" t="str">
            <v>Graduado en psicologia</v>
          </cell>
          <cell r="L562" t="str">
            <v/>
          </cell>
          <cell r="M562" t="str">
            <v>Labour</v>
          </cell>
          <cell r="N562" t="str">
            <v>Ródenas González, Francisco</v>
          </cell>
          <cell r="O562" t="str">
            <v>CSS</v>
          </cell>
          <cell r="P562">
            <v>100</v>
          </cell>
          <cell r="Q562" t="str">
            <v>50</v>
          </cell>
          <cell r="R562"/>
          <cell r="S562"/>
          <cell r="T562" t="str">
            <v>Sin reducción</v>
          </cell>
          <cell r="U562">
            <v>0</v>
          </cell>
          <cell r="V562"/>
          <cell r="W562"/>
          <cell r="X562">
            <v>50.2</v>
          </cell>
          <cell r="Y562">
            <v>0</v>
          </cell>
          <cell r="Z562">
            <v>0</v>
          </cell>
          <cell r="AA562"/>
          <cell r="AB562" t="str">
            <v>Active - signed</v>
          </cell>
          <cell r="AC562" t="str">
            <v>ACTIVO</v>
          </cell>
          <cell r="AD562">
            <v>45796</v>
          </cell>
          <cell r="AE562">
            <v>45810</v>
          </cell>
          <cell r="AF562"/>
          <cell r="AG562"/>
          <cell r="AH562"/>
          <cell r="AI562" t="str">
            <v>33565475B</v>
          </cell>
        </row>
        <row r="563">
          <cell r="A563" t="str">
            <v>30692613X</v>
          </cell>
          <cell r="B563" t="str">
            <v>Lázaro Pérez</v>
          </cell>
          <cell r="C563" t="str">
            <v>Esther</v>
          </cell>
          <cell r="D563" t="str">
            <v>Lázaro Pérez, Esther</v>
          </cell>
          <cell r="E563" t="str">
            <v>esther.lazarop</v>
          </cell>
          <cell r="F563" t="str">
            <v>esther.lazarop@professor.universidadviu.com</v>
          </cell>
          <cell r="G563" t="str">
            <v>Yes</v>
          </cell>
          <cell r="H563" t="str">
            <v>Yes</v>
          </cell>
          <cell r="I563" t="str">
            <v>Doctorado</v>
          </cell>
          <cell r="J563" t="str">
            <v>Licenciado en Psicología</v>
          </cell>
          <cell r="K563" t="str">
            <v>Doctorado</v>
          </cell>
          <cell r="L563" t="str">
            <v>Licenciado en Psicología</v>
          </cell>
          <cell r="M563" t="str">
            <v>Labour</v>
          </cell>
          <cell r="N563" t="str">
            <v>Consultar a VR Investigación</v>
          </cell>
          <cell r="O563" t="str">
            <v>CBS/CSS</v>
          </cell>
          <cell r="P563">
            <v>100</v>
          </cell>
          <cell r="Q563" t="str">
            <v>50</v>
          </cell>
          <cell r="R563"/>
          <cell r="S563"/>
          <cell r="T563" t="str">
            <v>Investigador/a Senior</v>
          </cell>
          <cell r="U563" t="str">
            <v>38</v>
          </cell>
          <cell r="V563"/>
          <cell r="W563"/>
          <cell r="X563">
            <v>9.9</v>
          </cell>
          <cell r="Y563">
            <v>2.1</v>
          </cell>
          <cell r="Z563">
            <v>0</v>
          </cell>
          <cell r="AA563"/>
          <cell r="AB563" t="str">
            <v>Active - signed</v>
          </cell>
          <cell r="AC563" t="str">
            <v>ACTIVO</v>
          </cell>
          <cell r="AD563"/>
          <cell r="AE563"/>
          <cell r="AF563"/>
          <cell r="AG563"/>
          <cell r="AH563"/>
          <cell r="AI563" t="str">
            <v>30692613X</v>
          </cell>
        </row>
        <row r="564">
          <cell r="A564" t="str">
            <v>44027065M</v>
          </cell>
          <cell r="B564" t="str">
            <v>Leal Quiñones</v>
          </cell>
          <cell r="C564" t="str">
            <v>Alejandro</v>
          </cell>
          <cell r="D564" t="str">
            <v>Leal Quiñones, Alejandro</v>
          </cell>
          <cell r="E564" t="str">
            <v>alealq@professor.universidadviu.com</v>
          </cell>
          <cell r="F564" t="str">
            <v>alealq@professor.universidadviu.com</v>
          </cell>
          <cell r="G564" t="str">
            <v>Yes</v>
          </cell>
          <cell r="H564" t="str">
            <v>NO</v>
          </cell>
          <cell r="I564" t="str">
            <v>Experto en Fisioterapia Deportiva</v>
          </cell>
          <cell r="J564" t="str">
            <v>Humanidades y Ciencias Sociales</v>
          </cell>
          <cell r="K564" t="str">
            <v>Diplomatura en Fisioterapia</v>
          </cell>
          <cell r="L564" t="str">
            <v>Licenciatura en Psicología</v>
          </cell>
          <cell r="M564" t="str">
            <v>Labour</v>
          </cell>
          <cell r="N564" t="str">
            <v>Aliño Costa, Marta</v>
          </cell>
          <cell r="O564" t="str">
            <v>CSS</v>
          </cell>
          <cell r="P564">
            <v>50</v>
          </cell>
          <cell r="Q564" t="str">
            <v>38</v>
          </cell>
          <cell r="R564"/>
          <cell r="S564"/>
          <cell r="T564" t="str">
            <v>Sin reducción</v>
          </cell>
          <cell r="U564">
            <v>0</v>
          </cell>
          <cell r="V564"/>
          <cell r="W564"/>
          <cell r="X564">
            <v>35</v>
          </cell>
          <cell r="Y564">
            <v>0</v>
          </cell>
          <cell r="Z564">
            <v>2</v>
          </cell>
          <cell r="AA564"/>
          <cell r="AB564" t="str">
            <v>Active - signed</v>
          </cell>
          <cell r="AC564" t="str">
            <v>ACTIVO</v>
          </cell>
          <cell r="AD564">
            <v>45850</v>
          </cell>
          <cell r="AE564">
            <v>45864</v>
          </cell>
          <cell r="AF564"/>
          <cell r="AG564"/>
          <cell r="AH564"/>
          <cell r="AI564" t="str">
            <v>44027065M</v>
          </cell>
        </row>
        <row r="565">
          <cell r="A565" t="str">
            <v>51995808F</v>
          </cell>
          <cell r="B565" t="str">
            <v>Lebrusán Murillo</v>
          </cell>
          <cell r="C565" t="str">
            <v>Irene</v>
          </cell>
          <cell r="D565" t="str">
            <v>Lebrusán Murillo, Irene</v>
          </cell>
          <cell r="E565" t="str">
            <v>irene.lebrusan</v>
          </cell>
          <cell r="F565" t="str">
            <v>irene.lebrusan@professional.universidadviu.com</v>
          </cell>
          <cell r="G565" t="str">
            <v>Yes</v>
          </cell>
          <cell r="H565" t="str">
            <v>Yes</v>
          </cell>
          <cell r="I565" t="str">
            <v>Doctorado en Sociología</v>
          </cell>
          <cell r="J565" t="str">
            <v>Master en Sociología de la población, el territorio y las migraciones</v>
          </cell>
          <cell r="K565" t="str">
            <v>Licenciatura en sociologia</v>
          </cell>
          <cell r="L565" t="str">
            <v/>
          </cell>
          <cell r="M565" t="str">
            <v>Professional</v>
          </cell>
          <cell r="N565" t="str">
            <v/>
          </cell>
          <cell r="O565"/>
          <cell r="P565">
            <v>0</v>
          </cell>
          <cell r="Q565" t="str">
            <v xml:space="preserve"> </v>
          </cell>
          <cell r="R565"/>
          <cell r="S565"/>
          <cell r="T565" t="str">
            <v>Sin reducción</v>
          </cell>
          <cell r="U565">
            <v>0</v>
          </cell>
          <cell r="V565"/>
          <cell r="W565"/>
          <cell r="X565">
            <v>0</v>
          </cell>
          <cell r="Y565">
            <v>0</v>
          </cell>
          <cell r="Z565">
            <v>0</v>
          </cell>
          <cell r="AA565"/>
          <cell r="AB565" t="str">
            <v>Concluded</v>
          </cell>
          <cell r="AC565" t="str">
            <v>NO ACTIVO</v>
          </cell>
          <cell r="AD565"/>
          <cell r="AE565"/>
          <cell r="AF565">
            <v>45254</v>
          </cell>
          <cell r="AG565" t="str">
            <v>CESE DE CONTRATO</v>
          </cell>
          <cell r="AH565"/>
          <cell r="AI565" t="str">
            <v>51995808F</v>
          </cell>
        </row>
        <row r="566">
          <cell r="A566" t="str">
            <v>53716301P</v>
          </cell>
          <cell r="B566" t="str">
            <v>Lendínez Mesa</v>
          </cell>
          <cell r="C566" t="str">
            <v>Alejandro</v>
          </cell>
          <cell r="D566" t="str">
            <v>Lendínez Mesa, Alejandro</v>
          </cell>
          <cell r="E566" t="str">
            <v>alejandro.lendinez</v>
          </cell>
          <cell r="F566" t="str">
            <v>alejandro.lendinez@professor.universidadviu.com</v>
          </cell>
          <cell r="G566" t="str">
            <v>Yes</v>
          </cell>
          <cell r="H566" t="str">
            <v>NO</v>
          </cell>
          <cell r="I566" t="str">
            <v>Doctorado en Biomedicina y Ciencias de la Salud</v>
          </cell>
          <cell r="J566" t="str">
            <v>Máster Universitario en Cuidados Paliativos</v>
          </cell>
          <cell r="K566" t="str">
            <v>Graduado en Enfermería</v>
          </cell>
          <cell r="L566" t="str">
            <v>Experto Universitario en Urgencias y Emergencias</v>
          </cell>
          <cell r="M566" t="str">
            <v>Labour</v>
          </cell>
          <cell r="N566" t="str">
            <v/>
          </cell>
          <cell r="O566" t="str">
            <v>CBS</v>
          </cell>
          <cell r="P566" t="str">
            <v>12,00</v>
          </cell>
          <cell r="Q566" t="b">
            <v>0</v>
          </cell>
          <cell r="R566"/>
          <cell r="S566"/>
          <cell r="T566" t="str">
            <v>Sin reducción</v>
          </cell>
          <cell r="U566">
            <v>0</v>
          </cell>
          <cell r="V566"/>
          <cell r="W566"/>
          <cell r="X566">
            <v>0</v>
          </cell>
          <cell r="Y566">
            <v>0</v>
          </cell>
          <cell r="Z566">
            <v>0</v>
          </cell>
          <cell r="AA566"/>
          <cell r="AB566" t="str">
            <v>Concluded</v>
          </cell>
          <cell r="AC566" t="str">
            <v>NO ACTIVO</v>
          </cell>
          <cell r="AD566"/>
          <cell r="AE566"/>
          <cell r="AF566">
            <v>45596</v>
          </cell>
          <cell r="AG566" t="str">
            <v>CESE DE CONTRATO</v>
          </cell>
          <cell r="AH566"/>
          <cell r="AI566" t="str">
            <v>53716301P</v>
          </cell>
        </row>
        <row r="567">
          <cell r="A567" t="str">
            <v>26254625X</v>
          </cell>
          <cell r="B567" t="str">
            <v>Lendínez Turón</v>
          </cell>
          <cell r="C567" t="str">
            <v>Ana</v>
          </cell>
          <cell r="D567" t="str">
            <v>Lendínez Turón, Ana</v>
          </cell>
          <cell r="E567" t="str">
            <v>ana.lendinez</v>
          </cell>
          <cell r="F567" t="str">
            <v>ana.lendinez@professional.universidadviu.com</v>
          </cell>
          <cell r="G567" t="str">
            <v>NO</v>
          </cell>
          <cell r="H567" t="str">
            <v>NO</v>
          </cell>
          <cell r="I567" t="str">
            <v>Máster Universitario en Cultura de Paz, Conflictos, Educación y Derechos Humanos</v>
          </cell>
          <cell r="J567" t="str">
            <v>Grado en Relaciones Internacionales (inglés)</v>
          </cell>
          <cell r="K567" t="str">
            <v/>
          </cell>
          <cell r="L567" t="str">
            <v/>
          </cell>
          <cell r="M567" t="str">
            <v>Professional</v>
          </cell>
          <cell r="N567" t="str">
            <v/>
          </cell>
          <cell r="O567" t="str">
            <v>CSS</v>
          </cell>
          <cell r="P567">
            <v>0</v>
          </cell>
          <cell r="Q567" t="str">
            <v xml:space="preserve"> </v>
          </cell>
          <cell r="R567"/>
          <cell r="S567"/>
          <cell r="T567" t="str">
            <v>Sin reducción</v>
          </cell>
          <cell r="U567">
            <v>0</v>
          </cell>
          <cell r="V567"/>
          <cell r="W567"/>
          <cell r="X567">
            <v>0</v>
          </cell>
          <cell r="Y567">
            <v>0</v>
          </cell>
          <cell r="Z567">
            <v>0</v>
          </cell>
          <cell r="AA567"/>
          <cell r="AB567" t="str">
            <v>Active - signed</v>
          </cell>
          <cell r="AC567" t="str">
            <v>ACTIVO</v>
          </cell>
          <cell r="AD567"/>
          <cell r="AE567"/>
          <cell r="AF567"/>
          <cell r="AG567"/>
          <cell r="AH567"/>
          <cell r="AI567" t="str">
            <v>26254625X</v>
          </cell>
        </row>
        <row r="568">
          <cell r="A568" t="str">
            <v>45604087D</v>
          </cell>
          <cell r="B568" t="str">
            <v>León Domene</v>
          </cell>
          <cell r="C568" t="str">
            <v>José Juan</v>
          </cell>
          <cell r="D568" t="str">
            <v>León Domene, José Juan</v>
          </cell>
          <cell r="E568" t="str">
            <v>jleon@professional.universidadviu.com</v>
          </cell>
          <cell r="F568" t="str">
            <v>jleon@professional.universidadviu.com</v>
          </cell>
          <cell r="G568" t="str">
            <v>Yes</v>
          </cell>
          <cell r="H568" t="str">
            <v>NO</v>
          </cell>
          <cell r="I568" t="str">
            <v>Doctorado en Salud, Psicología y Psiquiatría</v>
          </cell>
          <cell r="J568" t="str">
            <v>Máster en Ciencias del Sistema Nervioso</v>
          </cell>
          <cell r="K568" t="str">
            <v>Grado en Psicología</v>
          </cell>
          <cell r="L568" t="str">
            <v/>
          </cell>
          <cell r="M568" t="str">
            <v>Professional</v>
          </cell>
          <cell r="N568" t="str">
            <v/>
          </cell>
          <cell r="O568" t="str">
            <v>CSS</v>
          </cell>
          <cell r="P568">
            <v>0</v>
          </cell>
          <cell r="Q568" t="str">
            <v xml:space="preserve"> </v>
          </cell>
          <cell r="R568"/>
          <cell r="S568"/>
          <cell r="T568" t="str">
            <v>Sin reducción</v>
          </cell>
          <cell r="U568">
            <v>0</v>
          </cell>
          <cell r="V568"/>
          <cell r="W568"/>
          <cell r="X568">
            <v>0</v>
          </cell>
          <cell r="Y568">
            <v>0</v>
          </cell>
          <cell r="Z568">
            <v>0</v>
          </cell>
          <cell r="AA568"/>
          <cell r="AB568" t="str">
            <v>Concluded</v>
          </cell>
          <cell r="AC568" t="str">
            <v>NO ACTIVO</v>
          </cell>
          <cell r="AD568"/>
          <cell r="AE568"/>
          <cell r="AF568">
            <v>45557</v>
          </cell>
          <cell r="AG568" t="str">
            <v>CESE DE CONTRATO</v>
          </cell>
          <cell r="AH568"/>
          <cell r="AI568" t="str">
            <v>45604087D</v>
          </cell>
        </row>
        <row r="569">
          <cell r="A569" t="str">
            <v>20488648H</v>
          </cell>
          <cell r="B569" t="str">
            <v>León Medina</v>
          </cell>
          <cell r="C569" t="str">
            <v>Vanesa</v>
          </cell>
          <cell r="D569" t="str">
            <v>León Medina, Vanesa</v>
          </cell>
          <cell r="E569" t="str">
            <v>vanesa.leon.m@professor.universidadviu.com</v>
          </cell>
          <cell r="F569" t="str">
            <v>vanesa.leon.m@professor.universidadviu.com</v>
          </cell>
          <cell r="G569" t="str">
            <v>NO</v>
          </cell>
          <cell r="H569" t="str">
            <v>NO</v>
          </cell>
          <cell r="I569" t="str">
            <v>Psicología</v>
          </cell>
          <cell r="J569" t="str">
            <v>Máster Universitario Rehabilitación Psicosocial en Salud Mental Comunitaria</v>
          </cell>
          <cell r="K569" t="str">
            <v/>
          </cell>
          <cell r="L569" t="str">
            <v/>
          </cell>
          <cell r="M569" t="str">
            <v>Labour</v>
          </cell>
          <cell r="N569" t="str">
            <v>Rama Galdón, Encarnación</v>
          </cell>
          <cell r="O569" t="str">
            <v>CSS</v>
          </cell>
          <cell r="P569">
            <v>75</v>
          </cell>
          <cell r="Q569" t="str">
            <v>46</v>
          </cell>
          <cell r="R569"/>
          <cell r="S569"/>
          <cell r="T569" t="str">
            <v>Sin reducción</v>
          </cell>
          <cell r="U569">
            <v>0</v>
          </cell>
          <cell r="V569">
            <v>12</v>
          </cell>
          <cell r="W569" t="str">
            <v>JURÍDICO</v>
          </cell>
          <cell r="X569">
            <v>24.5</v>
          </cell>
          <cell r="Y569">
            <v>0</v>
          </cell>
          <cell r="Z569">
            <v>0</v>
          </cell>
          <cell r="AA569"/>
          <cell r="AB569" t="str">
            <v>Active - signed</v>
          </cell>
          <cell r="AC569" t="str">
            <v>ACTIVO</v>
          </cell>
          <cell r="AD569"/>
          <cell r="AE569"/>
          <cell r="AF569"/>
          <cell r="AG569"/>
          <cell r="AH569"/>
          <cell r="AI569" t="str">
            <v>20488648H</v>
          </cell>
        </row>
        <row r="570">
          <cell r="A570" t="str">
            <v>48345363F</v>
          </cell>
          <cell r="B570" t="str">
            <v>Lillo Crespo</v>
          </cell>
          <cell r="C570" t="str">
            <v>Manuel</v>
          </cell>
          <cell r="D570" t="str">
            <v>Lillo Crespo, Manuel</v>
          </cell>
          <cell r="E570" t="str">
            <v>manuel.lillo@professor.universidadviu.com</v>
          </cell>
          <cell r="F570" t="str">
            <v>manuel.lillo@professor.universidadviu.com</v>
          </cell>
          <cell r="G570" t="str">
            <v>Yes</v>
          </cell>
          <cell r="H570" t="str">
            <v>NO</v>
          </cell>
          <cell r="I570" t="str">
            <v>Biotecnología</v>
          </cell>
          <cell r="J570" t="str">
            <v>Doctorado en Biotecnología</v>
          </cell>
          <cell r="K570" t="str">
            <v/>
          </cell>
          <cell r="L570" t="str">
            <v/>
          </cell>
          <cell r="M570" t="str">
            <v>Labour</v>
          </cell>
          <cell r="N570" t="str">
            <v>Pellín Carcelén, Ana</v>
          </cell>
          <cell r="O570" t="str">
            <v>CBS</v>
          </cell>
          <cell r="P570">
            <v>15</v>
          </cell>
          <cell r="Q570" t="str">
            <v>15</v>
          </cell>
          <cell r="R570"/>
          <cell r="S570"/>
          <cell r="T570" t="str">
            <v>Sin reducción</v>
          </cell>
          <cell r="U570">
            <v>0</v>
          </cell>
          <cell r="V570"/>
          <cell r="W570"/>
          <cell r="X570">
            <v>0</v>
          </cell>
          <cell r="Y570">
            <v>14.5</v>
          </cell>
          <cell r="Z570">
            <v>9.5</v>
          </cell>
          <cell r="AA570"/>
          <cell r="AB570" t="str">
            <v>Active - signed</v>
          </cell>
          <cell r="AC570" t="str">
            <v>ACTIVO</v>
          </cell>
          <cell r="AD570"/>
          <cell r="AE570"/>
          <cell r="AF570"/>
          <cell r="AG570"/>
          <cell r="AH570"/>
          <cell r="AI570" t="str">
            <v>48345363F</v>
          </cell>
        </row>
        <row r="571">
          <cell r="A571" t="str">
            <v>73590870R</v>
          </cell>
          <cell r="B571" t="str">
            <v>Linares Lerma</v>
          </cell>
          <cell r="C571" t="str">
            <v>Sarai</v>
          </cell>
          <cell r="D571" t="str">
            <v>Linares Lerma, Sarai</v>
          </cell>
          <cell r="E571" t="str">
            <v>slinaresl@professional.universidadviu.com</v>
          </cell>
          <cell r="F571" t="str">
            <v>slinaresl@professional.universidadviu.com</v>
          </cell>
          <cell r="G571" t="str">
            <v>NO</v>
          </cell>
          <cell r="H571" t="str">
            <v>NO</v>
          </cell>
          <cell r="I571" t="str">
            <v/>
          </cell>
          <cell r="J571" t="str">
            <v/>
          </cell>
          <cell r="K571" t="str">
            <v/>
          </cell>
          <cell r="L571" t="str">
            <v/>
          </cell>
          <cell r="M571" t="str">
            <v>Professional</v>
          </cell>
          <cell r="N571"/>
          <cell r="O571" t="str">
            <v>CBS</v>
          </cell>
          <cell r="P571">
            <v>0</v>
          </cell>
          <cell r="Q571" t="str">
            <v xml:space="preserve"> </v>
          </cell>
          <cell r="R571"/>
          <cell r="S571"/>
          <cell r="T571" t="str">
            <v>Sin reducción</v>
          </cell>
          <cell r="U571">
            <v>0</v>
          </cell>
          <cell r="V571"/>
          <cell r="W571"/>
          <cell r="X571">
            <v>0</v>
          </cell>
          <cell r="Y571">
            <v>0</v>
          </cell>
          <cell r="Z571">
            <v>0</v>
          </cell>
          <cell r="AA571"/>
          <cell r="AB571" t="str">
            <v>Active - signed</v>
          </cell>
          <cell r="AC571" t="str">
            <v>ACTIVO</v>
          </cell>
          <cell r="AD571"/>
          <cell r="AE571"/>
          <cell r="AF571"/>
          <cell r="AG571"/>
          <cell r="AH571"/>
          <cell r="AI571" t="str">
            <v>73590870R</v>
          </cell>
        </row>
        <row r="572">
          <cell r="A572" t="str">
            <v>71083220H</v>
          </cell>
          <cell r="B572" t="str">
            <v>Liriano Durán</v>
          </cell>
          <cell r="C572" t="str">
            <v>Ángela María</v>
          </cell>
          <cell r="D572" t="str">
            <v>Liriano Durán, Ángela María</v>
          </cell>
          <cell r="E572" t="str">
            <v>alirianod@professor.universidadviu.com</v>
          </cell>
          <cell r="F572" t="str">
            <v>alirianod@professor.universidadviu.com</v>
          </cell>
          <cell r="G572" t="str">
            <v>Yes</v>
          </cell>
          <cell r="H572" t="str">
            <v>NO</v>
          </cell>
          <cell r="I572" t="str">
            <v>Programa de Doctorado en Psicología</v>
          </cell>
          <cell r="J572" t="str">
            <v>Máster Universitario en Neuropsicología</v>
          </cell>
          <cell r="K572" t="str">
            <v>Máster Universitario en Neurociencias</v>
          </cell>
          <cell r="L572" t="str">
            <v>Licenciatura en psicología clínica</v>
          </cell>
          <cell r="M572" t="str">
            <v>Labour</v>
          </cell>
          <cell r="N572" t="str">
            <v>Ródenas González, Francisco</v>
          </cell>
          <cell r="O572" t="str">
            <v>CSS</v>
          </cell>
          <cell r="P572">
            <v>40</v>
          </cell>
          <cell r="Q572" t="str">
            <v>32</v>
          </cell>
          <cell r="R572"/>
          <cell r="S572"/>
          <cell r="T572" t="str">
            <v>Sin reducción</v>
          </cell>
          <cell r="U572">
            <v>0</v>
          </cell>
          <cell r="V572"/>
          <cell r="W572"/>
          <cell r="X572">
            <v>31.9</v>
          </cell>
          <cell r="Y572">
            <v>0</v>
          </cell>
          <cell r="Z572">
            <v>0</v>
          </cell>
          <cell r="AA572"/>
          <cell r="AB572" t="str">
            <v>Active - IT leave</v>
          </cell>
          <cell r="AC572" t="str">
            <v>ACTIVO</v>
          </cell>
          <cell r="AD572">
            <v>45870</v>
          </cell>
          <cell r="AE572">
            <v>46066</v>
          </cell>
          <cell r="AF572"/>
          <cell r="AG572" t="str">
            <v>MATERNIDAD</v>
          </cell>
          <cell r="AH572" t="str">
            <v>fecha probable parto agosto</v>
          </cell>
          <cell r="AI572" t="str">
            <v>71083220H</v>
          </cell>
        </row>
        <row r="573">
          <cell r="A573" t="str">
            <v>44104305B</v>
          </cell>
          <cell r="B573" t="str">
            <v>Liz Rivas</v>
          </cell>
          <cell r="C573" t="str">
            <v>Lenny</v>
          </cell>
          <cell r="D573" t="str">
            <v>Liz Rivas, Lenny</v>
          </cell>
          <cell r="E573" t="str">
            <v>lenny.liz@professor.universidadviu.com</v>
          </cell>
          <cell r="F573" t="str">
            <v>lenny.liz@professor.universidadviu.com</v>
          </cell>
          <cell r="G573" t="str">
            <v>Yes</v>
          </cell>
          <cell r="H573" t="str">
            <v>NO</v>
          </cell>
          <cell r="I573" t="str">
            <v>PhD en Law, Education and Development</v>
          </cell>
          <cell r="J573" t="str">
            <v>PhD en Law, Education and Development</v>
          </cell>
          <cell r="K573" t="str">
            <v>Máster universitario en Psicología de la Educación</v>
          </cell>
          <cell r="L573" t="str">
            <v>Licenciatura en Psicología</v>
          </cell>
          <cell r="M573" t="str">
            <v>Labour</v>
          </cell>
          <cell r="N573" t="str">
            <v>Consultar a Facultad de Educación</v>
          </cell>
          <cell r="O573" t="str">
            <v>CSS</v>
          </cell>
          <cell r="P573">
            <v>100</v>
          </cell>
          <cell r="Q573" t="str">
            <v>50</v>
          </cell>
          <cell r="R573"/>
          <cell r="S573"/>
          <cell r="T573" t="str">
            <v>Sin reducción</v>
          </cell>
          <cell r="U573">
            <v>0</v>
          </cell>
          <cell r="V573">
            <v>43</v>
          </cell>
          <cell r="W573" t="str">
            <v>EDUCACIÓN</v>
          </cell>
          <cell r="X573">
            <v>6.7</v>
          </cell>
          <cell r="Y573">
            <v>0</v>
          </cell>
          <cell r="Z573">
            <v>0</v>
          </cell>
          <cell r="AA573"/>
          <cell r="AB573" t="str">
            <v>Active - signed</v>
          </cell>
          <cell r="AC573" t="str">
            <v>ACTIVO</v>
          </cell>
          <cell r="AD573"/>
          <cell r="AE573"/>
          <cell r="AF573"/>
          <cell r="AG573"/>
          <cell r="AH573"/>
          <cell r="AI573" t="str">
            <v>44104305B</v>
          </cell>
        </row>
        <row r="574">
          <cell r="A574" t="str">
            <v>34804420S</v>
          </cell>
          <cell r="B574" t="str">
            <v>Llamas Pérez</v>
          </cell>
          <cell r="C574" t="str">
            <v>Encarna</v>
          </cell>
          <cell r="D574" t="str">
            <v>Llamas Pérez, Encarna</v>
          </cell>
          <cell r="E574" t="str">
            <v>encarna.llamas</v>
          </cell>
          <cell r="F574" t="str">
            <v>encarna.llamas@professional.universidadviu.com</v>
          </cell>
          <cell r="G574" t="str">
            <v>Yes</v>
          </cell>
          <cell r="H574" t="str">
            <v>Yes</v>
          </cell>
          <cell r="I574" t="str">
            <v>Programa de Filosofía</v>
          </cell>
          <cell r="J574" t="str">
            <v>Licenciada en Filosofía y Letras</v>
          </cell>
          <cell r="K574" t="str">
            <v>Máster Universitario en Educación Bilingüe. Inglés y Español. Especialidad en Inglés como Lengua Vehicular en el Aula</v>
          </cell>
          <cell r="L574" t="str">
            <v/>
          </cell>
          <cell r="M574" t="str">
            <v>Professional</v>
          </cell>
          <cell r="N574" t="str">
            <v/>
          </cell>
          <cell r="O574" t="str">
            <v>CBS/CSS</v>
          </cell>
          <cell r="P574">
            <v>0</v>
          </cell>
          <cell r="Q574" t="str">
            <v xml:space="preserve"> </v>
          </cell>
          <cell r="R574"/>
          <cell r="S574"/>
          <cell r="T574" t="str">
            <v>Sin reducción</v>
          </cell>
          <cell r="U574">
            <v>0</v>
          </cell>
          <cell r="V574"/>
          <cell r="W574"/>
          <cell r="X574">
            <v>0</v>
          </cell>
          <cell r="Y574">
            <v>0</v>
          </cell>
          <cell r="Z574">
            <v>0</v>
          </cell>
          <cell r="AA574"/>
          <cell r="AB574" t="str">
            <v>Active - signed</v>
          </cell>
          <cell r="AC574" t="str">
            <v>ACTIVO</v>
          </cell>
          <cell r="AD574"/>
          <cell r="AE574"/>
          <cell r="AF574"/>
          <cell r="AG574"/>
          <cell r="AH574"/>
          <cell r="AI574" t="str">
            <v>34804420S</v>
          </cell>
        </row>
        <row r="575">
          <cell r="A575" t="str">
            <v>BO4701878</v>
          </cell>
          <cell r="B575" t="str">
            <v>Llanos Baldivieso</v>
          </cell>
          <cell r="C575" t="str">
            <v>Claudia</v>
          </cell>
          <cell r="D575" t="str">
            <v>Llanos Baldivieso, Claudia</v>
          </cell>
          <cell r="E575" t="str">
            <v>cllanosb@professional.universidadviu.com</v>
          </cell>
          <cell r="F575" t="str">
            <v>cllanosb@professional.universidadviu.com</v>
          </cell>
          <cell r="G575" t="str">
            <v>Yes</v>
          </cell>
          <cell r="H575" t="str">
            <v>NO</v>
          </cell>
          <cell r="I575" t="str">
            <v/>
          </cell>
          <cell r="J575" t="str">
            <v/>
          </cell>
          <cell r="K575" t="str">
            <v/>
          </cell>
          <cell r="L575" t="str">
            <v/>
          </cell>
          <cell r="M575" t="str">
            <v>Professional</v>
          </cell>
          <cell r="N575"/>
          <cell r="O575" t="str">
            <v>CSS</v>
          </cell>
          <cell r="P575">
            <v>0</v>
          </cell>
          <cell r="Q575" t="str">
            <v xml:space="preserve"> </v>
          </cell>
          <cell r="R575"/>
          <cell r="S575"/>
          <cell r="T575" t="str">
            <v>Sin reducción</v>
          </cell>
          <cell r="U575">
            <v>0</v>
          </cell>
          <cell r="V575"/>
          <cell r="W575"/>
          <cell r="X575">
            <v>0</v>
          </cell>
          <cell r="Y575">
            <v>0</v>
          </cell>
          <cell r="Z575">
            <v>0</v>
          </cell>
          <cell r="AA575"/>
          <cell r="AB575" t="str">
            <v>Active - signed</v>
          </cell>
          <cell r="AC575" t="str">
            <v>ACTIVO</v>
          </cell>
          <cell r="AD575"/>
          <cell r="AE575"/>
          <cell r="AF575"/>
          <cell r="AG575"/>
          <cell r="AH575"/>
          <cell r="AI575" t="str">
            <v>BO4701878</v>
          </cell>
        </row>
        <row r="576">
          <cell r="A576" t="str">
            <v>Y3718768G</v>
          </cell>
          <cell r="B576" t="str">
            <v>Llanos Román</v>
          </cell>
          <cell r="C576" t="str">
            <v>Gabriela Andrea</v>
          </cell>
          <cell r="D576" t="str">
            <v>Llanos Román, Gabriela Andrea</v>
          </cell>
          <cell r="E576" t="str">
            <v>gabrielaandrea.llanos</v>
          </cell>
          <cell r="F576" t="str">
            <v>gabrielaandrea.llanos@professional.universidadviu.com</v>
          </cell>
          <cell r="G576" t="str">
            <v>Yes</v>
          </cell>
          <cell r="H576" t="str">
            <v>NO</v>
          </cell>
          <cell r="I576" t="str">
            <v>Máster Universitario en Salud Pública y Gestión Sanitaria</v>
          </cell>
          <cell r="J576" t="str">
            <v>Programa de Doctorado en Medicina</v>
          </cell>
          <cell r="K576" t="str">
            <v/>
          </cell>
          <cell r="L576" t="str">
            <v/>
          </cell>
          <cell r="M576" t="str">
            <v>Professional</v>
          </cell>
          <cell r="N576" t="str">
            <v/>
          </cell>
          <cell r="O576" t="str">
            <v>CSS</v>
          </cell>
          <cell r="P576">
            <v>0</v>
          </cell>
          <cell r="Q576" t="str">
            <v xml:space="preserve"> </v>
          </cell>
          <cell r="R576"/>
          <cell r="S576"/>
          <cell r="T576" t="str">
            <v>Sin reducción</v>
          </cell>
          <cell r="U576">
            <v>0</v>
          </cell>
          <cell r="V576"/>
          <cell r="W576"/>
          <cell r="X576">
            <v>0</v>
          </cell>
          <cell r="Y576">
            <v>0</v>
          </cell>
          <cell r="Z576">
            <v>0</v>
          </cell>
          <cell r="AA576"/>
          <cell r="AB576" t="str">
            <v>Active - signed</v>
          </cell>
          <cell r="AC576" t="str">
            <v>ACTIVO</v>
          </cell>
          <cell r="AD576"/>
          <cell r="AE576"/>
          <cell r="AF576"/>
          <cell r="AG576"/>
          <cell r="AH576"/>
          <cell r="AI576" t="str">
            <v>Y3718768G</v>
          </cell>
        </row>
        <row r="577">
          <cell r="A577" t="str">
            <v>EC0960453546</v>
          </cell>
          <cell r="B577" t="str">
            <v>Llerena Companioni</v>
          </cell>
          <cell r="C577" t="str">
            <v>Odalia</v>
          </cell>
          <cell r="D577" t="str">
            <v>Llerena Companioni, Odalia</v>
          </cell>
          <cell r="E577" t="str">
            <v>odalia.llerena</v>
          </cell>
          <cell r="F577" t="str">
            <v>odalia.llerena@professional.universidadviu.com</v>
          </cell>
          <cell r="G577" t="str">
            <v>Yes</v>
          </cell>
          <cell r="H577" t="str">
            <v>NO</v>
          </cell>
          <cell r="I577" t="str">
            <v>Psicología</v>
          </cell>
          <cell r="J577" t="str">
            <v>Maestria en ciencias de la educacion superior</v>
          </cell>
          <cell r="K577" t="str">
            <v>Doctora en Ciencias Pedagógicas</v>
          </cell>
          <cell r="L577" t="str">
            <v/>
          </cell>
          <cell r="M577" t="str">
            <v>Professional</v>
          </cell>
          <cell r="N577" t="str">
            <v/>
          </cell>
          <cell r="O577" t="str">
            <v>CSS</v>
          </cell>
          <cell r="P577">
            <v>0</v>
          </cell>
          <cell r="Q577" t="str">
            <v xml:space="preserve"> </v>
          </cell>
          <cell r="R577"/>
          <cell r="S577"/>
          <cell r="T577" t="str">
            <v>Sin reducción</v>
          </cell>
          <cell r="U577">
            <v>0</v>
          </cell>
          <cell r="V577"/>
          <cell r="W577"/>
          <cell r="X577">
            <v>0</v>
          </cell>
          <cell r="Y577">
            <v>0</v>
          </cell>
          <cell r="Z577">
            <v>0</v>
          </cell>
          <cell r="AA577"/>
          <cell r="AB577" t="str">
            <v>Active - signed</v>
          </cell>
          <cell r="AC577" t="str">
            <v>ACTIVO</v>
          </cell>
          <cell r="AD577"/>
          <cell r="AE577"/>
          <cell r="AF577"/>
          <cell r="AG577"/>
          <cell r="AH577"/>
          <cell r="AI577" t="str">
            <v>EC0960453546</v>
          </cell>
        </row>
        <row r="578">
          <cell r="A578" t="str">
            <v>48591148Z</v>
          </cell>
          <cell r="B578" t="str">
            <v>Lloret Fernández</v>
          </cell>
          <cell r="C578" t="str">
            <v>Carla</v>
          </cell>
          <cell r="D578" t="str">
            <v>Lloret Fernández, Carla</v>
          </cell>
          <cell r="E578" t="str">
            <v>carla.lloret</v>
          </cell>
          <cell r="F578" t="str">
            <v>carla.lloret@professional.universidadviu.com</v>
          </cell>
          <cell r="G578" t="str">
            <v>Yes</v>
          </cell>
          <cell r="H578" t="str">
            <v>Yes</v>
          </cell>
          <cell r="I578" t="str">
            <v>Biotecnología</v>
          </cell>
          <cell r="J578" t="str">
            <v>Doctora en Neurociencias</v>
          </cell>
          <cell r="K578" t="str">
            <v>Máster universitario en neurociencias básicas y aplicadas</v>
          </cell>
          <cell r="L578" t="str">
            <v/>
          </cell>
          <cell r="M578" t="str">
            <v>Professional</v>
          </cell>
          <cell r="N578" t="str">
            <v/>
          </cell>
          <cell r="O578" t="str">
            <v>CBS/CSS</v>
          </cell>
          <cell r="P578">
            <v>0</v>
          </cell>
          <cell r="Q578" t="str">
            <v xml:space="preserve"> </v>
          </cell>
          <cell r="R578"/>
          <cell r="S578"/>
          <cell r="T578" t="str">
            <v>Sin reducción</v>
          </cell>
          <cell r="U578">
            <v>0</v>
          </cell>
          <cell r="V578"/>
          <cell r="W578"/>
          <cell r="X578">
            <v>0</v>
          </cell>
          <cell r="Y578">
            <v>0</v>
          </cell>
          <cell r="Z578">
            <v>0</v>
          </cell>
          <cell r="AA578"/>
          <cell r="AB578" t="str">
            <v>Active - signed</v>
          </cell>
          <cell r="AC578" t="str">
            <v>ACTIVO</v>
          </cell>
          <cell r="AD578"/>
          <cell r="AE578"/>
          <cell r="AF578"/>
          <cell r="AG578"/>
          <cell r="AH578"/>
          <cell r="AI578" t="str">
            <v>48591148Z</v>
          </cell>
        </row>
        <row r="579">
          <cell r="A579" t="str">
            <v>48606434M</v>
          </cell>
          <cell r="B579" t="str">
            <v>Lluch Sanz</v>
          </cell>
          <cell r="C579" t="str">
            <v>Cristina</v>
          </cell>
          <cell r="D579" t="str">
            <v>Lluch Sanz, Cristina</v>
          </cell>
          <cell r="E579" t="str">
            <v>cristina.lluch</v>
          </cell>
          <cell r="F579" t="str">
            <v>cristina.lluch@professional.universidadviu.com</v>
          </cell>
          <cell r="G579" t="str">
            <v>NO</v>
          </cell>
          <cell r="H579" t="str">
            <v>NO</v>
          </cell>
          <cell r="I579" t="str">
            <v>Psicología</v>
          </cell>
          <cell r="J579" t="str">
            <v>MÁSTER UNIVERSITARIO EN INVESTIGACIÓN, TRATAMIENTO Y PATOLOGÍAS ASOCIADAS EN DROGODEPENDENCIAS</v>
          </cell>
          <cell r="K579" t="str">
            <v>Master Universitario en Psicologia general sanitaria</v>
          </cell>
          <cell r="L579" t="str">
            <v/>
          </cell>
          <cell r="M579" t="str">
            <v>Professional</v>
          </cell>
          <cell r="N579" t="str">
            <v/>
          </cell>
          <cell r="O579" t="str">
            <v>CSS</v>
          </cell>
          <cell r="P579">
            <v>0</v>
          </cell>
          <cell r="Q579" t="str">
            <v xml:space="preserve"> </v>
          </cell>
          <cell r="R579"/>
          <cell r="S579"/>
          <cell r="T579" t="str">
            <v>Sin reducción</v>
          </cell>
          <cell r="U579">
            <v>0</v>
          </cell>
          <cell r="V579"/>
          <cell r="W579"/>
          <cell r="X579">
            <v>0</v>
          </cell>
          <cell r="Y579">
            <v>0</v>
          </cell>
          <cell r="Z579">
            <v>0</v>
          </cell>
          <cell r="AA579"/>
          <cell r="AB579" t="str">
            <v>Active - signed</v>
          </cell>
          <cell r="AC579" t="str">
            <v>ACTIVO</v>
          </cell>
          <cell r="AD579"/>
          <cell r="AE579"/>
          <cell r="AF579"/>
          <cell r="AG579"/>
          <cell r="AH579"/>
          <cell r="AI579" t="str">
            <v>48606434M</v>
          </cell>
        </row>
        <row r="580">
          <cell r="A580" t="str">
            <v>72490435R</v>
          </cell>
          <cell r="B580" t="str">
            <v>Loinaz Calvo</v>
          </cell>
          <cell r="C580" t="str">
            <v>Ismael</v>
          </cell>
          <cell r="D580" t="str">
            <v>Loinaz Calvo, Ismael</v>
          </cell>
          <cell r="E580" t="str">
            <v>ismael.loinaz</v>
          </cell>
          <cell r="F580"/>
          <cell r="G580" t="str">
            <v>Yes</v>
          </cell>
          <cell r="H580" t="str">
            <v>NO</v>
          </cell>
          <cell r="I580" t="str">
            <v>Licenciatura de Criminología</v>
          </cell>
          <cell r="J580" t="str">
            <v>Licenciado en Criminologia</v>
          </cell>
          <cell r="K580" t="str">
            <v>Doctorado en Psiquiatria y Psicologia Clínica</v>
          </cell>
          <cell r="L580" t="str">
            <v>Diploma estudios avanzados</v>
          </cell>
          <cell r="M580" t="str">
            <v>Professional</v>
          </cell>
          <cell r="N580" t="str">
            <v/>
          </cell>
          <cell r="O580"/>
          <cell r="P580">
            <v>0</v>
          </cell>
          <cell r="Q580" t="str">
            <v xml:space="preserve"> </v>
          </cell>
          <cell r="R580"/>
          <cell r="S580"/>
          <cell r="T580" t="str">
            <v>Sin reducción</v>
          </cell>
          <cell r="U580">
            <v>0</v>
          </cell>
          <cell r="V580"/>
          <cell r="W580"/>
          <cell r="X580">
            <v>0</v>
          </cell>
          <cell r="Y580">
            <v>0</v>
          </cell>
          <cell r="Z580">
            <v>0</v>
          </cell>
          <cell r="AA580"/>
          <cell r="AB580" t="str">
            <v>Concluded</v>
          </cell>
          <cell r="AC580" t="str">
            <v>NO ACTIVO</v>
          </cell>
          <cell r="AD580"/>
          <cell r="AE580"/>
          <cell r="AF580">
            <v>45002</v>
          </cell>
          <cell r="AG580" t="str">
            <v>CESE DE CONTRATO</v>
          </cell>
          <cell r="AH580"/>
          <cell r="AI580" t="str">
            <v>72490435R</v>
          </cell>
        </row>
        <row r="581">
          <cell r="A581" t="str">
            <v>09899702L</v>
          </cell>
          <cell r="B581" t="str">
            <v>Loira</v>
          </cell>
          <cell r="C581" t="str">
            <v>Eugenia</v>
          </cell>
          <cell r="D581" t="str">
            <v>Loira, Eugenia</v>
          </cell>
          <cell r="E581" t="str">
            <v>eloira@professor.universidadviu.com</v>
          </cell>
          <cell r="F581" t="str">
            <v>eloira@professor.universidadviu.com</v>
          </cell>
          <cell r="G581" t="str">
            <v>NO</v>
          </cell>
          <cell r="H581" t="str">
            <v>NO</v>
          </cell>
          <cell r="I581" t="str">
            <v/>
          </cell>
          <cell r="J581" t="str">
            <v/>
          </cell>
          <cell r="K581" t="str">
            <v/>
          </cell>
          <cell r="L581" t="str">
            <v/>
          </cell>
          <cell r="M581" t="str">
            <v>Labour</v>
          </cell>
          <cell r="N581"/>
          <cell r="O581" t="str">
            <v>CBS</v>
          </cell>
          <cell r="P581">
            <v>18</v>
          </cell>
          <cell r="Q581" t="str">
            <v>18</v>
          </cell>
          <cell r="R581"/>
          <cell r="S581"/>
          <cell r="T581" t="str">
            <v>Sin reducción</v>
          </cell>
          <cell r="U581">
            <v>0</v>
          </cell>
          <cell r="V581"/>
          <cell r="W581"/>
          <cell r="X581">
            <v>0</v>
          </cell>
          <cell r="Y581">
            <v>12</v>
          </cell>
          <cell r="Z581">
            <v>0</v>
          </cell>
          <cell r="AA581"/>
          <cell r="AB581" t="str">
            <v>Active - signed</v>
          </cell>
          <cell r="AC581" t="str">
            <v>ACTIVO</v>
          </cell>
          <cell r="AD581"/>
          <cell r="AE581"/>
          <cell r="AF581"/>
          <cell r="AG581"/>
          <cell r="AH581"/>
          <cell r="AI581" t="str">
            <v>09899702L</v>
          </cell>
        </row>
        <row r="582">
          <cell r="A582" t="str">
            <v>24379008C</v>
          </cell>
          <cell r="B582" t="str">
            <v>Longares Segarra</v>
          </cell>
          <cell r="C582" t="str">
            <v>María</v>
          </cell>
          <cell r="D582" t="str">
            <v>Longares Segarra, María</v>
          </cell>
          <cell r="E582" t="e">
            <v>#VALUE!</v>
          </cell>
          <cell r="F582" t="str">
            <v>maria.longares@professor.universidadviu.com</v>
          </cell>
          <cell r="G582" t="e">
            <v>#VALUE!</v>
          </cell>
          <cell r="H582" t="e">
            <v>#VALUE!</v>
          </cell>
          <cell r="I582" t="str">
            <v>Psicología</v>
          </cell>
          <cell r="J582" t="str">
            <v>Máster Universitario Avances en Investigación y Tratamientos en Psicopatología y Salud</v>
          </cell>
          <cell r="K582" t="str">
            <v>Máster Universitario en Psicología General Sanitaria</v>
          </cell>
          <cell r="L582" t="str">
            <v>Licenciado en Psicología</v>
          </cell>
          <cell r="M582" t="e">
            <v>#VALUE!</v>
          </cell>
          <cell r="N582" t="str">
            <v>Consultar a Facultad de Educación</v>
          </cell>
          <cell r="O582" t="str">
            <v>CSS</v>
          </cell>
          <cell r="P582" t="str">
            <v xml:space="preserve"> </v>
          </cell>
          <cell r="Q582" t="b">
            <v>0</v>
          </cell>
          <cell r="R582"/>
          <cell r="S582"/>
          <cell r="T582" t="str">
            <v>Sin reducción</v>
          </cell>
          <cell r="U582">
            <v>0</v>
          </cell>
          <cell r="V582"/>
          <cell r="W582"/>
          <cell r="X582">
            <v>0</v>
          </cell>
          <cell r="Y582">
            <v>0</v>
          </cell>
          <cell r="Z582">
            <v>0</v>
          </cell>
          <cell r="AA582"/>
          <cell r="AB582" t="e">
            <v>#VALUE!</v>
          </cell>
          <cell r="AC582" t="str">
            <v>BAJA TEMPORAL</v>
          </cell>
          <cell r="AD582">
            <v>45100</v>
          </cell>
          <cell r="AE582">
            <v>46198</v>
          </cell>
          <cell r="AF582"/>
          <cell r="AG582" t="str">
            <v>EXCEDENCIA</v>
          </cell>
          <cell r="AH582"/>
          <cell r="AI582" t="str">
            <v>24379008C</v>
          </cell>
        </row>
        <row r="583">
          <cell r="A583" t="str">
            <v>50232206E</v>
          </cell>
          <cell r="B583" t="str">
            <v>López Alba</v>
          </cell>
          <cell r="C583" t="str">
            <v>Cristina</v>
          </cell>
          <cell r="D583" t="str">
            <v>López Alba, Cristina</v>
          </cell>
          <cell r="E583" t="str">
            <v>cristina.lopezalba</v>
          </cell>
          <cell r="F583" t="str">
            <v>cristina.lopezalba@professor.universidadviu.com</v>
          </cell>
          <cell r="G583" t="str">
            <v>NO</v>
          </cell>
          <cell r="H583" t="str">
            <v>NO</v>
          </cell>
          <cell r="I583" t="str">
            <v>Logopedia</v>
          </cell>
          <cell r="J583" t="str">
            <v>MÁSTER EN ATENCIÓN TEMPRANA</v>
          </cell>
          <cell r="K583" t="str">
            <v>MÁSTER EN LOGOPEDIA EDUCATIVA</v>
          </cell>
          <cell r="L583" t="str">
            <v/>
          </cell>
          <cell r="M583" t="str">
            <v>Labour</v>
          </cell>
          <cell r="N583" t="str">
            <v>Cano Villagrasa, Alejandro</v>
          </cell>
          <cell r="O583" t="str">
            <v>CBS</v>
          </cell>
          <cell r="P583">
            <v>40</v>
          </cell>
          <cell r="Q583" t="str">
            <v>32</v>
          </cell>
          <cell r="R583"/>
          <cell r="S583"/>
          <cell r="T583" t="str">
            <v>Sin reducción</v>
          </cell>
          <cell r="U583">
            <v>0</v>
          </cell>
          <cell r="V583">
            <v>12</v>
          </cell>
          <cell r="W583" t="str">
            <v>EDUCACIÓN</v>
          </cell>
          <cell r="X583">
            <v>0</v>
          </cell>
          <cell r="Y583">
            <v>18</v>
          </cell>
          <cell r="Z583">
            <v>0</v>
          </cell>
          <cell r="AA583"/>
          <cell r="AB583" t="str">
            <v>Active - signed</v>
          </cell>
          <cell r="AC583" t="str">
            <v>ACTIVO</v>
          </cell>
          <cell r="AD583"/>
          <cell r="AE583"/>
          <cell r="AF583"/>
          <cell r="AG583"/>
          <cell r="AH583"/>
          <cell r="AI583" t="str">
            <v>50232206E</v>
          </cell>
        </row>
        <row r="584">
          <cell r="A584" t="str">
            <v>77456563S</v>
          </cell>
          <cell r="B584" t="str">
            <v>López Barroso</v>
          </cell>
          <cell r="C584" t="str">
            <v>Diana</v>
          </cell>
          <cell r="D584" t="str">
            <v>López Barroso, Diana</v>
          </cell>
          <cell r="E584" t="str">
            <v>dlopezb@professional.universidadviu.com</v>
          </cell>
          <cell r="F584" t="str">
            <v>dlopezb@professional.universidadviu.com</v>
          </cell>
          <cell r="G584" t="str">
            <v>Yes</v>
          </cell>
          <cell r="H584" t="str">
            <v>Yes</v>
          </cell>
          <cell r="I584" t="str">
            <v>Doctorado en Biomedicina</v>
          </cell>
          <cell r="J584" t="str">
            <v>Master Oficial en Neurociencias</v>
          </cell>
          <cell r="K584" t="str">
            <v>Licenciada en psicología</v>
          </cell>
          <cell r="L584" t="str">
            <v/>
          </cell>
          <cell r="M584" t="str">
            <v>Professional</v>
          </cell>
          <cell r="N584" t="str">
            <v/>
          </cell>
          <cell r="O584" t="str">
            <v>CSS</v>
          </cell>
          <cell r="P584">
            <v>0</v>
          </cell>
          <cell r="Q584" t="str">
            <v xml:space="preserve"> </v>
          </cell>
          <cell r="R584"/>
          <cell r="S584"/>
          <cell r="T584" t="str">
            <v>Sin reducción</v>
          </cell>
          <cell r="U584">
            <v>0</v>
          </cell>
          <cell r="V584"/>
          <cell r="W584"/>
          <cell r="X584">
            <v>0</v>
          </cell>
          <cell r="Y584">
            <v>0</v>
          </cell>
          <cell r="Z584">
            <v>0</v>
          </cell>
          <cell r="AA584"/>
          <cell r="AB584" t="str">
            <v>Active - signed</v>
          </cell>
          <cell r="AC584" t="str">
            <v>ACTIVO</v>
          </cell>
          <cell r="AD584"/>
          <cell r="AE584"/>
          <cell r="AF584"/>
          <cell r="AG584"/>
          <cell r="AH584"/>
          <cell r="AI584" t="str">
            <v>77456563S</v>
          </cell>
        </row>
        <row r="585">
          <cell r="A585" t="str">
            <v>24358541T</v>
          </cell>
          <cell r="B585" t="str">
            <v>López Carballo</v>
          </cell>
          <cell r="C585" t="str">
            <v>Gracia</v>
          </cell>
          <cell r="D585" t="str">
            <v>López Carballo, Gracia</v>
          </cell>
          <cell r="E585" t="str">
            <v>gracia.lopez</v>
          </cell>
          <cell r="F585"/>
          <cell r="G585" t="str">
            <v>Yes</v>
          </cell>
          <cell r="H585" t="str">
            <v>NO</v>
          </cell>
          <cell r="I585" t="str">
            <v>Farmacia</v>
          </cell>
          <cell r="J585" t="str">
            <v>Doctora en Farmacia</v>
          </cell>
          <cell r="K585" t="str">
            <v/>
          </cell>
          <cell r="L585" t="str">
            <v/>
          </cell>
          <cell r="M585" t="str">
            <v>Professional</v>
          </cell>
          <cell r="N585" t="str">
            <v/>
          </cell>
          <cell r="O585" t="str">
            <v>CBS</v>
          </cell>
          <cell r="P585">
            <v>0</v>
          </cell>
          <cell r="Q585" t="str">
            <v xml:space="preserve"> </v>
          </cell>
          <cell r="R585"/>
          <cell r="S585"/>
          <cell r="T585" t="str">
            <v>Sin reducción</v>
          </cell>
          <cell r="U585">
            <v>0</v>
          </cell>
          <cell r="V585"/>
          <cell r="W585"/>
          <cell r="X585">
            <v>0</v>
          </cell>
          <cell r="Y585">
            <v>0</v>
          </cell>
          <cell r="Z585">
            <v>0</v>
          </cell>
          <cell r="AA585"/>
          <cell r="AB585" t="str">
            <v>Concluded</v>
          </cell>
          <cell r="AC585" t="str">
            <v>NO ACTIVO</v>
          </cell>
          <cell r="AD585"/>
          <cell r="AE585"/>
          <cell r="AF585">
            <v>45013</v>
          </cell>
          <cell r="AG585" t="str">
            <v>CESE DE CONTRATO</v>
          </cell>
          <cell r="AH585"/>
          <cell r="AI585" t="str">
            <v>24358541T</v>
          </cell>
        </row>
        <row r="586">
          <cell r="A586" t="str">
            <v>50556355D</v>
          </cell>
          <cell r="B586" t="str">
            <v>López de las Hazas Mingo</v>
          </cell>
          <cell r="C586" t="str">
            <v>María del Carmen</v>
          </cell>
          <cell r="D586" t="str">
            <v>López de las Hazas Mingo, María del Carmen</v>
          </cell>
          <cell r="E586" t="str">
            <v>mariadelcarmen.lopezdelashazas</v>
          </cell>
          <cell r="F586" t="str">
            <v>mariadelcarmen.lopezdelashazas@professional.universidadviu.com</v>
          </cell>
          <cell r="G586" t="str">
            <v>Yes</v>
          </cell>
          <cell r="H586" t="str">
            <v>NO</v>
          </cell>
          <cell r="I586" t="str">
            <v>Programa de Doctorado en Ciencia y Tecnología Agraria y Alimentaria</v>
          </cell>
          <cell r="J586" t="str">
            <v>Licenciado</v>
          </cell>
          <cell r="K586" t="str">
            <v/>
          </cell>
          <cell r="L586" t="str">
            <v/>
          </cell>
          <cell r="M586" t="str">
            <v>Professional</v>
          </cell>
          <cell r="N586" t="str">
            <v/>
          </cell>
          <cell r="O586" t="str">
            <v>CBS</v>
          </cell>
          <cell r="P586">
            <v>0</v>
          </cell>
          <cell r="Q586" t="str">
            <v xml:space="preserve"> </v>
          </cell>
          <cell r="R586"/>
          <cell r="S586"/>
          <cell r="T586" t="str">
            <v>Sin reducción</v>
          </cell>
          <cell r="U586">
            <v>0</v>
          </cell>
          <cell r="V586"/>
          <cell r="W586"/>
          <cell r="X586">
            <v>0</v>
          </cell>
          <cell r="Y586">
            <v>0</v>
          </cell>
          <cell r="Z586">
            <v>0</v>
          </cell>
          <cell r="AA586"/>
          <cell r="AB586" t="str">
            <v>Active - signed</v>
          </cell>
          <cell r="AC586" t="str">
            <v>ACTIVO</v>
          </cell>
          <cell r="AD586"/>
          <cell r="AE586"/>
          <cell r="AF586"/>
          <cell r="AG586"/>
          <cell r="AH586"/>
          <cell r="AI586" t="str">
            <v>50556355D</v>
          </cell>
        </row>
        <row r="587">
          <cell r="A587">
            <v>11785079</v>
          </cell>
          <cell r="B587" t="str">
            <v>López de Solorzano</v>
          </cell>
          <cell r="C587" t="str">
            <v>Carmen Consuelo</v>
          </cell>
          <cell r="D587" t="str">
            <v>López de Solorzano, Carmen Consuelo</v>
          </cell>
          <cell r="E587" t="str">
            <v>carmenconsuelo.lopez</v>
          </cell>
          <cell r="F587" t="str">
            <v>carmenconsuelo.lopez@professional.universidadviu.com</v>
          </cell>
          <cell r="G587" t="str">
            <v>NO</v>
          </cell>
          <cell r="H587" t="str">
            <v>NO</v>
          </cell>
          <cell r="I587" t="str">
            <v>Doctora en Ciencias de la Educación</v>
          </cell>
          <cell r="J587" t="str">
            <v>Magister Scientiarum en Educación Abierta y a Distancia</v>
          </cell>
          <cell r="K587" t="str">
            <v>Profesor especialidad: Educación Preescolar</v>
          </cell>
          <cell r="L587" t="str">
            <v/>
          </cell>
          <cell r="M587" t="str">
            <v>Professional</v>
          </cell>
          <cell r="N587" t="str">
            <v/>
          </cell>
          <cell r="O587" t="str">
            <v>CSS</v>
          </cell>
          <cell r="P587">
            <v>0</v>
          </cell>
          <cell r="Q587" t="str">
            <v xml:space="preserve"> </v>
          </cell>
          <cell r="R587"/>
          <cell r="S587"/>
          <cell r="T587" t="str">
            <v>Sin reducción</v>
          </cell>
          <cell r="U587">
            <v>0</v>
          </cell>
          <cell r="V587"/>
          <cell r="W587"/>
          <cell r="X587">
            <v>0</v>
          </cell>
          <cell r="Y587">
            <v>0</v>
          </cell>
          <cell r="Z587">
            <v>0</v>
          </cell>
          <cell r="AA587"/>
          <cell r="AB587" t="str">
            <v>Active - signed</v>
          </cell>
          <cell r="AC587" t="str">
            <v>ACTIVO</v>
          </cell>
          <cell r="AD587"/>
          <cell r="AE587"/>
          <cell r="AF587"/>
          <cell r="AG587"/>
          <cell r="AH587"/>
          <cell r="AI587">
            <v>11785079</v>
          </cell>
        </row>
        <row r="588">
          <cell r="A588" t="str">
            <v>25668336Z</v>
          </cell>
          <cell r="B588" t="str">
            <v>López de Uralde Selva</v>
          </cell>
          <cell r="C588" t="str">
            <v>Mª Angeles</v>
          </cell>
          <cell r="D588" t="str">
            <v>López de Uralde Selva, Mª Angeles</v>
          </cell>
          <cell r="E588" t="str">
            <v>mlopezdeuraldes@professional.universidadviu.com</v>
          </cell>
          <cell r="F588" t="str">
            <v>mlopezdeuraldes@professional.universidadviu.com</v>
          </cell>
          <cell r="G588" t="str">
            <v>Yes</v>
          </cell>
          <cell r="H588" t="str">
            <v>NO</v>
          </cell>
          <cell r="I588" t="str">
            <v>Doctorada en psciología Clínica de la Salud</v>
          </cell>
          <cell r="J588" t="str">
            <v>Licenciada en Psicología</v>
          </cell>
          <cell r="K588" t="str">
            <v/>
          </cell>
          <cell r="L588" t="str">
            <v/>
          </cell>
          <cell r="M588" t="str">
            <v>Professional</v>
          </cell>
          <cell r="N588" t="str">
            <v/>
          </cell>
          <cell r="O588" t="str">
            <v>CSS</v>
          </cell>
          <cell r="P588">
            <v>0</v>
          </cell>
          <cell r="Q588" t="str">
            <v xml:space="preserve"> </v>
          </cell>
          <cell r="R588"/>
          <cell r="S588"/>
          <cell r="T588" t="str">
            <v>Sin reducción</v>
          </cell>
          <cell r="U588">
            <v>0</v>
          </cell>
          <cell r="V588"/>
          <cell r="W588"/>
          <cell r="X588">
            <v>0</v>
          </cell>
          <cell r="Y588">
            <v>0</v>
          </cell>
          <cell r="Z588">
            <v>0</v>
          </cell>
          <cell r="AA588"/>
          <cell r="AB588" t="str">
            <v>Active - signed</v>
          </cell>
          <cell r="AC588" t="str">
            <v>ACTIVO</v>
          </cell>
          <cell r="AD588"/>
          <cell r="AE588"/>
          <cell r="AF588"/>
          <cell r="AG588"/>
          <cell r="AH588"/>
          <cell r="AI588" t="str">
            <v>25668336Z</v>
          </cell>
        </row>
        <row r="589">
          <cell r="A589" t="str">
            <v>46762443Q</v>
          </cell>
          <cell r="B589" t="str">
            <v>López García</v>
          </cell>
          <cell r="C589" t="str">
            <v>Marta</v>
          </cell>
          <cell r="D589" t="str">
            <v>López García, Marta</v>
          </cell>
          <cell r="E589" t="str">
            <v>mlopezg@professional.universidadviu.com</v>
          </cell>
          <cell r="F589" t="str">
            <v>mlopezg@professional.universidadviu.com</v>
          </cell>
          <cell r="G589" t="str">
            <v>NO</v>
          </cell>
          <cell r="H589" t="str">
            <v>NO</v>
          </cell>
          <cell r="I589" t="str">
            <v>POSGRADO EN PSICOLOGIA INFANTO JUVENIL</v>
          </cell>
          <cell r="J589" t="str">
            <v>LICENCIATURA EN PSICOLOGIA</v>
          </cell>
          <cell r="K589" t="str">
            <v/>
          </cell>
          <cell r="L589" t="str">
            <v/>
          </cell>
          <cell r="M589" t="str">
            <v>Professional</v>
          </cell>
          <cell r="N589" t="str">
            <v/>
          </cell>
          <cell r="O589" t="str">
            <v>CSS</v>
          </cell>
          <cell r="P589">
            <v>0</v>
          </cell>
          <cell r="Q589" t="str">
            <v xml:space="preserve"> </v>
          </cell>
          <cell r="R589"/>
          <cell r="S589"/>
          <cell r="T589" t="str">
            <v>Sin reducción</v>
          </cell>
          <cell r="U589">
            <v>0</v>
          </cell>
          <cell r="V589"/>
          <cell r="W589"/>
          <cell r="X589">
            <v>0</v>
          </cell>
          <cell r="Y589">
            <v>0</v>
          </cell>
          <cell r="Z589">
            <v>0</v>
          </cell>
          <cell r="AA589"/>
          <cell r="AB589" t="str">
            <v>Active - signed</v>
          </cell>
          <cell r="AC589" t="str">
            <v>ACTIVO</v>
          </cell>
          <cell r="AD589"/>
          <cell r="AE589"/>
          <cell r="AF589"/>
          <cell r="AG589"/>
          <cell r="AH589"/>
          <cell r="AI589" t="str">
            <v>46762443Q</v>
          </cell>
        </row>
        <row r="590">
          <cell r="A590" t="str">
            <v>26762305B</v>
          </cell>
          <cell r="B590" t="str">
            <v>López García</v>
          </cell>
          <cell r="C590" t="str">
            <v>Gabriel</v>
          </cell>
          <cell r="D590" t="str">
            <v>López García, Gabriel</v>
          </cell>
          <cell r="E590" t="str">
            <v>glopezg@professor.universidadviu.com</v>
          </cell>
          <cell r="F590" t="str">
            <v>glopezg@professor.universidadviu.com</v>
          </cell>
          <cell r="G590" t="str">
            <v>Yes</v>
          </cell>
          <cell r="H590" t="str">
            <v>Yes</v>
          </cell>
          <cell r="I590" t="str">
            <v/>
          </cell>
          <cell r="J590" t="str">
            <v/>
          </cell>
          <cell r="K590" t="str">
            <v/>
          </cell>
          <cell r="L590" t="str">
            <v/>
          </cell>
          <cell r="M590" t="str">
            <v>Labour</v>
          </cell>
          <cell r="N590" t="str">
            <v>García Tejedor, Aurora</v>
          </cell>
          <cell r="O590" t="str">
            <v>CBS</v>
          </cell>
          <cell r="P590">
            <v>100</v>
          </cell>
          <cell r="Q590" t="str">
            <v>50</v>
          </cell>
          <cell r="R590"/>
          <cell r="S590"/>
          <cell r="T590" t="str">
            <v>Director/a Título Propio &lt;60 - 1 edición</v>
          </cell>
          <cell r="U590">
            <v>20</v>
          </cell>
          <cell r="V590"/>
          <cell r="W590"/>
          <cell r="X590">
            <v>0</v>
          </cell>
          <cell r="Y590">
            <v>22.1</v>
          </cell>
          <cell r="Z590">
            <v>0</v>
          </cell>
          <cell r="AA590"/>
          <cell r="AB590" t="str">
            <v>Active - signed</v>
          </cell>
          <cell r="AC590" t="str">
            <v>ACTIVO</v>
          </cell>
          <cell r="AD590"/>
          <cell r="AE590"/>
          <cell r="AF590"/>
          <cell r="AG590"/>
          <cell r="AH590"/>
          <cell r="AI590" t="str">
            <v>26762305B</v>
          </cell>
        </row>
        <row r="591">
          <cell r="A591" t="str">
            <v>53161444A</v>
          </cell>
          <cell r="B591" t="str">
            <v>López González</v>
          </cell>
          <cell r="C591" t="str">
            <v>Beatriz</v>
          </cell>
          <cell r="D591" t="str">
            <v>López González, Beatriz</v>
          </cell>
          <cell r="E591" t="str">
            <v>beatriz.lopez.gon</v>
          </cell>
          <cell r="F591" t="str">
            <v>beatriz.lopez.gon@professional.universidad.com</v>
          </cell>
          <cell r="G591" t="str">
            <v>Yes</v>
          </cell>
          <cell r="H591" t="str">
            <v>Yes</v>
          </cell>
          <cell r="I591" t="str">
            <v>Doctora Psicología Evolutiva y de la Educación</v>
          </cell>
          <cell r="J591" t="str">
            <v>Grado en magisterio de educación primaria</v>
          </cell>
          <cell r="K591" t="str">
            <v>Licenciada en psicologia</v>
          </cell>
          <cell r="L591" t="str">
            <v/>
          </cell>
          <cell r="M591" t="str">
            <v>Professional</v>
          </cell>
          <cell r="N591"/>
          <cell r="O591" t="str">
            <v>CSS</v>
          </cell>
          <cell r="P591">
            <v>0</v>
          </cell>
          <cell r="Q591" t="str">
            <v xml:space="preserve"> </v>
          </cell>
          <cell r="R591"/>
          <cell r="S591"/>
          <cell r="T591" t="str">
            <v>Sin reducción</v>
          </cell>
          <cell r="U591">
            <v>0</v>
          </cell>
          <cell r="V591"/>
          <cell r="W591"/>
          <cell r="X591">
            <v>0</v>
          </cell>
          <cell r="Y591">
            <v>0</v>
          </cell>
          <cell r="Z591">
            <v>0</v>
          </cell>
          <cell r="AA591"/>
          <cell r="AB591" t="str">
            <v>Active - signed</v>
          </cell>
          <cell r="AC591" t="str">
            <v>ACTIVO</v>
          </cell>
          <cell r="AD591"/>
          <cell r="AE591"/>
          <cell r="AF591"/>
          <cell r="AG591"/>
          <cell r="AH591"/>
          <cell r="AI591" t="str">
            <v>53161444A</v>
          </cell>
        </row>
        <row r="592">
          <cell r="A592" t="str">
            <v>42237159M</v>
          </cell>
          <cell r="B592" t="str">
            <v>López Hernández</v>
          </cell>
          <cell r="C592" t="str">
            <v>Bárbara Patricia</v>
          </cell>
          <cell r="D592" t="str">
            <v>López Hernández, Bárbara Patricia</v>
          </cell>
          <cell r="E592" t="str">
            <v>barbara.lopez0</v>
          </cell>
          <cell r="F592" t="str">
            <v>barbara.lopez0@professional.universidadviu.com</v>
          </cell>
          <cell r="G592" t="str">
            <v>NO</v>
          </cell>
          <cell r="H592" t="str">
            <v>NO</v>
          </cell>
          <cell r="I592" t="str">
            <v>Psicología</v>
          </cell>
          <cell r="J592" t="str">
            <v>Master universitario en neurociencia cognitiva y del comportamiento</v>
          </cell>
          <cell r="K592" t="str">
            <v/>
          </cell>
          <cell r="L592" t="str">
            <v/>
          </cell>
          <cell r="M592" t="str">
            <v>Professional</v>
          </cell>
          <cell r="N592" t="str">
            <v/>
          </cell>
          <cell r="O592" t="str">
            <v>CSS</v>
          </cell>
          <cell r="P592">
            <v>0</v>
          </cell>
          <cell r="Q592" t="str">
            <v xml:space="preserve"> </v>
          </cell>
          <cell r="R592"/>
          <cell r="S592"/>
          <cell r="T592" t="str">
            <v>Sin reducción</v>
          </cell>
          <cell r="U592">
            <v>0</v>
          </cell>
          <cell r="V592"/>
          <cell r="W592"/>
          <cell r="X592">
            <v>0</v>
          </cell>
          <cell r="Y592">
            <v>0</v>
          </cell>
          <cell r="Z592">
            <v>0</v>
          </cell>
          <cell r="AA592"/>
          <cell r="AB592" t="str">
            <v>Active - signed</v>
          </cell>
          <cell r="AC592" t="str">
            <v>ACTIVO</v>
          </cell>
          <cell r="AD592"/>
          <cell r="AE592"/>
          <cell r="AF592"/>
          <cell r="AG592"/>
          <cell r="AH592"/>
          <cell r="AI592" t="str">
            <v>42237159M</v>
          </cell>
        </row>
        <row r="593">
          <cell r="A593" t="str">
            <v>48610984R</v>
          </cell>
          <cell r="B593" t="str">
            <v>López Hernández</v>
          </cell>
          <cell r="C593" t="str">
            <v>Paloma</v>
          </cell>
          <cell r="D593" t="str">
            <v>López Hernández, Paloma</v>
          </cell>
          <cell r="E593" t="str">
            <v>plopezh@professor.universidadviu.com</v>
          </cell>
          <cell r="F593" t="str">
            <v>plopezh@professor.universidadviu.com</v>
          </cell>
          <cell r="G593" t="str">
            <v>Yes</v>
          </cell>
          <cell r="H593" t="str">
            <v>NO</v>
          </cell>
          <cell r="I593" t="str">
            <v/>
          </cell>
          <cell r="J593" t="str">
            <v/>
          </cell>
          <cell r="K593" t="str">
            <v/>
          </cell>
          <cell r="L593" t="str">
            <v/>
          </cell>
          <cell r="M593" t="str">
            <v>Labour</v>
          </cell>
          <cell r="N593"/>
          <cell r="O593" t="str">
            <v>CSS</v>
          </cell>
          <cell r="P593">
            <v>100</v>
          </cell>
          <cell r="Q593" t="str">
            <v>50</v>
          </cell>
          <cell r="R593"/>
          <cell r="S593"/>
          <cell r="T593" t="str">
            <v>Sin reducción</v>
          </cell>
          <cell r="U593">
            <v>0</v>
          </cell>
          <cell r="V593"/>
          <cell r="W593"/>
          <cell r="X593">
            <v>39.4</v>
          </cell>
          <cell r="Y593">
            <v>0</v>
          </cell>
          <cell r="Z593">
            <v>0</v>
          </cell>
          <cell r="AA593"/>
          <cell r="AB593" t="str">
            <v>Active - signed</v>
          </cell>
          <cell r="AC593" t="str">
            <v>ACTIVO</v>
          </cell>
          <cell r="AD593"/>
          <cell r="AE593"/>
          <cell r="AF593"/>
          <cell r="AG593"/>
          <cell r="AH593"/>
          <cell r="AI593" t="str">
            <v>48610984R</v>
          </cell>
        </row>
        <row r="594">
          <cell r="A594" t="str">
            <v>77140786M</v>
          </cell>
          <cell r="B594" t="str">
            <v>López Jiménez</v>
          </cell>
          <cell r="C594" t="str">
            <v>Elisa</v>
          </cell>
          <cell r="D594" t="str">
            <v>López Jiménez, Elisa</v>
          </cell>
          <cell r="E594" t="str">
            <v>elopezj@professional.universidadviu.com</v>
          </cell>
          <cell r="F594" t="str">
            <v>elopezj@professional.universidadviu.com</v>
          </cell>
          <cell r="G594" t="str">
            <v>NO</v>
          </cell>
          <cell r="H594" t="str">
            <v>NO</v>
          </cell>
          <cell r="I594" t="str">
            <v>Máster en Psicología General Sanitaria</v>
          </cell>
          <cell r="J594" t="str">
            <v>Grado en Psicología</v>
          </cell>
          <cell r="K594" t="str">
            <v/>
          </cell>
          <cell r="L594" t="str">
            <v/>
          </cell>
          <cell r="M594" t="str">
            <v>Professional</v>
          </cell>
          <cell r="N594"/>
          <cell r="O594" t="str">
            <v>CSS</v>
          </cell>
          <cell r="P594">
            <v>0</v>
          </cell>
          <cell r="Q594" t="str">
            <v xml:space="preserve"> </v>
          </cell>
          <cell r="R594"/>
          <cell r="S594"/>
          <cell r="T594" t="str">
            <v>Sin reducción</v>
          </cell>
          <cell r="U594">
            <v>0</v>
          </cell>
          <cell r="V594"/>
          <cell r="W594"/>
          <cell r="X594">
            <v>0</v>
          </cell>
          <cell r="Y594">
            <v>0</v>
          </cell>
          <cell r="Z594">
            <v>0</v>
          </cell>
          <cell r="AA594"/>
          <cell r="AB594" t="str">
            <v>Active - signed</v>
          </cell>
          <cell r="AC594" t="str">
            <v>ACTIVO</v>
          </cell>
          <cell r="AD594"/>
          <cell r="AE594"/>
          <cell r="AF594"/>
          <cell r="AG594"/>
          <cell r="AH594"/>
          <cell r="AI594" t="str">
            <v>77140786M</v>
          </cell>
        </row>
        <row r="595">
          <cell r="A595" t="str">
            <v>29216710V</v>
          </cell>
          <cell r="B595" t="str">
            <v>López Mases</v>
          </cell>
          <cell r="C595" t="str">
            <v>Patricia</v>
          </cell>
          <cell r="D595" t="str">
            <v>López Mases, Patricia</v>
          </cell>
          <cell r="E595" t="str">
            <v>patricia.lopez.m</v>
          </cell>
          <cell r="F595" t="str">
            <v>patricia.lopez.m@professor.universidadviu.com</v>
          </cell>
          <cell r="G595" t="str">
            <v>Yes</v>
          </cell>
          <cell r="H595" t="str">
            <v>NO</v>
          </cell>
          <cell r="I595" t="str">
            <v>Programa de Doctorado en Enfermería Clínica y Comunitaria</v>
          </cell>
          <cell r="J595" t="str">
            <v>Programa de Doctorado en Enfermería Clínica y Comunitaria</v>
          </cell>
          <cell r="K595" t="str">
            <v>Graduada en enfermeria</v>
          </cell>
          <cell r="L595" t="str">
            <v/>
          </cell>
          <cell r="M595" t="str">
            <v>Labour</v>
          </cell>
          <cell r="N595" t="str">
            <v>García Tejedor, Aurora</v>
          </cell>
          <cell r="O595" t="str">
            <v>CBS</v>
          </cell>
          <cell r="P595">
            <v>100</v>
          </cell>
          <cell r="Q595" t="str">
            <v>50</v>
          </cell>
          <cell r="R595"/>
          <cell r="S595"/>
          <cell r="T595" t="str">
            <v>Dirección de título Máster Universitario &gt; 60 - 1 edición</v>
          </cell>
          <cell r="U595" t="str">
            <v>32</v>
          </cell>
          <cell r="V595"/>
          <cell r="W595"/>
          <cell r="X595">
            <v>0</v>
          </cell>
          <cell r="Y595">
            <v>0</v>
          </cell>
          <cell r="Z595">
            <v>0</v>
          </cell>
          <cell r="AA595"/>
          <cell r="AB595" t="str">
            <v>Active - IT leave</v>
          </cell>
          <cell r="AC595" t="str">
            <v>ACTIVO</v>
          </cell>
          <cell r="AD595">
            <v>45932</v>
          </cell>
          <cell r="AE595">
            <v>45669</v>
          </cell>
          <cell r="AF595"/>
          <cell r="AG595" t="str">
            <v>ENFERMEDAD</v>
          </cell>
          <cell r="AH595"/>
          <cell r="AI595" t="str">
            <v>29216710V</v>
          </cell>
        </row>
        <row r="596">
          <cell r="A596" t="str">
            <v>72987413H</v>
          </cell>
          <cell r="B596" t="str">
            <v>López Montoyo</v>
          </cell>
          <cell r="C596" t="str">
            <v>Alba</v>
          </cell>
          <cell r="D596" t="str">
            <v>López Montoyo, Alba</v>
          </cell>
          <cell r="E596" t="str">
            <v>alba.lopez.m</v>
          </cell>
          <cell r="F596" t="str">
            <v>alba.lopez.m@professional.universidadviu.com</v>
          </cell>
          <cell r="G596" t="str">
            <v>Yes</v>
          </cell>
          <cell r="H596" t="str">
            <v>NO</v>
          </cell>
          <cell r="I596" t="str">
            <v>Psicología</v>
          </cell>
          <cell r="J596" t="str">
            <v>Programa de Doctorado en Psicología</v>
          </cell>
          <cell r="K596" t="str">
            <v>Máster en Psicopatología, Salud y Neuropsicología</v>
          </cell>
          <cell r="L596" t="str">
            <v>Licenciatura en Psicología</v>
          </cell>
          <cell r="M596" t="str">
            <v>Professional</v>
          </cell>
          <cell r="N596" t="str">
            <v/>
          </cell>
          <cell r="O596" t="str">
            <v>CSS</v>
          </cell>
          <cell r="P596">
            <v>0</v>
          </cell>
          <cell r="Q596" t="str">
            <v xml:space="preserve"> </v>
          </cell>
          <cell r="R596"/>
          <cell r="S596"/>
          <cell r="T596" t="str">
            <v>Sin reducción</v>
          </cell>
          <cell r="U596">
            <v>0</v>
          </cell>
          <cell r="V596"/>
          <cell r="W596"/>
          <cell r="X596">
            <v>0</v>
          </cell>
          <cell r="Y596">
            <v>0</v>
          </cell>
          <cell r="Z596">
            <v>0</v>
          </cell>
          <cell r="AA596"/>
          <cell r="AB596" t="str">
            <v>Active - signed</v>
          </cell>
          <cell r="AC596" t="str">
            <v>ACTIVO</v>
          </cell>
          <cell r="AD596"/>
          <cell r="AE596"/>
          <cell r="AF596"/>
          <cell r="AG596"/>
          <cell r="AH596"/>
          <cell r="AI596" t="str">
            <v>72987413H</v>
          </cell>
        </row>
        <row r="597">
          <cell r="A597" t="str">
            <v>44896386H</v>
          </cell>
          <cell r="B597" t="str">
            <v>López Morales</v>
          </cell>
          <cell r="C597" t="str">
            <v>Mikahela Andrea</v>
          </cell>
          <cell r="D597" t="str">
            <v>López Morales, Mikahela Andrea</v>
          </cell>
          <cell r="E597" t="str">
            <v>mlopezm2@professional.universidadviu.com</v>
          </cell>
          <cell r="F597" t="str">
            <v>mlopezm2@professional.universidadviu.com</v>
          </cell>
          <cell r="G597" t="str">
            <v>Yes</v>
          </cell>
          <cell r="H597" t="str">
            <v>NO</v>
          </cell>
          <cell r="I597" t="str">
            <v>Doctorado en Fisiología</v>
          </cell>
          <cell r="J597" t="str">
            <v>Máster en Fisiología</v>
          </cell>
          <cell r="K597" t="str">
            <v>Licenciado en Kinesiología</v>
          </cell>
          <cell r="L597" t="str">
            <v/>
          </cell>
          <cell r="M597" t="str">
            <v>Professional</v>
          </cell>
          <cell r="N597"/>
          <cell r="O597" t="str">
            <v>CBS</v>
          </cell>
          <cell r="P597">
            <v>0</v>
          </cell>
          <cell r="Q597" t="str">
            <v xml:space="preserve"> </v>
          </cell>
          <cell r="R597"/>
          <cell r="S597"/>
          <cell r="T597" t="str">
            <v>Sin reducción</v>
          </cell>
          <cell r="U597">
            <v>0</v>
          </cell>
          <cell r="V597"/>
          <cell r="W597"/>
          <cell r="X597">
            <v>0</v>
          </cell>
          <cell r="Y597">
            <v>0</v>
          </cell>
          <cell r="Z597">
            <v>0</v>
          </cell>
          <cell r="AA597"/>
          <cell r="AB597" t="str">
            <v>Active - signed</v>
          </cell>
          <cell r="AC597" t="str">
            <v>ACTIVO</v>
          </cell>
          <cell r="AD597"/>
          <cell r="AE597"/>
          <cell r="AF597"/>
          <cell r="AG597"/>
          <cell r="AH597"/>
          <cell r="AI597" t="str">
            <v>44896386H</v>
          </cell>
        </row>
        <row r="598">
          <cell r="A598" t="str">
            <v>32091718W</v>
          </cell>
          <cell r="B598" t="str">
            <v>López Olmo</v>
          </cell>
          <cell r="C598" t="str">
            <v>Lidia</v>
          </cell>
          <cell r="D598" t="str">
            <v>López Olmo, Lidia</v>
          </cell>
          <cell r="E598" t="str">
            <v>lidia.lopezolmo</v>
          </cell>
          <cell r="F598" t="str">
            <v>llopezo@professional.universidadviu.com</v>
          </cell>
          <cell r="G598" t="str">
            <v>NO</v>
          </cell>
          <cell r="H598" t="str">
            <v>NO</v>
          </cell>
          <cell r="I598" t="str">
            <v>Máster Universitario en Cuidados de Enfermería en Urgencias y Emergencias</v>
          </cell>
          <cell r="J598" t="str">
            <v>Graduada en Enfermería</v>
          </cell>
          <cell r="K598" t="str">
            <v/>
          </cell>
          <cell r="L598" t="str">
            <v/>
          </cell>
          <cell r="M598" t="str">
            <v>Professional</v>
          </cell>
          <cell r="N598" t="str">
            <v/>
          </cell>
          <cell r="O598" t="str">
            <v>CBS</v>
          </cell>
          <cell r="P598">
            <v>0</v>
          </cell>
          <cell r="Q598" t="str">
            <v xml:space="preserve"> </v>
          </cell>
          <cell r="R598"/>
          <cell r="S598"/>
          <cell r="T598" t="str">
            <v>Sin reducción</v>
          </cell>
          <cell r="U598">
            <v>0</v>
          </cell>
          <cell r="V598"/>
          <cell r="W598"/>
          <cell r="X598">
            <v>0</v>
          </cell>
          <cell r="Y598">
            <v>0</v>
          </cell>
          <cell r="Z598">
            <v>0</v>
          </cell>
          <cell r="AA598"/>
          <cell r="AB598" t="str">
            <v>Active - signed</v>
          </cell>
          <cell r="AC598" t="str">
            <v>ACTIVO</v>
          </cell>
          <cell r="AD598"/>
          <cell r="AE598"/>
          <cell r="AF598"/>
          <cell r="AG598"/>
          <cell r="AH598"/>
          <cell r="AI598" t="str">
            <v>32091718W</v>
          </cell>
        </row>
        <row r="599">
          <cell r="A599" t="str">
            <v>76581817M</v>
          </cell>
          <cell r="B599" t="str">
            <v>López Pérez</v>
          </cell>
          <cell r="C599" t="str">
            <v>Maria Luisa</v>
          </cell>
          <cell r="D599" t="str">
            <v>López Pérez, Maria Luisa</v>
          </cell>
          <cell r="E599" t="str">
            <v>marialuisa.lopez.perez</v>
          </cell>
          <cell r="F599" t="str">
            <v>marialuisa.lopez.perez@professor.universidadviu.com</v>
          </cell>
          <cell r="G599" t="str">
            <v>NO</v>
          </cell>
          <cell r="H599" t="str">
            <v>NO</v>
          </cell>
          <cell r="I599" t="str">
            <v>Licenciada en Administración y Dirección de Empresas</v>
          </cell>
          <cell r="J599" t="str">
            <v/>
          </cell>
          <cell r="K599" t="str">
            <v/>
          </cell>
          <cell r="L599" t="str">
            <v/>
          </cell>
          <cell r="M599" t="str">
            <v>Labour</v>
          </cell>
          <cell r="N599" t="str">
            <v>Consultar a Escuela de Ciencias, Ingeniería y Arquitectura</v>
          </cell>
          <cell r="O599" t="str">
            <v>CSS</v>
          </cell>
          <cell r="P599" t="str">
            <v>75,00</v>
          </cell>
          <cell r="Q599" t="b">
            <v>0</v>
          </cell>
          <cell r="R599"/>
          <cell r="S599"/>
          <cell r="T599" t="str">
            <v>Sin reducción</v>
          </cell>
          <cell r="U599">
            <v>0</v>
          </cell>
          <cell r="V599">
            <v>34</v>
          </cell>
          <cell r="W599" t="str">
            <v>ESCUELA</v>
          </cell>
          <cell r="X599">
            <v>0</v>
          </cell>
          <cell r="Y599">
            <v>0</v>
          </cell>
          <cell r="Z599">
            <v>0</v>
          </cell>
          <cell r="AA599"/>
          <cell r="AB599" t="str">
            <v>Concluded</v>
          </cell>
          <cell r="AC599" t="str">
            <v>NO ACTIVO</v>
          </cell>
          <cell r="AD599"/>
          <cell r="AE599"/>
          <cell r="AF599">
            <v>46041</v>
          </cell>
          <cell r="AG599" t="str">
            <v>CESE DE CONTRATO</v>
          </cell>
          <cell r="AH599"/>
          <cell r="AI599" t="str">
            <v>76581817M</v>
          </cell>
        </row>
        <row r="600">
          <cell r="A600" t="str">
            <v>44861592T</v>
          </cell>
          <cell r="B600" t="str">
            <v>López Pérez</v>
          </cell>
          <cell r="C600" t="str">
            <v>Luis</v>
          </cell>
          <cell r="D600" t="str">
            <v>López Pérez, Luis</v>
          </cell>
          <cell r="E600" t="str">
            <v>luislopezp@professor.universidadviu.com</v>
          </cell>
          <cell r="F600" t="str">
            <v>luislopezp@professor.universidadviu.com</v>
          </cell>
          <cell r="G600" t="str">
            <v>NO</v>
          </cell>
          <cell r="H600" t="str">
            <v>NO</v>
          </cell>
          <cell r="I600" t="str">
            <v/>
          </cell>
          <cell r="J600" t="str">
            <v/>
          </cell>
          <cell r="K600" t="str">
            <v/>
          </cell>
          <cell r="L600" t="str">
            <v/>
          </cell>
          <cell r="M600" t="str">
            <v>Labour</v>
          </cell>
          <cell r="N600"/>
          <cell r="O600" t="str">
            <v>CBS</v>
          </cell>
          <cell r="P600">
            <v>100</v>
          </cell>
          <cell r="Q600" t="str">
            <v>50</v>
          </cell>
          <cell r="R600"/>
          <cell r="S600"/>
          <cell r="T600" t="str">
            <v>Director/a de centro</v>
          </cell>
          <cell r="U600">
            <v>26</v>
          </cell>
          <cell r="V600"/>
          <cell r="W600"/>
          <cell r="X600">
            <v>0</v>
          </cell>
          <cell r="Y600">
            <v>11.7</v>
          </cell>
          <cell r="Z600">
            <v>0</v>
          </cell>
          <cell r="AA600"/>
          <cell r="AB600" t="str">
            <v>Active - signed</v>
          </cell>
          <cell r="AC600" t="str">
            <v>ACTIVO</v>
          </cell>
          <cell r="AD600"/>
          <cell r="AE600"/>
          <cell r="AF600"/>
          <cell r="AG600"/>
          <cell r="AH600"/>
          <cell r="AI600" t="str">
            <v>44861592T</v>
          </cell>
        </row>
        <row r="601">
          <cell r="A601" t="str">
            <v>25409990G</v>
          </cell>
          <cell r="B601" t="str">
            <v>López Ruiz</v>
          </cell>
          <cell r="C601" t="str">
            <v>Pilar</v>
          </cell>
          <cell r="D601" t="str">
            <v>López Ruiz, Pilar</v>
          </cell>
          <cell r="E601" t="str">
            <v>pilar.lopez.r</v>
          </cell>
          <cell r="F601" t="str">
            <v>pilar.lopez.r@professional.universidadviu.com</v>
          </cell>
          <cell r="G601" t="str">
            <v>Yes</v>
          </cell>
          <cell r="H601" t="str">
            <v>NO</v>
          </cell>
          <cell r="I601" t="str">
            <v>Psicogerontología: Perspectiva del Ciclo Vital</v>
          </cell>
          <cell r="J601" t="str">
            <v/>
          </cell>
          <cell r="K601" t="str">
            <v/>
          </cell>
          <cell r="L601" t="str">
            <v/>
          </cell>
          <cell r="M601" t="str">
            <v>Professional</v>
          </cell>
          <cell r="N601" t="str">
            <v/>
          </cell>
          <cell r="O601" t="str">
            <v>CSS</v>
          </cell>
          <cell r="P601">
            <v>0</v>
          </cell>
          <cell r="Q601" t="str">
            <v xml:space="preserve"> </v>
          </cell>
          <cell r="R601"/>
          <cell r="S601"/>
          <cell r="T601" t="str">
            <v>Sin reducción</v>
          </cell>
          <cell r="U601">
            <v>0</v>
          </cell>
          <cell r="V601"/>
          <cell r="W601"/>
          <cell r="X601">
            <v>0</v>
          </cell>
          <cell r="Y601">
            <v>0</v>
          </cell>
          <cell r="Z601">
            <v>0</v>
          </cell>
          <cell r="AA601"/>
          <cell r="AB601" t="str">
            <v>Active - signed</v>
          </cell>
          <cell r="AC601" t="str">
            <v>ACTIVO</v>
          </cell>
          <cell r="AD601"/>
          <cell r="AE601"/>
          <cell r="AF601"/>
          <cell r="AG601"/>
          <cell r="AH601"/>
          <cell r="AI601" t="str">
            <v>25409990G</v>
          </cell>
        </row>
        <row r="602">
          <cell r="A602" t="str">
            <v>75070859D</v>
          </cell>
          <cell r="B602" t="str">
            <v>López Zamora</v>
          </cell>
          <cell r="C602" t="str">
            <v>Miguel</v>
          </cell>
          <cell r="D602" t="str">
            <v>López Zamora, Miguel</v>
          </cell>
          <cell r="E602" t="str">
            <v>mlopezz@professional.universidadviu.com</v>
          </cell>
          <cell r="F602" t="str">
            <v>mlopezz@professional.universidadviu.com</v>
          </cell>
          <cell r="G602" t="str">
            <v>Yes</v>
          </cell>
          <cell r="H602" t="str">
            <v>Yes</v>
          </cell>
          <cell r="I602" t="str">
            <v>Doctor en Psicología</v>
          </cell>
          <cell r="J602" t="str">
            <v>Licenciado en Psicología</v>
          </cell>
          <cell r="K602" t="str">
            <v/>
          </cell>
          <cell r="L602" t="str">
            <v/>
          </cell>
          <cell r="M602" t="str">
            <v>Professional</v>
          </cell>
          <cell r="N602" t="str">
            <v/>
          </cell>
          <cell r="O602" t="str">
            <v>CBS</v>
          </cell>
          <cell r="P602">
            <v>0</v>
          </cell>
          <cell r="Q602" t="str">
            <v xml:space="preserve"> </v>
          </cell>
          <cell r="R602"/>
          <cell r="S602"/>
          <cell r="T602" t="str">
            <v>Sin reducción</v>
          </cell>
          <cell r="U602">
            <v>0</v>
          </cell>
          <cell r="V602"/>
          <cell r="W602"/>
          <cell r="X602">
            <v>0</v>
          </cell>
          <cell r="Y602">
            <v>0</v>
          </cell>
          <cell r="Z602">
            <v>0</v>
          </cell>
          <cell r="AA602"/>
          <cell r="AB602" t="str">
            <v>Active - signed</v>
          </cell>
          <cell r="AC602" t="str">
            <v>ACTIVO</v>
          </cell>
          <cell r="AD602"/>
          <cell r="AE602"/>
          <cell r="AF602"/>
          <cell r="AG602"/>
          <cell r="AH602"/>
          <cell r="AI602" t="str">
            <v>75070859D</v>
          </cell>
        </row>
        <row r="603">
          <cell r="A603" t="str">
            <v>23300658W</v>
          </cell>
          <cell r="B603" t="str">
            <v>López Zaplana</v>
          </cell>
          <cell r="C603" t="str">
            <v>Álvaro</v>
          </cell>
          <cell r="D603" t="str">
            <v>López Zaplana, Álvaro</v>
          </cell>
          <cell r="E603" t="str">
            <v>alopezz@professional.universidadviu.com</v>
          </cell>
          <cell r="F603" t="str">
            <v>alopezz@professional.universidadviu.com</v>
          </cell>
          <cell r="G603" t="str">
            <v>Yes</v>
          </cell>
          <cell r="H603" t="str">
            <v>NO</v>
          </cell>
          <cell r="I603" t="str">
            <v>Máster en Biología Molecular y Biotecnología</v>
          </cell>
          <cell r="J603" t="str">
            <v>Doctor en Biología Molecular y Biotecnología</v>
          </cell>
          <cell r="K603" t="str">
            <v/>
          </cell>
          <cell r="L603" t="str">
            <v/>
          </cell>
          <cell r="M603" t="str">
            <v>Professional</v>
          </cell>
          <cell r="N603" t="str">
            <v/>
          </cell>
          <cell r="O603" t="str">
            <v>CBS</v>
          </cell>
          <cell r="P603">
            <v>0</v>
          </cell>
          <cell r="Q603" t="str">
            <v xml:space="preserve"> </v>
          </cell>
          <cell r="R603"/>
          <cell r="S603"/>
          <cell r="T603" t="str">
            <v>Sin reducción</v>
          </cell>
          <cell r="U603">
            <v>0</v>
          </cell>
          <cell r="V603"/>
          <cell r="W603"/>
          <cell r="X603">
            <v>0</v>
          </cell>
          <cell r="Y603">
            <v>0</v>
          </cell>
          <cell r="Z603">
            <v>0</v>
          </cell>
          <cell r="AA603"/>
          <cell r="AB603" t="str">
            <v>Active - signed</v>
          </cell>
          <cell r="AC603" t="str">
            <v>ACTIVO</v>
          </cell>
          <cell r="AD603"/>
          <cell r="AE603"/>
          <cell r="AF603"/>
          <cell r="AG603"/>
          <cell r="AH603"/>
          <cell r="AI603" t="str">
            <v>23300658W</v>
          </cell>
        </row>
        <row r="604">
          <cell r="A604" t="str">
            <v>29177184M</v>
          </cell>
          <cell r="B604" t="str">
            <v>López-Almansa Beaus</v>
          </cell>
          <cell r="C604" t="str">
            <v>Laura Emmanuela</v>
          </cell>
          <cell r="D604" t="str">
            <v>López-Almansa Beaus, Laura Emmanuela</v>
          </cell>
          <cell r="E604" t="str">
            <v>lauraemmanuela.lopezalmansa</v>
          </cell>
          <cell r="F604" t="str">
            <v>lauraemmanuela.lopezalmansa@professional.universidadviu.com</v>
          </cell>
          <cell r="G604" t="str">
            <v>Yes</v>
          </cell>
          <cell r="H604" t="str">
            <v>NO</v>
          </cell>
          <cell r="I604" t="str">
            <v>Máster Universitario en Gestión sanitaria</v>
          </cell>
          <cell r="J604" t="str">
            <v>Doctorado en Investigación y Desarrollo</v>
          </cell>
          <cell r="K604" t="str">
            <v>Diploma de Estudios Avanzados</v>
          </cell>
          <cell r="L604">
            <v>0</v>
          </cell>
          <cell r="M604" t="str">
            <v>Professional</v>
          </cell>
          <cell r="N604" t="str">
            <v/>
          </cell>
          <cell r="O604" t="str">
            <v>CBS</v>
          </cell>
          <cell r="P604">
            <v>0</v>
          </cell>
          <cell r="Q604" t="str">
            <v xml:space="preserve"> </v>
          </cell>
          <cell r="R604"/>
          <cell r="S604"/>
          <cell r="T604" t="str">
            <v>Sin reducción</v>
          </cell>
          <cell r="U604">
            <v>0</v>
          </cell>
          <cell r="V604"/>
          <cell r="W604"/>
          <cell r="X604">
            <v>0</v>
          </cell>
          <cell r="Y604">
            <v>0</v>
          </cell>
          <cell r="Z604">
            <v>0</v>
          </cell>
          <cell r="AA604"/>
          <cell r="AB604" t="str">
            <v>Active - signed</v>
          </cell>
          <cell r="AC604" t="str">
            <v>ACTIVO</v>
          </cell>
          <cell r="AD604"/>
          <cell r="AE604"/>
          <cell r="AF604"/>
          <cell r="AG604"/>
          <cell r="AH604"/>
          <cell r="AI604" t="str">
            <v>29177184M</v>
          </cell>
        </row>
        <row r="605">
          <cell r="A605" t="str">
            <v>18992078N</v>
          </cell>
          <cell r="B605" t="str">
            <v>Lorente Rovira</v>
          </cell>
          <cell r="C605" t="str">
            <v>Ester</v>
          </cell>
          <cell r="D605" t="str">
            <v>Lorente Rovira, Ester</v>
          </cell>
          <cell r="E605" t="str">
            <v>elorenter@professional.universidadviu.com</v>
          </cell>
          <cell r="F605" t="str">
            <v>elorenter@professional.universidadviu.com</v>
          </cell>
          <cell r="G605" t="str">
            <v>Yes</v>
          </cell>
          <cell r="H605" t="str">
            <v>NO</v>
          </cell>
          <cell r="I605" t="str">
            <v>Programa Enfoques actuales en Psicología Clinica y Experimental</v>
          </cell>
          <cell r="J605" t="str">
            <v>MPhil in Medical Science, Department of Psychiatry</v>
          </cell>
          <cell r="K605" t="str">
            <v>Licenciada en Psicologia</v>
          </cell>
          <cell r="L605" t="str">
            <v/>
          </cell>
          <cell r="M605" t="str">
            <v>Professional</v>
          </cell>
          <cell r="N605" t="str">
            <v/>
          </cell>
          <cell r="O605" t="str">
            <v>CSS</v>
          </cell>
          <cell r="P605">
            <v>0</v>
          </cell>
          <cell r="Q605" t="str">
            <v xml:space="preserve"> </v>
          </cell>
          <cell r="R605"/>
          <cell r="S605"/>
          <cell r="T605" t="str">
            <v>Sin reducción</v>
          </cell>
          <cell r="U605">
            <v>0</v>
          </cell>
          <cell r="V605"/>
          <cell r="W605"/>
          <cell r="X605">
            <v>0</v>
          </cell>
          <cell r="Y605">
            <v>0</v>
          </cell>
          <cell r="Z605">
            <v>0</v>
          </cell>
          <cell r="AA605"/>
          <cell r="AB605" t="str">
            <v>Active - signed</v>
          </cell>
          <cell r="AC605" t="str">
            <v>ACTIVO</v>
          </cell>
          <cell r="AD605"/>
          <cell r="AE605"/>
          <cell r="AF605"/>
          <cell r="AG605"/>
          <cell r="AH605"/>
          <cell r="AI605" t="str">
            <v>18992078N</v>
          </cell>
        </row>
        <row r="606">
          <cell r="A606"/>
          <cell r="B606" t="str">
            <v>Lorenzo Sánchez</v>
          </cell>
          <cell r="C606" t="str">
            <v>Gemma Pilar</v>
          </cell>
          <cell r="D606" t="str">
            <v>Lorenzo Sánchez, Gemma Pilar</v>
          </cell>
          <cell r="E606" t="e">
            <v>#VALUE!</v>
          </cell>
          <cell r="F606"/>
          <cell r="G606" t="e">
            <v>#VALUE!</v>
          </cell>
          <cell r="H606" t="e">
            <v>#VALUE!</v>
          </cell>
          <cell r="I606" t="str">
            <v/>
          </cell>
          <cell r="J606" t="str">
            <v/>
          </cell>
          <cell r="K606" t="str">
            <v/>
          </cell>
          <cell r="L606" t="str">
            <v/>
          </cell>
          <cell r="M606" t="e">
            <v>#VALUE!</v>
          </cell>
          <cell r="N606"/>
          <cell r="O606" t="str">
            <v>CBS</v>
          </cell>
          <cell r="P606">
            <v>1</v>
          </cell>
          <cell r="Q606" t="b">
            <v>0</v>
          </cell>
          <cell r="R606"/>
          <cell r="S606"/>
          <cell r="T606" t="str">
            <v>Sin reducción</v>
          </cell>
          <cell r="U606">
            <v>0</v>
          </cell>
          <cell r="V606"/>
          <cell r="W606"/>
          <cell r="X606">
            <v>0</v>
          </cell>
          <cell r="Y606">
            <v>0</v>
          </cell>
          <cell r="Z606">
            <v>0</v>
          </cell>
          <cell r="AA606"/>
          <cell r="AB606" t="e">
            <v>#VALUE!</v>
          </cell>
          <cell r="AC606" t="str">
            <v>ACTIVO</v>
          </cell>
          <cell r="AD606"/>
          <cell r="AE606"/>
          <cell r="AF606"/>
          <cell r="AG606"/>
          <cell r="AH606"/>
          <cell r="AI606">
            <v>0</v>
          </cell>
        </row>
        <row r="607">
          <cell r="A607" t="str">
            <v>06274187V</v>
          </cell>
          <cell r="B607" t="str">
            <v>Lorenzo Sánchez-Aguilera</v>
          </cell>
          <cell r="C607" t="str">
            <v>Cristina</v>
          </cell>
          <cell r="D607" t="str">
            <v>Lorenzo Sánchez-Aguilera, Cristina</v>
          </cell>
          <cell r="E607" t="str">
            <v>clorenzos@professional.universidadviu.com</v>
          </cell>
          <cell r="F607" t="str">
            <v>clorenzos@professional.universidadviu.com</v>
          </cell>
          <cell r="G607" t="str">
            <v>Yes</v>
          </cell>
          <cell r="H607" t="str">
            <v>NO</v>
          </cell>
          <cell r="I607" t="str">
            <v/>
          </cell>
          <cell r="J607" t="str">
            <v/>
          </cell>
          <cell r="K607" t="str">
            <v/>
          </cell>
          <cell r="L607" t="str">
            <v/>
          </cell>
          <cell r="M607" t="str">
            <v>Professional</v>
          </cell>
          <cell r="N607"/>
          <cell r="O607" t="str">
            <v>CBS</v>
          </cell>
          <cell r="P607">
            <v>0</v>
          </cell>
          <cell r="Q607" t="str">
            <v xml:space="preserve"> </v>
          </cell>
          <cell r="R607"/>
          <cell r="S607"/>
          <cell r="T607" t="str">
            <v>Sin reducción</v>
          </cell>
          <cell r="U607">
            <v>0</v>
          </cell>
          <cell r="V607"/>
          <cell r="W607"/>
          <cell r="X607">
            <v>0</v>
          </cell>
          <cell r="Y607">
            <v>0</v>
          </cell>
          <cell r="Z607">
            <v>0</v>
          </cell>
          <cell r="AA607"/>
          <cell r="AB607" t="str">
            <v>Active - signed</v>
          </cell>
          <cell r="AC607" t="str">
            <v>ACTIVO</v>
          </cell>
          <cell r="AD607"/>
          <cell r="AE607"/>
          <cell r="AF607"/>
          <cell r="AG607"/>
          <cell r="AH607"/>
          <cell r="AI607" t="str">
            <v>06274187V</v>
          </cell>
        </row>
        <row r="608">
          <cell r="A608" t="str">
            <v>44528805T</v>
          </cell>
          <cell r="B608" t="str">
            <v>Lozano García</v>
          </cell>
          <cell r="C608" t="str">
            <v>Alejandro</v>
          </cell>
          <cell r="D608" t="str">
            <v>Lozano García, Alejandro</v>
          </cell>
          <cell r="E608" t="str">
            <v>alejandro.lozano</v>
          </cell>
          <cell r="F608" t="str">
            <v>alejandro.lozano@professor.universidadviu.com</v>
          </cell>
          <cell r="G608" t="str">
            <v>Yes</v>
          </cell>
          <cell r="H608" t="str">
            <v>Yes</v>
          </cell>
          <cell r="I608" t="str">
            <v>Programa de Doctorado en Neurociencias/ Departamento de Psicobiología</v>
          </cell>
          <cell r="J608" t="str">
            <v>Programa de Doctorado en Neurociencias/ Departamento de Psicobiología</v>
          </cell>
          <cell r="K608" t="str">
            <v>Máster Universitario en Piscología General Sanitaria</v>
          </cell>
          <cell r="L608" t="str">
            <v>Máster universitario en neurociencias básicas y aplicadas</v>
          </cell>
          <cell r="M608" t="str">
            <v>Labour</v>
          </cell>
          <cell r="N608" t="str">
            <v>Aliño Costa, Marta</v>
          </cell>
          <cell r="O608" t="str">
            <v>CSS</v>
          </cell>
          <cell r="P608">
            <v>100</v>
          </cell>
          <cell r="Q608" t="str">
            <v>50</v>
          </cell>
          <cell r="R608"/>
          <cell r="S608"/>
          <cell r="T608" t="str">
            <v>Sin reducción</v>
          </cell>
          <cell r="U608">
            <v>0</v>
          </cell>
          <cell r="V608"/>
          <cell r="W608"/>
          <cell r="X608">
            <v>46.1</v>
          </cell>
          <cell r="Y608">
            <v>0</v>
          </cell>
          <cell r="Z608">
            <v>1.4</v>
          </cell>
          <cell r="AA608"/>
          <cell r="AB608" t="str">
            <v>Active - signed</v>
          </cell>
          <cell r="AC608" t="str">
            <v>ACTIVO</v>
          </cell>
          <cell r="AD608"/>
          <cell r="AE608"/>
          <cell r="AF608"/>
          <cell r="AG608"/>
          <cell r="AH608"/>
          <cell r="AI608" t="str">
            <v>44528805T</v>
          </cell>
        </row>
        <row r="609">
          <cell r="A609" t="str">
            <v>15520626L</v>
          </cell>
          <cell r="B609" t="str">
            <v>Lozano Ruiz</v>
          </cell>
          <cell r="C609" t="str">
            <v>Álvaro</v>
          </cell>
          <cell r="D609" t="str">
            <v>Lozano Ruiz, Álvaro</v>
          </cell>
          <cell r="E609" t="str">
            <v>alvaro.lozano</v>
          </cell>
          <cell r="F609" t="str">
            <v>alvaro.lozano@professor.universidadviu.com</v>
          </cell>
          <cell r="G609" t="str">
            <v>Yes</v>
          </cell>
          <cell r="H609" t="str">
            <v>Yes</v>
          </cell>
          <cell r="I609" t="str">
            <v>Máster universitario en Metodología de las Ciencias del Comportamiento y de la Salud</v>
          </cell>
          <cell r="J609" t="str">
            <v>Grado en Psicología</v>
          </cell>
          <cell r="K609" t="str">
            <v>Programa de Doctorado en Psicología</v>
          </cell>
          <cell r="L609" t="str">
            <v/>
          </cell>
          <cell r="M609" t="str">
            <v>Labour</v>
          </cell>
          <cell r="N609" t="str">
            <v>Aliño Costa, Marta</v>
          </cell>
          <cell r="O609" t="str">
            <v>CSS</v>
          </cell>
          <cell r="P609">
            <v>100</v>
          </cell>
          <cell r="Q609" t="str">
            <v>50</v>
          </cell>
          <cell r="R609"/>
          <cell r="S609"/>
          <cell r="T609" t="str">
            <v>Subdirector/Coordinador de Máster</v>
          </cell>
          <cell r="U609">
            <v>32</v>
          </cell>
          <cell r="V609"/>
          <cell r="W609"/>
          <cell r="X609">
            <v>12.1</v>
          </cell>
          <cell r="Y609">
            <v>0</v>
          </cell>
          <cell r="Z609">
            <v>0</v>
          </cell>
          <cell r="AA609"/>
          <cell r="AB609" t="str">
            <v>Active - signed</v>
          </cell>
          <cell r="AC609" t="str">
            <v>ACTIVO</v>
          </cell>
          <cell r="AD609"/>
          <cell r="AE609"/>
          <cell r="AF609"/>
          <cell r="AG609"/>
          <cell r="AH609"/>
          <cell r="AI609" t="str">
            <v>15520626L</v>
          </cell>
        </row>
        <row r="610">
          <cell r="A610" t="str">
            <v>Y2825825J</v>
          </cell>
          <cell r="B610" t="str">
            <v>Lucantoni</v>
          </cell>
          <cell r="C610" t="str">
            <v>Federico</v>
          </cell>
          <cell r="D610" t="str">
            <v>Lucantoni, Federico</v>
          </cell>
          <cell r="E610" t="str">
            <v>federico.lucantoni</v>
          </cell>
          <cell r="F610" t="str">
            <v>federico.lucantoni@professional.universidadviu.com</v>
          </cell>
          <cell r="G610" t="str">
            <v>Yes</v>
          </cell>
          <cell r="H610" t="str">
            <v>Yes</v>
          </cell>
          <cell r="I610" t="str">
            <v>Biología y Genética</v>
          </cell>
          <cell r="J610" t="str">
            <v>Laurea Magistrale in Biologia Cellulare e Molecolare</v>
          </cell>
          <cell r="K610" t="str">
            <v/>
          </cell>
          <cell r="L610" t="str">
            <v/>
          </cell>
          <cell r="M610" t="str">
            <v>Professional</v>
          </cell>
          <cell r="N610" t="str">
            <v/>
          </cell>
          <cell r="O610" t="str">
            <v>CBS</v>
          </cell>
          <cell r="P610">
            <v>0</v>
          </cell>
          <cell r="Q610" t="str">
            <v xml:space="preserve"> </v>
          </cell>
          <cell r="R610"/>
          <cell r="S610"/>
          <cell r="T610" t="str">
            <v>Sin reducción</v>
          </cell>
          <cell r="U610">
            <v>0</v>
          </cell>
          <cell r="V610"/>
          <cell r="W610"/>
          <cell r="X610">
            <v>0</v>
          </cell>
          <cell r="Y610">
            <v>0</v>
          </cell>
          <cell r="Z610">
            <v>0</v>
          </cell>
          <cell r="AA610"/>
          <cell r="AB610" t="str">
            <v>Active - signed</v>
          </cell>
          <cell r="AC610" t="str">
            <v>ACTIVO</v>
          </cell>
          <cell r="AD610"/>
          <cell r="AE610"/>
          <cell r="AF610"/>
          <cell r="AG610"/>
          <cell r="AH610"/>
          <cell r="AI610" t="str">
            <v>Y2825825J</v>
          </cell>
        </row>
        <row r="611">
          <cell r="A611" t="str">
            <v>46843041E</v>
          </cell>
          <cell r="B611" t="str">
            <v>Lucas Blanco</v>
          </cell>
          <cell r="C611" t="str">
            <v>Fernando</v>
          </cell>
          <cell r="D611" t="str">
            <v>Lucas Blanco, Fernando</v>
          </cell>
          <cell r="E611" t="str">
            <v>fernando.lucas@professional.universidadviu.com</v>
          </cell>
          <cell r="F611" t="str">
            <v>fernando.lucas@professional.universidadviu.com</v>
          </cell>
          <cell r="G611" t="str">
            <v>NO</v>
          </cell>
          <cell r="H611" t="str">
            <v>NO</v>
          </cell>
          <cell r="I611" t="str">
            <v>MASTER PSICOLOGIA GENERAL SANITARIA</v>
          </cell>
          <cell r="J611" t="str">
            <v>LICENCIADO EN PSICOLOGIA</v>
          </cell>
          <cell r="K611" t="str">
            <v/>
          </cell>
          <cell r="L611" t="str">
            <v/>
          </cell>
          <cell r="M611" t="str">
            <v>Professional</v>
          </cell>
          <cell r="N611" t="str">
            <v/>
          </cell>
          <cell r="O611" t="str">
            <v>CSS</v>
          </cell>
          <cell r="P611">
            <v>0</v>
          </cell>
          <cell r="Q611" t="str">
            <v xml:space="preserve"> </v>
          </cell>
          <cell r="R611"/>
          <cell r="S611"/>
          <cell r="T611" t="str">
            <v>Sin reducción</v>
          </cell>
          <cell r="U611">
            <v>0</v>
          </cell>
          <cell r="V611"/>
          <cell r="W611"/>
          <cell r="X611">
            <v>0</v>
          </cell>
          <cell r="Y611">
            <v>0</v>
          </cell>
          <cell r="Z611">
            <v>0</v>
          </cell>
          <cell r="AA611"/>
          <cell r="AB611" t="str">
            <v>Active - signed</v>
          </cell>
          <cell r="AC611" t="str">
            <v>ACTIVO</v>
          </cell>
          <cell r="AD611"/>
          <cell r="AE611"/>
          <cell r="AF611"/>
          <cell r="AG611"/>
          <cell r="AH611"/>
          <cell r="AI611" t="str">
            <v>46843041E</v>
          </cell>
        </row>
        <row r="612">
          <cell r="A612" t="str">
            <v>24461911P</v>
          </cell>
          <cell r="B612" t="str">
            <v>Luna Calcaño</v>
          </cell>
          <cell r="C612" t="str">
            <v>Inés María</v>
          </cell>
          <cell r="D612" t="str">
            <v>Luna Calcaño, Inés María</v>
          </cell>
          <cell r="E612" t="str">
            <v>inesmaria.luna</v>
          </cell>
          <cell r="F612"/>
          <cell r="G612" t="str">
            <v>Yes</v>
          </cell>
          <cell r="H612" t="str">
            <v>NO</v>
          </cell>
          <cell r="I612" t="str">
            <v>Medicina</v>
          </cell>
          <cell r="J612" t="str">
            <v>Especialista en Medicina Familiar y Comunitaria</v>
          </cell>
          <cell r="K612" t="str">
            <v>Licenciatura en Medicina</v>
          </cell>
          <cell r="L612" t="str">
            <v/>
          </cell>
          <cell r="M612" t="str">
            <v>Professional</v>
          </cell>
          <cell r="N612" t="str">
            <v/>
          </cell>
          <cell r="O612" t="str">
            <v>CBS</v>
          </cell>
          <cell r="P612">
            <v>0</v>
          </cell>
          <cell r="Q612" t="str">
            <v xml:space="preserve"> </v>
          </cell>
          <cell r="R612"/>
          <cell r="S612"/>
          <cell r="T612" t="str">
            <v>Sin reducción</v>
          </cell>
          <cell r="U612">
            <v>0</v>
          </cell>
          <cell r="V612"/>
          <cell r="W612"/>
          <cell r="X612">
            <v>0</v>
          </cell>
          <cell r="Y612">
            <v>0</v>
          </cell>
          <cell r="Z612">
            <v>0</v>
          </cell>
          <cell r="AA612"/>
          <cell r="AB612" t="str">
            <v>Concluded</v>
          </cell>
          <cell r="AC612" t="str">
            <v>NO ACTIVO</v>
          </cell>
          <cell r="AD612"/>
          <cell r="AE612"/>
          <cell r="AF612">
            <v>45011</v>
          </cell>
          <cell r="AG612" t="str">
            <v>CESE DE CONTRATO</v>
          </cell>
          <cell r="AH612"/>
          <cell r="AI612" t="str">
            <v>24461911P</v>
          </cell>
        </row>
        <row r="613">
          <cell r="A613" t="str">
            <v>Y4910472D</v>
          </cell>
          <cell r="B613" t="str">
            <v>Luna Ovalle</v>
          </cell>
          <cell r="C613" t="str">
            <v>Paula</v>
          </cell>
          <cell r="D613" t="str">
            <v>Luna Ovalle, Paula</v>
          </cell>
          <cell r="E613" t="str">
            <v>paula.luna</v>
          </cell>
          <cell r="F613" t="str">
            <v>paula.luna@professor.universidadviu.com</v>
          </cell>
          <cell r="G613" t="str">
            <v>Yes</v>
          </cell>
          <cell r="H613" t="str">
            <v>NO</v>
          </cell>
          <cell r="I613" t="str">
            <v>Psicología</v>
          </cell>
          <cell r="J613" t="str">
            <v>Máster en Dirección y Gestión de Recursos Humanos</v>
          </cell>
          <cell r="K613" t="str">
            <v>Máster en Dirección y Gestión de Recursos Humanos</v>
          </cell>
          <cell r="L613" t="str">
            <v>Licenciada en Psicología Clínica</v>
          </cell>
          <cell r="M613" t="str">
            <v>Labour</v>
          </cell>
          <cell r="N613" t="str">
            <v>Rama Galdón, Encarnación</v>
          </cell>
          <cell r="O613" t="str">
            <v>CSS</v>
          </cell>
          <cell r="P613">
            <v>100</v>
          </cell>
          <cell r="Q613" t="str">
            <v>50</v>
          </cell>
          <cell r="R613"/>
          <cell r="S613"/>
          <cell r="T613" t="str">
            <v>Subdirector/Coordinador de Grado - 2 ediciones</v>
          </cell>
          <cell r="U613">
            <v>38</v>
          </cell>
          <cell r="V613"/>
          <cell r="W613"/>
          <cell r="X613">
            <v>7.8</v>
          </cell>
          <cell r="Y613">
            <v>0</v>
          </cell>
          <cell r="Z613">
            <v>0</v>
          </cell>
          <cell r="AA613"/>
          <cell r="AB613" t="str">
            <v>Active - signed</v>
          </cell>
          <cell r="AC613" t="str">
            <v>ACTIVO</v>
          </cell>
          <cell r="AD613"/>
          <cell r="AE613"/>
          <cell r="AF613"/>
          <cell r="AG613"/>
          <cell r="AH613"/>
          <cell r="AI613" t="str">
            <v>Y4910472D</v>
          </cell>
        </row>
        <row r="614">
          <cell r="A614" t="str">
            <v>77588587L</v>
          </cell>
          <cell r="B614" t="str">
            <v>Luna Rivas</v>
          </cell>
          <cell r="C614" t="str">
            <v>Sara</v>
          </cell>
          <cell r="D614" t="str">
            <v>Luna Rivas, Sara</v>
          </cell>
          <cell r="E614" t="str">
            <v>slunar@professional.universidadviu.com</v>
          </cell>
          <cell r="F614" t="str">
            <v>slunar@professional.universidadviu.com</v>
          </cell>
          <cell r="G614" t="str">
            <v>Yes</v>
          </cell>
          <cell r="H614" t="str">
            <v>Yes</v>
          </cell>
          <cell r="I614" t="str">
            <v>Licenciada en Psicología</v>
          </cell>
          <cell r="J614" t="str">
            <v>Doctora en psicología</v>
          </cell>
          <cell r="K614" t="str">
            <v/>
          </cell>
          <cell r="L614" t="str">
            <v/>
          </cell>
          <cell r="M614" t="str">
            <v>Professional</v>
          </cell>
          <cell r="N614" t="str">
            <v/>
          </cell>
          <cell r="O614" t="str">
            <v>CSS</v>
          </cell>
          <cell r="P614">
            <v>0</v>
          </cell>
          <cell r="Q614" t="str">
            <v xml:space="preserve"> </v>
          </cell>
          <cell r="R614"/>
          <cell r="S614"/>
          <cell r="T614" t="str">
            <v>Sin reducción</v>
          </cell>
          <cell r="U614">
            <v>0</v>
          </cell>
          <cell r="V614"/>
          <cell r="W614"/>
          <cell r="X614">
            <v>0</v>
          </cell>
          <cell r="Y614">
            <v>0</v>
          </cell>
          <cell r="Z614">
            <v>0</v>
          </cell>
          <cell r="AA614"/>
          <cell r="AB614" t="str">
            <v>Active - signed</v>
          </cell>
          <cell r="AC614" t="str">
            <v>ACTIVO</v>
          </cell>
          <cell r="AD614"/>
          <cell r="AE614"/>
          <cell r="AF614"/>
          <cell r="AG614"/>
          <cell r="AH614"/>
          <cell r="AI614" t="str">
            <v>77588587L</v>
          </cell>
        </row>
        <row r="615">
          <cell r="A615" t="str">
            <v>76047823W</v>
          </cell>
          <cell r="B615" t="str">
            <v>Macedo Pascual</v>
          </cell>
          <cell r="C615" t="str">
            <v>Joaquín</v>
          </cell>
          <cell r="D615" t="str">
            <v>Macedo Pascual, Joaquín</v>
          </cell>
          <cell r="E615" t="str">
            <v>jmacedop@professional.universidadviu.com</v>
          </cell>
          <cell r="F615" t="str">
            <v>jmacedop@professional.universidadviu.com</v>
          </cell>
          <cell r="G615" t="str">
            <v>Yes</v>
          </cell>
          <cell r="H615" t="str">
            <v>NO</v>
          </cell>
          <cell r="I615" t="str">
            <v>Doctorado en Psicología</v>
          </cell>
          <cell r="J615" t="str">
            <v>Máster Universitario en Neurociencias</v>
          </cell>
          <cell r="K615" t="str">
            <v>Grado en Psicología</v>
          </cell>
          <cell r="L615" t="str">
            <v/>
          </cell>
          <cell r="M615" t="str">
            <v>Professional</v>
          </cell>
          <cell r="N615"/>
          <cell r="O615" t="str">
            <v>CSS</v>
          </cell>
          <cell r="P615">
            <v>0</v>
          </cell>
          <cell r="Q615" t="str">
            <v xml:space="preserve"> </v>
          </cell>
          <cell r="R615"/>
          <cell r="S615"/>
          <cell r="T615" t="str">
            <v>Sin reducción</v>
          </cell>
          <cell r="U615">
            <v>0</v>
          </cell>
          <cell r="V615"/>
          <cell r="W615"/>
          <cell r="X615">
            <v>0</v>
          </cell>
          <cell r="Y615">
            <v>0</v>
          </cell>
          <cell r="Z615">
            <v>0</v>
          </cell>
          <cell r="AA615"/>
          <cell r="AB615" t="str">
            <v>Active - signed</v>
          </cell>
          <cell r="AC615" t="str">
            <v>ACTIVO</v>
          </cell>
          <cell r="AD615"/>
          <cell r="AE615"/>
          <cell r="AF615"/>
          <cell r="AG615"/>
          <cell r="AH615"/>
          <cell r="AI615" t="str">
            <v>76047823W</v>
          </cell>
        </row>
        <row r="616">
          <cell r="A616" t="str">
            <v>78978259P</v>
          </cell>
          <cell r="B616" t="str">
            <v>Macías Morón</v>
          </cell>
          <cell r="C616" t="str">
            <v>Juan José</v>
          </cell>
          <cell r="D616" t="str">
            <v>Macías Morón, Juan José</v>
          </cell>
          <cell r="E616" t="str">
            <v>juanjose.macias</v>
          </cell>
          <cell r="F616" t="str">
            <v>juanjose.macias@professional.universidadviu.com</v>
          </cell>
          <cell r="G616" t="str">
            <v>Yes</v>
          </cell>
          <cell r="H616" t="str">
            <v>NO</v>
          </cell>
          <cell r="I616" t="str">
            <v>Psicología</v>
          </cell>
          <cell r="J616" t="str">
            <v>Programa de Doctorado en Psicología</v>
          </cell>
          <cell r="K616" t="str">
            <v/>
          </cell>
          <cell r="L616" t="str">
            <v/>
          </cell>
          <cell r="M616" t="str">
            <v>Professional</v>
          </cell>
          <cell r="N616" t="str">
            <v/>
          </cell>
          <cell r="O616" t="str">
            <v>CSS</v>
          </cell>
          <cell r="P616">
            <v>0</v>
          </cell>
          <cell r="Q616" t="str">
            <v xml:space="preserve"> </v>
          </cell>
          <cell r="R616"/>
          <cell r="S616"/>
          <cell r="T616" t="str">
            <v>Sin reducción</v>
          </cell>
          <cell r="U616">
            <v>0</v>
          </cell>
          <cell r="V616"/>
          <cell r="W616"/>
          <cell r="X616">
            <v>0</v>
          </cell>
          <cell r="Y616">
            <v>0</v>
          </cell>
          <cell r="Z616">
            <v>0</v>
          </cell>
          <cell r="AA616"/>
          <cell r="AB616" t="str">
            <v>Active - signed</v>
          </cell>
          <cell r="AC616" t="str">
            <v>ACTIVO</v>
          </cell>
          <cell r="AD616"/>
          <cell r="AE616"/>
          <cell r="AF616"/>
          <cell r="AG616"/>
          <cell r="AH616"/>
          <cell r="AI616" t="str">
            <v>78978259P</v>
          </cell>
        </row>
        <row r="617">
          <cell r="A617" t="str">
            <v>06714145P</v>
          </cell>
          <cell r="B617" t="str">
            <v>Macuare Richard</v>
          </cell>
          <cell r="C617" t="str">
            <v>Melissa Cristina</v>
          </cell>
          <cell r="D617" t="str">
            <v>Macuare Richard, Melissa Cristina</v>
          </cell>
          <cell r="E617" t="str">
            <v>mmacuarer@professional.universidadviu.com</v>
          </cell>
          <cell r="F617" t="str">
            <v>mmacuarer@professional.universidadviu.com</v>
          </cell>
          <cell r="G617" t="str">
            <v>NO</v>
          </cell>
          <cell r="H617" t="str">
            <v>NO</v>
          </cell>
          <cell r="I617" t="str">
            <v>DOCTORADO EN PSICOLOGIA MUJERES Y SALUD</v>
          </cell>
          <cell r="J617" t="str">
            <v>MÁSTER OFICIAL PSICOLOGÍA MUJERES Y SALUD</v>
          </cell>
          <cell r="K617" t="str">
            <v>Licenciada en Criminología (Título homologado)</v>
          </cell>
          <cell r="L617" t="str">
            <v/>
          </cell>
          <cell r="M617" t="str">
            <v>Professional</v>
          </cell>
          <cell r="N617" t="str">
            <v/>
          </cell>
          <cell r="O617" t="str">
            <v>CSS</v>
          </cell>
          <cell r="P617">
            <v>0</v>
          </cell>
          <cell r="Q617" t="str">
            <v xml:space="preserve"> </v>
          </cell>
          <cell r="R617"/>
          <cell r="S617"/>
          <cell r="T617" t="str">
            <v>Sin reducción</v>
          </cell>
          <cell r="U617">
            <v>0</v>
          </cell>
          <cell r="V617"/>
          <cell r="W617"/>
          <cell r="X617">
            <v>0</v>
          </cell>
          <cell r="Y617">
            <v>0</v>
          </cell>
          <cell r="Z617">
            <v>0</v>
          </cell>
          <cell r="AA617"/>
          <cell r="AB617" t="str">
            <v>Active - signed</v>
          </cell>
          <cell r="AC617" t="str">
            <v>ACTIVO</v>
          </cell>
          <cell r="AD617"/>
          <cell r="AE617"/>
          <cell r="AF617"/>
          <cell r="AG617"/>
          <cell r="AH617"/>
          <cell r="AI617" t="str">
            <v>06714145P</v>
          </cell>
        </row>
        <row r="618">
          <cell r="A618" t="str">
            <v>85087075R</v>
          </cell>
          <cell r="B618" t="str">
            <v>Madrid Mañez</v>
          </cell>
          <cell r="C618" t="str">
            <v>Elena</v>
          </cell>
          <cell r="D618" t="str">
            <v>Madrid Mañez, Elena</v>
          </cell>
          <cell r="E618" t="str">
            <v>elena.madrid</v>
          </cell>
          <cell r="F618" t="str">
            <v>elena.madrid@professional.universidadviu.com</v>
          </cell>
          <cell r="G618" t="str">
            <v>Yes</v>
          </cell>
          <cell r="H618" t="str">
            <v>Yes</v>
          </cell>
          <cell r="I618" t="str">
            <v>Farmacia</v>
          </cell>
          <cell r="J618" t="str">
            <v>Programa Oficial de Doctorado en Parasitología Humana y ANimal</v>
          </cell>
          <cell r="K618" t="str">
            <v>Máster Universitario en Enfermedades Parasitarias Tropicales</v>
          </cell>
          <cell r="L618" t="str">
            <v/>
          </cell>
          <cell r="M618" t="str">
            <v>Professional</v>
          </cell>
          <cell r="N618" t="str">
            <v/>
          </cell>
          <cell r="O618" t="str">
            <v>CBS</v>
          </cell>
          <cell r="P618">
            <v>0</v>
          </cell>
          <cell r="Q618" t="str">
            <v xml:space="preserve"> </v>
          </cell>
          <cell r="R618"/>
          <cell r="S618"/>
          <cell r="T618" t="str">
            <v>Sin reducción</v>
          </cell>
          <cell r="U618">
            <v>0</v>
          </cell>
          <cell r="V618"/>
          <cell r="W618"/>
          <cell r="X618">
            <v>0</v>
          </cell>
          <cell r="Y618">
            <v>0</v>
          </cell>
          <cell r="Z618">
            <v>0</v>
          </cell>
          <cell r="AA618"/>
          <cell r="AB618" t="str">
            <v>Active - signed</v>
          </cell>
          <cell r="AC618" t="str">
            <v>ACTIVO</v>
          </cell>
          <cell r="AD618"/>
          <cell r="AE618"/>
          <cell r="AF618"/>
          <cell r="AG618"/>
          <cell r="AH618"/>
          <cell r="AI618" t="str">
            <v>85087075R</v>
          </cell>
        </row>
        <row r="619">
          <cell r="A619" t="str">
            <v>03917950S</v>
          </cell>
          <cell r="B619" t="str">
            <v>Magán Maganto</v>
          </cell>
          <cell r="C619" t="str">
            <v>Maria del Carmen</v>
          </cell>
          <cell r="D619" t="str">
            <v>Magán Maganto, Maria del Carmen</v>
          </cell>
          <cell r="E619" t="str">
            <v>mariadelcarmen.magan</v>
          </cell>
          <cell r="F619" t="str">
            <v>mariadelcarmen.magan@professional.universidadviu.com</v>
          </cell>
          <cell r="G619" t="str">
            <v>Yes</v>
          </cell>
          <cell r="H619" t="str">
            <v>Yes</v>
          </cell>
          <cell r="I619" t="str">
            <v>Psicología</v>
          </cell>
          <cell r="J619" t="str">
            <v>Doctorado en Neurociencias</v>
          </cell>
          <cell r="K619" t="str">
            <v>Máster universitario en Neuropsicología</v>
          </cell>
          <cell r="L619" t="str">
            <v/>
          </cell>
          <cell r="M619" t="str">
            <v>Professional</v>
          </cell>
          <cell r="N619" t="str">
            <v/>
          </cell>
          <cell r="O619" t="str">
            <v>CSS</v>
          </cell>
          <cell r="P619">
            <v>0</v>
          </cell>
          <cell r="Q619" t="str">
            <v xml:space="preserve"> </v>
          </cell>
          <cell r="R619"/>
          <cell r="S619"/>
          <cell r="T619" t="str">
            <v>Sin reducción</v>
          </cell>
          <cell r="U619">
            <v>0</v>
          </cell>
          <cell r="V619"/>
          <cell r="W619"/>
          <cell r="X619">
            <v>0</v>
          </cell>
          <cell r="Y619">
            <v>0</v>
          </cell>
          <cell r="Z619">
            <v>0</v>
          </cell>
          <cell r="AA619"/>
          <cell r="AB619" t="str">
            <v>Active - signed</v>
          </cell>
          <cell r="AC619" t="str">
            <v>ACTIVO</v>
          </cell>
          <cell r="AD619"/>
          <cell r="AE619"/>
          <cell r="AF619"/>
          <cell r="AG619"/>
          <cell r="AH619"/>
          <cell r="AI619" t="str">
            <v>03917950S</v>
          </cell>
        </row>
        <row r="620">
          <cell r="A620" t="str">
            <v>Y8485386X</v>
          </cell>
          <cell r="B620" t="str">
            <v>Maldonado Aragón</v>
          </cell>
          <cell r="C620" t="str">
            <v>Mónica Soledad</v>
          </cell>
          <cell r="D620" t="str">
            <v>Maldonado Aragón, Mónica Soledad</v>
          </cell>
          <cell r="E620" t="str">
            <v>monicasoledad.maldonado</v>
          </cell>
          <cell r="F620" t="str">
            <v>monicasoledad.maldonado@professional.universidadviu.com</v>
          </cell>
          <cell r="G620" t="str">
            <v>NO</v>
          </cell>
          <cell r="H620" t="str">
            <v>NO</v>
          </cell>
          <cell r="I620" t="str">
            <v>Psicología</v>
          </cell>
          <cell r="J620" t="str">
            <v>Maestra en Psicología</v>
          </cell>
          <cell r="K620" t="str">
            <v/>
          </cell>
          <cell r="L620" t="str">
            <v/>
          </cell>
          <cell r="M620" t="str">
            <v>Professional</v>
          </cell>
          <cell r="N620" t="str">
            <v/>
          </cell>
          <cell r="O620" t="str">
            <v>CSS</v>
          </cell>
          <cell r="P620">
            <v>0</v>
          </cell>
          <cell r="Q620" t="str">
            <v xml:space="preserve"> </v>
          </cell>
          <cell r="R620"/>
          <cell r="S620"/>
          <cell r="T620" t="str">
            <v>Sin reducción</v>
          </cell>
          <cell r="U620">
            <v>0</v>
          </cell>
          <cell r="V620"/>
          <cell r="W620"/>
          <cell r="X620">
            <v>0</v>
          </cell>
          <cell r="Y620">
            <v>0</v>
          </cell>
          <cell r="Z620">
            <v>0</v>
          </cell>
          <cell r="AA620"/>
          <cell r="AB620" t="str">
            <v>Active - signed</v>
          </cell>
          <cell r="AC620" t="str">
            <v>ACTIVO</v>
          </cell>
          <cell r="AD620"/>
          <cell r="AE620"/>
          <cell r="AF620"/>
          <cell r="AG620"/>
          <cell r="AH620"/>
          <cell r="AI620" t="str">
            <v>Y8485386X</v>
          </cell>
        </row>
        <row r="621">
          <cell r="A621" t="str">
            <v>74384772N</v>
          </cell>
          <cell r="B621" t="str">
            <v xml:space="preserve">Maldonado López </v>
          </cell>
          <cell r="C621" t="str">
            <v>Marina</v>
          </cell>
          <cell r="D621" t="str">
            <v>Maldonado López , Marina</v>
          </cell>
          <cell r="E621" t="str">
            <v>marina.maldonado</v>
          </cell>
          <cell r="F621" t="str">
            <v>marina.maldonado@professional.universidadviu.com</v>
          </cell>
          <cell r="G621" t="str">
            <v>NO</v>
          </cell>
          <cell r="H621" t="str">
            <v>NO</v>
          </cell>
          <cell r="I621" t="str">
            <v>Licenciada en Administración y dirección de empresas</v>
          </cell>
          <cell r="J621" t="str">
            <v>Máster universitario de cuentas</v>
          </cell>
          <cell r="K621" t="str">
            <v/>
          </cell>
          <cell r="L621" t="str">
            <v/>
          </cell>
          <cell r="M621" t="str">
            <v>Professional</v>
          </cell>
          <cell r="N621" t="str">
            <v/>
          </cell>
          <cell r="O621" t="str">
            <v>CBS</v>
          </cell>
          <cell r="P621">
            <v>0</v>
          </cell>
          <cell r="Q621" t="str">
            <v xml:space="preserve"> </v>
          </cell>
          <cell r="R621"/>
          <cell r="S621"/>
          <cell r="T621" t="str">
            <v>Sin reducción</v>
          </cell>
          <cell r="U621">
            <v>0</v>
          </cell>
          <cell r="V621"/>
          <cell r="W621"/>
          <cell r="X621">
            <v>0</v>
          </cell>
          <cell r="Y621">
            <v>0</v>
          </cell>
          <cell r="Z621">
            <v>0</v>
          </cell>
          <cell r="AA621"/>
          <cell r="AB621" t="str">
            <v>Active - signed</v>
          </cell>
          <cell r="AC621" t="str">
            <v>ACTIVO</v>
          </cell>
          <cell r="AD621"/>
          <cell r="AE621"/>
          <cell r="AF621"/>
          <cell r="AG621"/>
          <cell r="AH621"/>
          <cell r="AI621" t="str">
            <v>74384772N</v>
          </cell>
        </row>
        <row r="622">
          <cell r="A622" t="str">
            <v>74864011T</v>
          </cell>
          <cell r="B622" t="str">
            <v>Mañas Olmo</v>
          </cell>
          <cell r="C622" t="str">
            <v>Moisés</v>
          </cell>
          <cell r="D622" t="str">
            <v>Mañas Olmo, Moisés</v>
          </cell>
          <cell r="E622" t="str">
            <v>mmanaso@professional.universidadviu.com</v>
          </cell>
          <cell r="F622" t="str">
            <v>mmanaso@professional.universidadviu.com</v>
          </cell>
          <cell r="G622" t="str">
            <v>Yes</v>
          </cell>
          <cell r="H622" t="str">
            <v>Yes</v>
          </cell>
          <cell r="I622" t="str">
            <v>Doctorado en Psicología</v>
          </cell>
          <cell r="J622" t="str">
            <v>Master oficial en cambio social y profesiones educativas</v>
          </cell>
          <cell r="K622" t="str">
            <v>Licenciado en Pedagogía</v>
          </cell>
          <cell r="L622" t="str">
            <v/>
          </cell>
          <cell r="M622" t="str">
            <v>Professional</v>
          </cell>
          <cell r="N622"/>
          <cell r="O622" t="str">
            <v>CSS</v>
          </cell>
          <cell r="P622">
            <v>0</v>
          </cell>
          <cell r="Q622" t="str">
            <v xml:space="preserve"> </v>
          </cell>
          <cell r="R622"/>
          <cell r="S622"/>
          <cell r="T622" t="str">
            <v>Sin reducción</v>
          </cell>
          <cell r="U622">
            <v>0</v>
          </cell>
          <cell r="V622"/>
          <cell r="W622"/>
          <cell r="X622">
            <v>0</v>
          </cell>
          <cell r="Y622">
            <v>0</v>
          </cell>
          <cell r="Z622">
            <v>0</v>
          </cell>
          <cell r="AA622"/>
          <cell r="AB622" t="str">
            <v>Active - signed</v>
          </cell>
          <cell r="AC622" t="str">
            <v>ACTIVO</v>
          </cell>
          <cell r="AD622"/>
          <cell r="AE622"/>
          <cell r="AF622"/>
          <cell r="AG622"/>
          <cell r="AH622"/>
          <cell r="AI622" t="str">
            <v>74864011T</v>
          </cell>
        </row>
        <row r="623">
          <cell r="A623" t="str">
            <v>77154277h</v>
          </cell>
          <cell r="B623" t="str">
            <v>Mañas Padilla</v>
          </cell>
          <cell r="C623" t="str">
            <v>María del Carmen</v>
          </cell>
          <cell r="D623" t="str">
            <v>Mañas Padilla, María del Carmen</v>
          </cell>
          <cell r="E623" t="str">
            <v>mmanasp@professional.universidadviu.com</v>
          </cell>
          <cell r="F623" t="str">
            <v>mmanasp@professional.universidadviu.com</v>
          </cell>
          <cell r="G623" t="str">
            <v>Yes</v>
          </cell>
          <cell r="H623" t="str">
            <v>Yes</v>
          </cell>
          <cell r="I623" t="str">
            <v>Doctorado en Biomedicina, Investigación Traslacional y Nuevas Tecnologías en Salud</v>
          </cell>
          <cell r="J623" t="str">
            <v>Máster Psicología General Sanitaria</v>
          </cell>
          <cell r="K623" t="str">
            <v>Grado en Psicología</v>
          </cell>
          <cell r="L623" t="str">
            <v/>
          </cell>
          <cell r="M623" t="str">
            <v>Professional</v>
          </cell>
          <cell r="N623" t="str">
            <v/>
          </cell>
          <cell r="O623" t="str">
            <v>CSS</v>
          </cell>
          <cell r="P623">
            <v>0</v>
          </cell>
          <cell r="Q623" t="str">
            <v xml:space="preserve"> </v>
          </cell>
          <cell r="R623"/>
          <cell r="S623"/>
          <cell r="T623" t="str">
            <v>Sin reducción</v>
          </cell>
          <cell r="U623">
            <v>0</v>
          </cell>
          <cell r="V623"/>
          <cell r="W623"/>
          <cell r="X623">
            <v>0</v>
          </cell>
          <cell r="Y623">
            <v>0</v>
          </cell>
          <cell r="Z623">
            <v>0</v>
          </cell>
          <cell r="AA623"/>
          <cell r="AB623" t="str">
            <v>Active - signed</v>
          </cell>
          <cell r="AC623" t="str">
            <v>ACTIVO</v>
          </cell>
          <cell r="AD623"/>
          <cell r="AE623"/>
          <cell r="AF623"/>
          <cell r="AG623"/>
          <cell r="AH623"/>
          <cell r="AI623" t="str">
            <v>77154277h</v>
          </cell>
        </row>
        <row r="624">
          <cell r="A624" t="str">
            <v>21479497G</v>
          </cell>
          <cell r="B624" t="str">
            <v>Mañas Pérez</v>
          </cell>
          <cell r="C624" t="str">
            <v>Antonio Francisco</v>
          </cell>
          <cell r="D624" t="str">
            <v>Mañas Pérez, Antonio Francisco</v>
          </cell>
          <cell r="E624" t="str">
            <v>antoniofrancisco.manas</v>
          </cell>
          <cell r="F624" t="str">
            <v>antoniofrancisco.manas@professional.universidadviu.com</v>
          </cell>
          <cell r="G624" t="str">
            <v>Yes</v>
          </cell>
          <cell r="H624" t="str">
            <v>NO</v>
          </cell>
          <cell r="I624" t="str">
            <v>Programa de Doctorado en Investigación Educativa</v>
          </cell>
          <cell r="J624" t="str">
            <v>Máster Universitario en Formación de Profesorado de Educación Secundaria Obligatoria, Bachillerato, Formación Profesional y Enseñanza de Idiomas</v>
          </cell>
          <cell r="K624" t="str">
            <v>Graduado en Educación Primaria</v>
          </cell>
          <cell r="L624" t="str">
            <v/>
          </cell>
          <cell r="M624" t="str">
            <v>Professional</v>
          </cell>
          <cell r="N624" t="str">
            <v/>
          </cell>
          <cell r="O624" t="str">
            <v>CSS</v>
          </cell>
          <cell r="P624">
            <v>0</v>
          </cell>
          <cell r="Q624" t="str">
            <v xml:space="preserve"> </v>
          </cell>
          <cell r="R624"/>
          <cell r="S624"/>
          <cell r="T624" t="str">
            <v>Sin reducción</v>
          </cell>
          <cell r="U624">
            <v>0</v>
          </cell>
          <cell r="V624"/>
          <cell r="W624"/>
          <cell r="X624">
            <v>0</v>
          </cell>
          <cell r="Y624">
            <v>0</v>
          </cell>
          <cell r="Z624">
            <v>0</v>
          </cell>
          <cell r="AA624"/>
          <cell r="AB624" t="str">
            <v>Active - signed</v>
          </cell>
          <cell r="AC624" t="str">
            <v>ACTIVO</v>
          </cell>
          <cell r="AD624"/>
          <cell r="AE624"/>
          <cell r="AF624"/>
          <cell r="AG624"/>
          <cell r="AH624"/>
          <cell r="AI624" t="str">
            <v>21479497G</v>
          </cell>
        </row>
        <row r="625">
          <cell r="A625" t="str">
            <v>28973990Q</v>
          </cell>
          <cell r="B625" t="str">
            <v>Mancha López</v>
          </cell>
          <cell r="C625" t="str">
            <v>Ana</v>
          </cell>
          <cell r="D625" t="str">
            <v>Mancha López, Ana</v>
          </cell>
          <cell r="E625" t="str">
            <v>amanchal@professor.universidadviu.com</v>
          </cell>
          <cell r="F625" t="str">
            <v>amanchal@professor.universidadviu.com</v>
          </cell>
          <cell r="G625" t="str">
            <v>NO</v>
          </cell>
          <cell r="H625" t="str">
            <v>NO</v>
          </cell>
          <cell r="I625" t="str">
            <v>Master en Urgencias, emergencias y cuidados criticos de enfermeria</v>
          </cell>
          <cell r="J625" t="str">
            <v>Grado en Enfermeria</v>
          </cell>
          <cell r="K625" t="str">
            <v/>
          </cell>
          <cell r="L625" t="str">
            <v/>
          </cell>
          <cell r="M625" t="str">
            <v>Labour</v>
          </cell>
          <cell r="N625" t="str">
            <v>Cabellos García, Ana Cristina</v>
          </cell>
          <cell r="O625" t="str">
            <v>CBS</v>
          </cell>
          <cell r="P625">
            <v>12</v>
          </cell>
          <cell r="Q625" t="str">
            <v>12</v>
          </cell>
          <cell r="R625"/>
          <cell r="S625"/>
          <cell r="T625" t="str">
            <v>Sin reducción</v>
          </cell>
          <cell r="U625">
            <v>0</v>
          </cell>
          <cell r="V625"/>
          <cell r="W625"/>
          <cell r="X625">
            <v>0</v>
          </cell>
          <cell r="Y625">
            <v>12</v>
          </cell>
          <cell r="Z625">
            <v>0</v>
          </cell>
          <cell r="AA625"/>
          <cell r="AB625" t="str">
            <v>Active - signed</v>
          </cell>
          <cell r="AC625" t="str">
            <v>ACTIVO</v>
          </cell>
          <cell r="AD625"/>
          <cell r="AE625"/>
          <cell r="AF625"/>
          <cell r="AG625"/>
          <cell r="AH625"/>
          <cell r="AI625" t="str">
            <v>28973990Q</v>
          </cell>
        </row>
        <row r="626">
          <cell r="A626" t="str">
            <v>74377966Z</v>
          </cell>
          <cell r="B626" t="str">
            <v xml:space="preserve">Manchón López </v>
          </cell>
          <cell r="C626" t="str">
            <v>Javier</v>
          </cell>
          <cell r="D626" t="str">
            <v>Manchón López , Javier</v>
          </cell>
          <cell r="E626" t="str">
            <v>javier.manchon</v>
          </cell>
          <cell r="F626" t="str">
            <v>javier.manchon@professor.universidadviu.com</v>
          </cell>
          <cell r="G626" t="str">
            <v>Yes</v>
          </cell>
          <cell r="H626" t="str">
            <v>NO</v>
          </cell>
          <cell r="I626" t="str">
            <v>Doctorado en salud pública, ciencias medicas y quirurgicas</v>
          </cell>
          <cell r="J626" t="str">
            <v>Doctorado en salud pública, ciencias medicas y quirurgicas</v>
          </cell>
          <cell r="K626" t="str">
            <v>Master universitario en psicologia general sanitaria</v>
          </cell>
          <cell r="L626" t="str">
            <v>Licenciatura en Psicología</v>
          </cell>
          <cell r="M626" t="str">
            <v>Labour</v>
          </cell>
          <cell r="N626" t="str">
            <v/>
          </cell>
          <cell r="O626" t="str">
            <v>CSS</v>
          </cell>
          <cell r="P626">
            <v>100</v>
          </cell>
          <cell r="Q626" t="str">
            <v>50</v>
          </cell>
          <cell r="R626"/>
          <cell r="S626"/>
          <cell r="T626" t="str">
            <v>Sin reducción</v>
          </cell>
          <cell r="U626">
            <v>0</v>
          </cell>
          <cell r="V626"/>
          <cell r="W626"/>
          <cell r="X626">
            <v>0</v>
          </cell>
          <cell r="Y626">
            <v>0</v>
          </cell>
          <cell r="Z626">
            <v>0</v>
          </cell>
          <cell r="AA626"/>
          <cell r="AB626" t="str">
            <v>Concluded</v>
          </cell>
          <cell r="AC626" t="str">
            <v>NO ACTIVO</v>
          </cell>
          <cell r="AD626"/>
          <cell r="AE626"/>
          <cell r="AF626">
            <v>45135</v>
          </cell>
          <cell r="AG626" t="str">
            <v>CESE DE CONTRATO</v>
          </cell>
          <cell r="AH626"/>
          <cell r="AI626" t="str">
            <v>74377966Z</v>
          </cell>
        </row>
        <row r="627">
          <cell r="A627" t="str">
            <v>76044255E</v>
          </cell>
          <cell r="B627" t="str">
            <v>Mangas Losada</v>
          </cell>
          <cell r="C627" t="str">
            <v>Alba</v>
          </cell>
          <cell r="D627" t="str">
            <v>Mangas Losada, Alba</v>
          </cell>
          <cell r="E627" t="str">
            <v>amangasl@professional.universidadviu.com</v>
          </cell>
          <cell r="F627" t="str">
            <v>amangasl@professional.universidadviu.com</v>
          </cell>
          <cell r="G627" t="str">
            <v>NO</v>
          </cell>
          <cell r="H627" t="str">
            <v>NO</v>
          </cell>
          <cell r="I627" t="str">
            <v>Doctorado de Neurociencias</v>
          </cell>
          <cell r="J627" t="str">
            <v>Máster Universitario en Neuromarketing</v>
          </cell>
          <cell r="K627" t="str">
            <v>Máster Universitario de neurociencias básicas y aplicadas</v>
          </cell>
          <cell r="L627" t="str">
            <v/>
          </cell>
          <cell r="M627" t="str">
            <v>Professional</v>
          </cell>
          <cell r="N627" t="str">
            <v/>
          </cell>
          <cell r="O627"/>
          <cell r="P627">
            <v>0</v>
          </cell>
          <cell r="Q627" t="str">
            <v xml:space="preserve"> </v>
          </cell>
          <cell r="R627"/>
          <cell r="S627"/>
          <cell r="T627" t="str">
            <v>Sin reducción</v>
          </cell>
          <cell r="U627">
            <v>0</v>
          </cell>
          <cell r="V627"/>
          <cell r="W627"/>
          <cell r="X627">
            <v>0</v>
          </cell>
          <cell r="Y627">
            <v>0</v>
          </cell>
          <cell r="Z627">
            <v>0</v>
          </cell>
          <cell r="AA627"/>
          <cell r="AB627" t="str">
            <v>Active - signed</v>
          </cell>
          <cell r="AC627" t="str">
            <v>ACTIVO</v>
          </cell>
          <cell r="AD627"/>
          <cell r="AE627"/>
          <cell r="AF627"/>
          <cell r="AG627"/>
          <cell r="AH627"/>
          <cell r="AI627" t="str">
            <v>76044255E</v>
          </cell>
        </row>
        <row r="628">
          <cell r="A628" t="str">
            <v>50609819K</v>
          </cell>
          <cell r="B628" t="str">
            <v>Manjón Luque</v>
          </cell>
          <cell r="C628" t="str">
            <v>Ester María</v>
          </cell>
          <cell r="D628" t="str">
            <v>Manjón Luque, Ester María</v>
          </cell>
          <cell r="E628" t="str">
            <v>emanjonl@professional.universidadviu.com</v>
          </cell>
          <cell r="F628" t="str">
            <v>emanjonl@professional.universidadviu.com</v>
          </cell>
          <cell r="G628" t="str">
            <v>NO</v>
          </cell>
          <cell r="H628" t="str">
            <v>NO</v>
          </cell>
          <cell r="I628" t="str">
            <v>Master en práctica Clínica</v>
          </cell>
          <cell r="J628" t="str">
            <v>Licenciatura en Psicología</v>
          </cell>
          <cell r="K628" t="str">
            <v/>
          </cell>
          <cell r="L628" t="str">
            <v/>
          </cell>
          <cell r="M628" t="str">
            <v>Professional</v>
          </cell>
          <cell r="N628" t="str">
            <v/>
          </cell>
          <cell r="O628" t="str">
            <v>CSS</v>
          </cell>
          <cell r="P628">
            <v>0</v>
          </cell>
          <cell r="Q628" t="str">
            <v xml:space="preserve"> </v>
          </cell>
          <cell r="R628"/>
          <cell r="S628"/>
          <cell r="T628" t="str">
            <v>Sin reducción</v>
          </cell>
          <cell r="U628">
            <v>0</v>
          </cell>
          <cell r="V628"/>
          <cell r="W628"/>
          <cell r="X628">
            <v>0</v>
          </cell>
          <cell r="Y628">
            <v>0</v>
          </cell>
          <cell r="Z628">
            <v>0</v>
          </cell>
          <cell r="AA628"/>
          <cell r="AB628" t="str">
            <v>Concluded</v>
          </cell>
          <cell r="AC628" t="str">
            <v>NO ACTIVO</v>
          </cell>
          <cell r="AD628"/>
          <cell r="AE628"/>
          <cell r="AF628">
            <v>45229</v>
          </cell>
          <cell r="AG628" t="str">
            <v>CESE DE CONTRATO</v>
          </cell>
          <cell r="AH628"/>
          <cell r="AI628" t="str">
            <v>50609819K</v>
          </cell>
        </row>
        <row r="629">
          <cell r="A629" t="str">
            <v>33460095V</v>
          </cell>
          <cell r="B629" t="str">
            <v>Mansego Talavera</v>
          </cell>
          <cell r="C629" t="str">
            <v>María Luisa</v>
          </cell>
          <cell r="D629" t="str">
            <v>Mansego Talavera, María Luisa</v>
          </cell>
          <cell r="E629" t="str">
            <v>marialuisa.mansego@professional.universidadviu.com</v>
          </cell>
          <cell r="F629" t="str">
            <v>marialuisa.mansego@professional.universidadviu.com</v>
          </cell>
          <cell r="G629" t="str">
            <v>Yes</v>
          </cell>
          <cell r="H629" t="str">
            <v>NO</v>
          </cell>
          <cell r="I629" t="str">
            <v>Doctorado en Ciencias Biológicas</v>
          </cell>
          <cell r="J629" t="str">
            <v>Postgrado Estadística en Ciencias de la Salud</v>
          </cell>
          <cell r="K629" t="str">
            <v>Licenciatura en Bioquimica</v>
          </cell>
          <cell r="L629" t="str">
            <v/>
          </cell>
          <cell r="M629" t="str">
            <v>Professional</v>
          </cell>
          <cell r="N629" t="str">
            <v/>
          </cell>
          <cell r="O629" t="str">
            <v>CBS</v>
          </cell>
          <cell r="P629">
            <v>0</v>
          </cell>
          <cell r="Q629" t="str">
            <v xml:space="preserve"> </v>
          </cell>
          <cell r="R629"/>
          <cell r="S629"/>
          <cell r="T629" t="str">
            <v>Sin reducción</v>
          </cell>
          <cell r="U629">
            <v>0</v>
          </cell>
          <cell r="V629"/>
          <cell r="W629"/>
          <cell r="X629">
            <v>0</v>
          </cell>
          <cell r="Y629">
            <v>0</v>
          </cell>
          <cell r="Z629">
            <v>0</v>
          </cell>
          <cell r="AA629"/>
          <cell r="AB629" t="str">
            <v>Active - signed</v>
          </cell>
          <cell r="AC629" t="str">
            <v>ACTIVO</v>
          </cell>
          <cell r="AD629"/>
          <cell r="AE629"/>
          <cell r="AF629"/>
          <cell r="AG629"/>
          <cell r="AH629"/>
          <cell r="AI629" t="str">
            <v>33460095V</v>
          </cell>
        </row>
        <row r="630">
          <cell r="A630" t="str">
            <v>71221671D</v>
          </cell>
          <cell r="B630" t="str">
            <v>Manzano Nuñez</v>
          </cell>
          <cell r="C630" t="str">
            <v>Fatima</v>
          </cell>
          <cell r="D630" t="str">
            <v>Manzano Nuñez, Fatima</v>
          </cell>
          <cell r="E630" t="str">
            <v>fatima.manzano</v>
          </cell>
          <cell r="F630" t="str">
            <v>fatima.manzano@professional.universidadviu.com</v>
          </cell>
          <cell r="G630" t="str">
            <v>Yes</v>
          </cell>
          <cell r="H630" t="str">
            <v>Yes</v>
          </cell>
          <cell r="I630" t="str">
            <v>Biotecnología</v>
          </cell>
          <cell r="J630" t="str">
            <v>Doctorado en biomedicina y biotecnología</v>
          </cell>
          <cell r="K630" t="str">
            <v>Máster en genética avanzada</v>
          </cell>
          <cell r="L630" t="str">
            <v/>
          </cell>
          <cell r="M630" t="str">
            <v>Professional</v>
          </cell>
          <cell r="N630" t="str">
            <v/>
          </cell>
          <cell r="O630" t="str">
            <v>CBS</v>
          </cell>
          <cell r="P630">
            <v>0</v>
          </cell>
          <cell r="Q630" t="str">
            <v xml:space="preserve"> </v>
          </cell>
          <cell r="R630"/>
          <cell r="S630"/>
          <cell r="T630" t="str">
            <v>Sin reducción</v>
          </cell>
          <cell r="U630">
            <v>0</v>
          </cell>
          <cell r="V630"/>
          <cell r="W630"/>
          <cell r="X630">
            <v>0</v>
          </cell>
          <cell r="Y630">
            <v>0</v>
          </cell>
          <cell r="Z630">
            <v>0</v>
          </cell>
          <cell r="AA630"/>
          <cell r="AB630" t="str">
            <v>Active - signed</v>
          </cell>
          <cell r="AC630" t="str">
            <v>ACTIVO</v>
          </cell>
          <cell r="AD630"/>
          <cell r="AE630"/>
          <cell r="AF630"/>
          <cell r="AG630"/>
          <cell r="AH630"/>
          <cell r="AI630" t="str">
            <v>71221671D</v>
          </cell>
        </row>
        <row r="631">
          <cell r="A631" t="str">
            <v>51405392R</v>
          </cell>
          <cell r="B631" t="str">
            <v>Manzano Redondo</v>
          </cell>
          <cell r="C631" t="str">
            <v>Álvaro</v>
          </cell>
          <cell r="D631" t="str">
            <v>Manzano Redondo, Álvaro</v>
          </cell>
          <cell r="E631" t="str">
            <v>amanzanor@professional.universidadviu.com</v>
          </cell>
          <cell r="F631" t="str">
            <v>amanzanor@professional.universidadviu.com</v>
          </cell>
          <cell r="G631" t="str">
            <v>NO</v>
          </cell>
          <cell r="H631" t="str">
            <v>NO</v>
          </cell>
          <cell r="I631" t="str">
            <v>MÁSTER EN EDUCACIÓN INTERNACIONAL Y BILINGÜISMO</v>
          </cell>
          <cell r="J631" t="str">
            <v>LICENCIADO FILOLOGÍA CLÁSICA</v>
          </cell>
          <cell r="K631" t="str">
            <v/>
          </cell>
          <cell r="L631" t="str">
            <v/>
          </cell>
          <cell r="M631" t="str">
            <v>Professional</v>
          </cell>
          <cell r="N631"/>
          <cell r="O631" t="str">
            <v>CSS</v>
          </cell>
          <cell r="P631">
            <v>0</v>
          </cell>
          <cell r="Q631" t="str">
            <v xml:space="preserve"> </v>
          </cell>
          <cell r="R631"/>
          <cell r="S631"/>
          <cell r="T631" t="str">
            <v>Sin reducción</v>
          </cell>
          <cell r="U631">
            <v>0</v>
          </cell>
          <cell r="V631"/>
          <cell r="W631"/>
          <cell r="X631">
            <v>0</v>
          </cell>
          <cell r="Y631">
            <v>0</v>
          </cell>
          <cell r="Z631">
            <v>0</v>
          </cell>
          <cell r="AA631"/>
          <cell r="AB631" t="str">
            <v>Active - signed</v>
          </cell>
          <cell r="AC631" t="str">
            <v>ACTIVO</v>
          </cell>
          <cell r="AD631"/>
          <cell r="AE631"/>
          <cell r="AF631"/>
          <cell r="AG631"/>
          <cell r="AH631"/>
          <cell r="AI631" t="str">
            <v>51405392R</v>
          </cell>
        </row>
        <row r="632">
          <cell r="A632" t="str">
            <v>MX14080931865</v>
          </cell>
          <cell r="B632" t="str">
            <v>Marcelín Alvarado</v>
          </cell>
          <cell r="C632" t="str">
            <v>María Alejandra</v>
          </cell>
          <cell r="D632" t="str">
            <v>Marcelín Alvarado, María Alejandra</v>
          </cell>
          <cell r="E632" t="str">
            <v>mariaalejandra.marcelin</v>
          </cell>
          <cell r="F632" t="str">
            <v>mariaalejandra.marcelin@professional.universidadviu.com</v>
          </cell>
          <cell r="G632" t="str">
            <v>Yes</v>
          </cell>
          <cell r="H632" t="str">
            <v>NO</v>
          </cell>
          <cell r="I632" t="str">
            <v>Psicología</v>
          </cell>
          <cell r="J632" t="str">
            <v>Doctorado en Estudios Regionales</v>
          </cell>
          <cell r="K632" t="str">
            <v>Maestría en Desarrollo Familiar</v>
          </cell>
          <cell r="L632" t="str">
            <v/>
          </cell>
          <cell r="M632" t="str">
            <v>Professional</v>
          </cell>
          <cell r="N632" t="str">
            <v/>
          </cell>
          <cell r="O632" t="str">
            <v>CSS</v>
          </cell>
          <cell r="P632">
            <v>0</v>
          </cell>
          <cell r="Q632" t="str">
            <v xml:space="preserve"> </v>
          </cell>
          <cell r="R632"/>
          <cell r="S632"/>
          <cell r="T632" t="str">
            <v>Sin reducción</v>
          </cell>
          <cell r="U632">
            <v>0</v>
          </cell>
          <cell r="V632"/>
          <cell r="W632"/>
          <cell r="X632">
            <v>0</v>
          </cell>
          <cell r="Y632">
            <v>0</v>
          </cell>
          <cell r="Z632">
            <v>0</v>
          </cell>
          <cell r="AA632"/>
          <cell r="AB632" t="str">
            <v>Active - signed</v>
          </cell>
          <cell r="AC632" t="str">
            <v>ACTIVO</v>
          </cell>
          <cell r="AD632"/>
          <cell r="AE632"/>
          <cell r="AF632"/>
          <cell r="AG632"/>
          <cell r="AH632"/>
          <cell r="AI632" t="str">
            <v>MX14080931865</v>
          </cell>
        </row>
        <row r="633">
          <cell r="A633" t="str">
            <v>48621374H</v>
          </cell>
          <cell r="B633" t="str">
            <v>Marco Francisco</v>
          </cell>
          <cell r="C633" t="str">
            <v>Miriam</v>
          </cell>
          <cell r="D633" t="str">
            <v>Marco Francisco, Miriam</v>
          </cell>
          <cell r="E633" t="str">
            <v>miriam.marco</v>
          </cell>
          <cell r="F633" t="str">
            <v>miriam.marco@professional.universidadviu.com</v>
          </cell>
          <cell r="G633" t="str">
            <v>Yes</v>
          </cell>
          <cell r="H633" t="str">
            <v>NO</v>
          </cell>
          <cell r="I633" t="str">
            <v>Psicología</v>
          </cell>
          <cell r="J633" t="str">
            <v>Programa de Doctorado en Investigación en Psicología</v>
          </cell>
          <cell r="K633" t="str">
            <v>Máster Universitario en Bioestadística</v>
          </cell>
          <cell r="L633" t="str">
            <v/>
          </cell>
          <cell r="M633" t="str">
            <v>Professional</v>
          </cell>
          <cell r="N633" t="str">
            <v/>
          </cell>
          <cell r="O633" t="str">
            <v>CSS</v>
          </cell>
          <cell r="P633">
            <v>0</v>
          </cell>
          <cell r="Q633" t="str">
            <v xml:space="preserve"> </v>
          </cell>
          <cell r="R633"/>
          <cell r="S633"/>
          <cell r="T633" t="str">
            <v>Sin reducción</v>
          </cell>
          <cell r="U633">
            <v>0</v>
          </cell>
          <cell r="V633"/>
          <cell r="W633"/>
          <cell r="X633">
            <v>0</v>
          </cell>
          <cell r="Y633">
            <v>0</v>
          </cell>
          <cell r="Z633">
            <v>0</v>
          </cell>
          <cell r="AA633"/>
          <cell r="AB633" t="str">
            <v>Active - signed</v>
          </cell>
          <cell r="AC633" t="str">
            <v>ACTIVO</v>
          </cell>
          <cell r="AD633"/>
          <cell r="AE633"/>
          <cell r="AF633"/>
          <cell r="AG633"/>
          <cell r="AH633"/>
          <cell r="AI633" t="str">
            <v>48621374H</v>
          </cell>
        </row>
        <row r="634">
          <cell r="A634" t="str">
            <v>22111947T</v>
          </cell>
          <cell r="B634" t="str">
            <v>Marco Garbayo</v>
          </cell>
          <cell r="C634" t="str">
            <v>José Luis</v>
          </cell>
          <cell r="D634" t="str">
            <v>Marco Garbayo, José Luis</v>
          </cell>
          <cell r="E634" t="str">
            <v>jmarcog@professional.universidadviu.com</v>
          </cell>
          <cell r="F634" t="str">
            <v>jmarcog@professional.universidadviu.com</v>
          </cell>
          <cell r="G634" t="str">
            <v>Yes</v>
          </cell>
          <cell r="H634" t="str">
            <v>NO</v>
          </cell>
          <cell r="I634" t="str">
            <v>GRADUADO EN PSICOLOGÍA</v>
          </cell>
          <cell r="J634" t="str">
            <v>DOCTOR EN FARMACIA</v>
          </cell>
          <cell r="K634" t="str">
            <v/>
          </cell>
          <cell r="L634" t="str">
            <v/>
          </cell>
          <cell r="M634" t="str">
            <v>Professional</v>
          </cell>
          <cell r="N634" t="str">
            <v/>
          </cell>
          <cell r="O634" t="str">
            <v>CSS</v>
          </cell>
          <cell r="P634">
            <v>0</v>
          </cell>
          <cell r="Q634" t="str">
            <v xml:space="preserve"> </v>
          </cell>
          <cell r="R634"/>
          <cell r="S634"/>
          <cell r="T634" t="str">
            <v>Sin reducción</v>
          </cell>
          <cell r="U634">
            <v>0</v>
          </cell>
          <cell r="V634"/>
          <cell r="W634"/>
          <cell r="X634">
            <v>0</v>
          </cell>
          <cell r="Y634">
            <v>0</v>
          </cell>
          <cell r="Z634">
            <v>0</v>
          </cell>
          <cell r="AA634"/>
          <cell r="AB634" t="str">
            <v>Active - signed</v>
          </cell>
          <cell r="AC634" t="str">
            <v>ACTIVO</v>
          </cell>
          <cell r="AD634"/>
          <cell r="AE634"/>
          <cell r="AF634"/>
          <cell r="AG634"/>
          <cell r="AH634"/>
          <cell r="AI634" t="str">
            <v>22111947T</v>
          </cell>
        </row>
        <row r="635">
          <cell r="A635" t="str">
            <v>20053200Y</v>
          </cell>
          <cell r="B635" t="str">
            <v>Marco Moyano</v>
          </cell>
          <cell r="C635" t="str">
            <v>Adrián</v>
          </cell>
          <cell r="D635" t="str">
            <v>Marco Moyano, Adrián</v>
          </cell>
          <cell r="E635" t="str">
            <v>adrian.marco@professor.universidadviu.com</v>
          </cell>
          <cell r="F635" t="str">
            <v>adrian.marco@professor.universidadviu.com</v>
          </cell>
          <cell r="G635" t="str">
            <v>NO</v>
          </cell>
          <cell r="H635" t="str">
            <v>NO</v>
          </cell>
          <cell r="I635" t="str">
            <v>Grado en Enfermería</v>
          </cell>
          <cell r="J635" t="str">
            <v/>
          </cell>
          <cell r="K635" t="str">
            <v/>
          </cell>
          <cell r="L635" t="str">
            <v/>
          </cell>
          <cell r="M635" t="str">
            <v>Labour</v>
          </cell>
          <cell r="N635" t="str">
            <v>López Mases, Patricia</v>
          </cell>
          <cell r="O635" t="str">
            <v>CBS</v>
          </cell>
          <cell r="P635">
            <v>15</v>
          </cell>
          <cell r="Q635" t="str">
            <v>15</v>
          </cell>
          <cell r="R635"/>
          <cell r="S635"/>
          <cell r="T635" t="str">
            <v>Sin reducción</v>
          </cell>
          <cell r="U635">
            <v>0</v>
          </cell>
          <cell r="V635"/>
          <cell r="W635"/>
          <cell r="X635">
            <v>0</v>
          </cell>
          <cell r="Y635">
            <v>15</v>
          </cell>
          <cell r="Z635">
            <v>0</v>
          </cell>
          <cell r="AA635"/>
          <cell r="AB635" t="str">
            <v>Active - signed</v>
          </cell>
          <cell r="AC635" t="str">
            <v>ACTIVO</v>
          </cell>
          <cell r="AD635"/>
          <cell r="AE635"/>
          <cell r="AF635"/>
          <cell r="AG635"/>
          <cell r="AH635"/>
          <cell r="AI635" t="str">
            <v>20053200Y</v>
          </cell>
        </row>
        <row r="636">
          <cell r="A636" t="str">
            <v>71564149V</v>
          </cell>
          <cell r="B636" t="str">
            <v>Marcos Martínez</v>
          </cell>
          <cell r="C636" t="str">
            <v>Verónica</v>
          </cell>
          <cell r="D636" t="str">
            <v>Marcos Martínez, Verónica</v>
          </cell>
          <cell r="E636" t="str">
            <v>vmarcosm@professor.universidadviu.com</v>
          </cell>
          <cell r="F636" t="str">
            <v>vmarcosm@professor.universidadviu.com</v>
          </cell>
          <cell r="G636" t="str">
            <v>Yes</v>
          </cell>
          <cell r="H636" t="str">
            <v>Yes</v>
          </cell>
          <cell r="I636" t="str">
            <v>Psicología</v>
          </cell>
          <cell r="J636" t="str">
            <v>Master universitario en intervención criminologica y victimologica</v>
          </cell>
          <cell r="K636" t="str">
            <v>Graduado/a en Pedagogía</v>
          </cell>
          <cell r="L636" t="str">
            <v>Master universitario en intervención criminologica y victimologica</v>
          </cell>
          <cell r="M636" t="str">
            <v>Labour</v>
          </cell>
          <cell r="N636" t="str">
            <v>Rama Galdón, Encarnación</v>
          </cell>
          <cell r="O636" t="str">
            <v>CBS/CSS</v>
          </cell>
          <cell r="P636">
            <v>100</v>
          </cell>
          <cell r="Q636" t="str">
            <v>50</v>
          </cell>
          <cell r="R636"/>
          <cell r="S636"/>
          <cell r="T636" t="str">
            <v>Sin reducción</v>
          </cell>
          <cell r="U636">
            <v>0</v>
          </cell>
          <cell r="V636"/>
          <cell r="W636"/>
          <cell r="X636">
            <v>39.4</v>
          </cell>
          <cell r="Y636">
            <v>0</v>
          </cell>
          <cell r="Z636">
            <v>0</v>
          </cell>
          <cell r="AA636"/>
          <cell r="AB636" t="str">
            <v>Active - signed</v>
          </cell>
          <cell r="AC636" t="str">
            <v>ACTIVO</v>
          </cell>
          <cell r="AD636"/>
          <cell r="AE636"/>
          <cell r="AF636"/>
          <cell r="AG636"/>
          <cell r="AH636"/>
          <cell r="AI636" t="str">
            <v>71564149V</v>
          </cell>
        </row>
        <row r="637">
          <cell r="A637" t="str">
            <v>51114062N</v>
          </cell>
          <cell r="B637" t="str">
            <v>Marcos Pasero</v>
          </cell>
          <cell r="C637" t="str">
            <v>Helena</v>
          </cell>
          <cell r="D637" t="str">
            <v>Marcos Pasero, Helena</v>
          </cell>
          <cell r="E637" t="str">
            <v>helena.marcos</v>
          </cell>
          <cell r="F637" t="str">
            <v>helena.marcos@professor.universidadviu.com</v>
          </cell>
          <cell r="G637" t="str">
            <v>Yes</v>
          </cell>
          <cell r="H637" t="str">
            <v>NO</v>
          </cell>
          <cell r="I637" t="str">
            <v>Doctora cum laude en Ciencias de la Alimentación</v>
          </cell>
          <cell r="J637" t="str">
            <v>Graduada en Nutrición humana y Dietética</v>
          </cell>
          <cell r="K637" t="str">
            <v>Máster en Condicionantes genéticos, nutricionales y ambientales del crecimiento y el desarrollo</v>
          </cell>
          <cell r="L637" t="str">
            <v>Doctora cum laude en Ciencias de la Alimentación</v>
          </cell>
          <cell r="M637" t="str">
            <v>Labour</v>
          </cell>
          <cell r="N637" t="str">
            <v/>
          </cell>
          <cell r="O637" t="str">
            <v>CBS</v>
          </cell>
          <cell r="P637">
            <v>100</v>
          </cell>
          <cell r="Q637" t="str">
            <v>50</v>
          </cell>
          <cell r="R637"/>
          <cell r="S637" t="str">
            <v>1er 2015-2020</v>
          </cell>
          <cell r="T637" t="str">
            <v>Sin reducción</v>
          </cell>
          <cell r="U637">
            <v>0</v>
          </cell>
          <cell r="V637"/>
          <cell r="W637"/>
          <cell r="X637">
            <v>0</v>
          </cell>
          <cell r="Y637">
            <v>0</v>
          </cell>
          <cell r="Z637">
            <v>0</v>
          </cell>
          <cell r="AA637"/>
          <cell r="AB637" t="str">
            <v>Concluded</v>
          </cell>
          <cell r="AC637" t="str">
            <v>NO ACTIVO</v>
          </cell>
          <cell r="AD637"/>
          <cell r="AE637"/>
          <cell r="AF637">
            <v>45169</v>
          </cell>
          <cell r="AG637" t="str">
            <v>CESE DE CONTRATO</v>
          </cell>
          <cell r="AH637"/>
          <cell r="AI637" t="str">
            <v>51114062N</v>
          </cell>
        </row>
        <row r="638">
          <cell r="A638" t="str">
            <v>53537868D</v>
          </cell>
          <cell r="B638" t="str">
            <v>Margolles García</v>
          </cell>
          <cell r="C638" t="str">
            <v>Pedro</v>
          </cell>
          <cell r="D638" t="str">
            <v>Margolles García, Pedro</v>
          </cell>
          <cell r="E638" t="str">
            <v>pmargollesg@professional.universidadviu.com</v>
          </cell>
          <cell r="F638" t="str">
            <v>pmargollesg@professional.universidadviu.com</v>
          </cell>
          <cell r="G638" t="str">
            <v>Yes</v>
          </cell>
          <cell r="H638" t="str">
            <v>NO</v>
          </cell>
          <cell r="I638" t="str">
            <v/>
          </cell>
          <cell r="J638" t="str">
            <v/>
          </cell>
          <cell r="K638" t="str">
            <v/>
          </cell>
          <cell r="L638" t="str">
            <v/>
          </cell>
          <cell r="M638" t="str">
            <v>Professional</v>
          </cell>
          <cell r="N638"/>
          <cell r="O638" t="str">
            <v>CSS</v>
          </cell>
          <cell r="P638">
            <v>0</v>
          </cell>
          <cell r="Q638" t="str">
            <v xml:space="preserve"> </v>
          </cell>
          <cell r="R638"/>
          <cell r="S638"/>
          <cell r="T638" t="str">
            <v>Sin reducción</v>
          </cell>
          <cell r="U638">
            <v>0</v>
          </cell>
          <cell r="V638"/>
          <cell r="W638"/>
          <cell r="X638">
            <v>0</v>
          </cell>
          <cell r="Y638">
            <v>0</v>
          </cell>
          <cell r="Z638">
            <v>0</v>
          </cell>
          <cell r="AA638"/>
          <cell r="AB638" t="str">
            <v>Active - signed</v>
          </cell>
          <cell r="AC638" t="str">
            <v>ACTIVO</v>
          </cell>
          <cell r="AD638"/>
          <cell r="AE638"/>
          <cell r="AF638"/>
          <cell r="AG638"/>
          <cell r="AH638"/>
          <cell r="AI638" t="str">
            <v>53537868D</v>
          </cell>
        </row>
        <row r="639">
          <cell r="A639" t="str">
            <v>52653545J</v>
          </cell>
          <cell r="B639" t="str">
            <v>Marín García</v>
          </cell>
          <cell r="C639" t="str">
            <v>Pablo</v>
          </cell>
          <cell r="D639" t="str">
            <v>Marín García, Pablo</v>
          </cell>
          <cell r="E639" t="str">
            <v>pablo.marin.g</v>
          </cell>
          <cell r="F639" t="str">
            <v>pablo.marin.g@professional.universidadviu.com</v>
          </cell>
          <cell r="G639" t="str">
            <v>Yes</v>
          </cell>
          <cell r="H639" t="str">
            <v>NO</v>
          </cell>
          <cell r="I639" t="str">
            <v>Biología y Genética</v>
          </cell>
          <cell r="J639" t="str">
            <v>Doctorado en Ciencias Biológicas</v>
          </cell>
          <cell r="K639" t="str">
            <v/>
          </cell>
          <cell r="L639" t="str">
            <v/>
          </cell>
          <cell r="M639" t="str">
            <v>Professional</v>
          </cell>
          <cell r="N639" t="str">
            <v/>
          </cell>
          <cell r="O639" t="str">
            <v>CBS</v>
          </cell>
          <cell r="P639">
            <v>0</v>
          </cell>
          <cell r="Q639" t="str">
            <v xml:space="preserve"> </v>
          </cell>
          <cell r="R639"/>
          <cell r="S639"/>
          <cell r="T639" t="str">
            <v>Sin reducción</v>
          </cell>
          <cell r="U639">
            <v>0</v>
          </cell>
          <cell r="V639"/>
          <cell r="W639"/>
          <cell r="X639">
            <v>0</v>
          </cell>
          <cell r="Y639">
            <v>0</v>
          </cell>
          <cell r="Z639">
            <v>0</v>
          </cell>
          <cell r="AA639"/>
          <cell r="AB639" t="str">
            <v>Active - signed</v>
          </cell>
          <cell r="AC639" t="str">
            <v>ACTIVO</v>
          </cell>
          <cell r="AD639"/>
          <cell r="AE639"/>
          <cell r="AF639"/>
          <cell r="AG639"/>
          <cell r="AH639"/>
          <cell r="AI639" t="str">
            <v>52653545J</v>
          </cell>
        </row>
        <row r="640">
          <cell r="A640" t="str">
            <v>29207888G</v>
          </cell>
          <cell r="B640" t="str">
            <v>Marín Maicas</v>
          </cell>
          <cell r="C640" t="str">
            <v>Patricia</v>
          </cell>
          <cell r="D640" t="str">
            <v>Marín Maicas, Patricia</v>
          </cell>
          <cell r="E640" t="str">
            <v>patricia.marin.m</v>
          </cell>
          <cell r="F640" t="str">
            <v>patricia.marin.m@professor.universidadviu.com</v>
          </cell>
          <cell r="G640" t="str">
            <v>Yes</v>
          </cell>
          <cell r="H640" t="str">
            <v>NO</v>
          </cell>
          <cell r="I640" t="str">
            <v>Enfermería</v>
          </cell>
          <cell r="J640" t="str">
            <v>Diplomado/a en Enfermeria</v>
          </cell>
          <cell r="K640" t="str">
            <v/>
          </cell>
          <cell r="L640" t="str">
            <v/>
          </cell>
          <cell r="M640" t="str">
            <v>Labour</v>
          </cell>
          <cell r="N640" t="str">
            <v>Gea Caballero, Vicente Antonio</v>
          </cell>
          <cell r="O640" t="str">
            <v>CBS</v>
          </cell>
          <cell r="P640">
            <v>100</v>
          </cell>
          <cell r="Q640" t="str">
            <v>50</v>
          </cell>
          <cell r="R640"/>
          <cell r="S640"/>
          <cell r="T640" t="str">
            <v>Director/a de centro</v>
          </cell>
          <cell r="U640">
            <v>38</v>
          </cell>
          <cell r="V640"/>
          <cell r="W640"/>
          <cell r="X640">
            <v>0</v>
          </cell>
          <cell r="Y640">
            <v>0</v>
          </cell>
          <cell r="Z640">
            <v>0</v>
          </cell>
          <cell r="AA640"/>
          <cell r="AB640" t="str">
            <v>Concluded</v>
          </cell>
          <cell r="AC640" t="str">
            <v>NO ACTIVO</v>
          </cell>
          <cell r="AD640"/>
          <cell r="AE640"/>
          <cell r="AF640"/>
          <cell r="AG640" t="str">
            <v>CESE DE CONTRATO</v>
          </cell>
          <cell r="AH640"/>
          <cell r="AI640" t="str">
            <v>29207888G</v>
          </cell>
        </row>
        <row r="641">
          <cell r="A641" t="str">
            <v>52942907N</v>
          </cell>
          <cell r="B641" t="str">
            <v>Marín Manrique</v>
          </cell>
          <cell r="C641" t="str">
            <v>Antonio</v>
          </cell>
          <cell r="D641" t="str">
            <v>Marín Manrique, Antonio</v>
          </cell>
          <cell r="E641" t="e">
            <v>#VALUE!</v>
          </cell>
          <cell r="F641" t="str">
            <v>antonio.marinm@professor.universidadviu.com</v>
          </cell>
          <cell r="G641" t="e">
            <v>#VALUE!</v>
          </cell>
          <cell r="H641" t="e">
            <v>#VALUE!</v>
          </cell>
          <cell r="I641" t="str">
            <v>Doctor</v>
          </cell>
          <cell r="J641" t="str">
            <v>Doctor</v>
          </cell>
          <cell r="K641" t="str">
            <v>Licenciado en Psicología</v>
          </cell>
          <cell r="L641" t="str">
            <v/>
          </cell>
          <cell r="M641" t="e">
            <v>#VALUE!</v>
          </cell>
          <cell r="N641" t="str">
            <v>Gómez Martínez, Sandra</v>
          </cell>
          <cell r="O641" t="str">
            <v>CSS</v>
          </cell>
          <cell r="P641" t="str">
            <v xml:space="preserve"> </v>
          </cell>
          <cell r="Q641" t="b">
            <v>0</v>
          </cell>
          <cell r="R641"/>
          <cell r="S641"/>
          <cell r="T641" t="str">
            <v>Sin reducción</v>
          </cell>
          <cell r="U641">
            <v>0</v>
          </cell>
          <cell r="V641">
            <v>36</v>
          </cell>
          <cell r="W641" t="str">
            <v>EDUCACIÓN</v>
          </cell>
          <cell r="X641">
            <v>0</v>
          </cell>
          <cell r="Y641">
            <v>0</v>
          </cell>
          <cell r="Z641">
            <v>0</v>
          </cell>
          <cell r="AA641"/>
          <cell r="AB641" t="e">
            <v>#VALUE!</v>
          </cell>
          <cell r="AC641" t="str">
            <v>BAJA TEMPORAL</v>
          </cell>
          <cell r="AD641">
            <v>45139</v>
          </cell>
          <cell r="AE641">
            <v>46600</v>
          </cell>
          <cell r="AF641"/>
          <cell r="AG641" t="str">
            <v>EXCEDENCIA</v>
          </cell>
          <cell r="AH641"/>
          <cell r="AI641" t="str">
            <v>52942907N</v>
          </cell>
        </row>
        <row r="642">
          <cell r="A642" t="str">
            <v>48954998g</v>
          </cell>
          <cell r="B642" t="str">
            <v>Marín Morales</v>
          </cell>
          <cell r="C642" t="str">
            <v>Agar</v>
          </cell>
          <cell r="D642" t="str">
            <v>Marín Morales, Agar</v>
          </cell>
          <cell r="E642" t="str">
            <v>amarinm@professional.universidadviu.com</v>
          </cell>
          <cell r="F642" t="str">
            <v>amarinm@professional.universidadviu.com</v>
          </cell>
          <cell r="G642" t="str">
            <v>Yes</v>
          </cell>
          <cell r="H642" t="str">
            <v>Yes</v>
          </cell>
          <cell r="I642" t="str">
            <v>Doctorado en psicología</v>
          </cell>
          <cell r="J642" t="str">
            <v>Máster psicología general sanitaria</v>
          </cell>
          <cell r="K642" t="str">
            <v>Licenciatura en psicología</v>
          </cell>
          <cell r="L642" t="str">
            <v/>
          </cell>
          <cell r="M642" t="str">
            <v>Professional</v>
          </cell>
          <cell r="N642" t="str">
            <v/>
          </cell>
          <cell r="O642" t="str">
            <v>CSS</v>
          </cell>
          <cell r="P642">
            <v>0</v>
          </cell>
          <cell r="Q642" t="str">
            <v xml:space="preserve"> </v>
          </cell>
          <cell r="R642"/>
          <cell r="S642"/>
          <cell r="T642" t="str">
            <v>Sin reducción</v>
          </cell>
          <cell r="U642">
            <v>0</v>
          </cell>
          <cell r="V642"/>
          <cell r="W642"/>
          <cell r="X642">
            <v>0</v>
          </cell>
          <cell r="Y642">
            <v>0</v>
          </cell>
          <cell r="Z642">
            <v>0</v>
          </cell>
          <cell r="AA642"/>
          <cell r="AB642" t="str">
            <v>Active - signed</v>
          </cell>
          <cell r="AC642" t="str">
            <v>ACTIVO</v>
          </cell>
          <cell r="AD642"/>
          <cell r="AE642"/>
          <cell r="AF642"/>
          <cell r="AG642"/>
          <cell r="AH642"/>
          <cell r="AI642" t="str">
            <v>48954998g</v>
          </cell>
        </row>
        <row r="643">
          <cell r="A643" t="str">
            <v>75704179R</v>
          </cell>
          <cell r="B643" t="str">
            <v>Marín Romero</v>
          </cell>
          <cell r="C643" t="str">
            <v>Bartolomé</v>
          </cell>
          <cell r="D643" t="str">
            <v>Marín Romero, Bartolomé</v>
          </cell>
          <cell r="E643" t="str">
            <v>bartolome.marin</v>
          </cell>
          <cell r="F643" t="str">
            <v>bartolome.marin@professional.universidadviu.com</v>
          </cell>
          <cell r="G643" t="str">
            <v>Yes</v>
          </cell>
          <cell r="H643" t="str">
            <v>NO</v>
          </cell>
          <cell r="I643" t="str">
            <v>Programa de Doctorado en Ciencias de la Salud</v>
          </cell>
          <cell r="J643" t="str">
            <v>Licenciado</v>
          </cell>
          <cell r="K643" t="str">
            <v/>
          </cell>
          <cell r="L643" t="str">
            <v/>
          </cell>
          <cell r="M643" t="str">
            <v>Professional</v>
          </cell>
          <cell r="N643" t="str">
            <v/>
          </cell>
          <cell r="O643" t="str">
            <v>CSS</v>
          </cell>
          <cell r="P643">
            <v>0</v>
          </cell>
          <cell r="Q643" t="str">
            <v xml:space="preserve"> </v>
          </cell>
          <cell r="R643"/>
          <cell r="S643"/>
          <cell r="T643" t="str">
            <v>Sin reducción</v>
          </cell>
          <cell r="U643">
            <v>0</v>
          </cell>
          <cell r="V643"/>
          <cell r="W643"/>
          <cell r="X643">
            <v>0</v>
          </cell>
          <cell r="Y643">
            <v>0</v>
          </cell>
          <cell r="Z643">
            <v>0</v>
          </cell>
          <cell r="AA643"/>
          <cell r="AB643" t="str">
            <v>Active - signed</v>
          </cell>
          <cell r="AC643" t="str">
            <v>ACTIVO</v>
          </cell>
          <cell r="AD643"/>
          <cell r="AE643"/>
          <cell r="AF643"/>
          <cell r="AG643"/>
          <cell r="AH643"/>
          <cell r="AI643" t="str">
            <v>75704179R</v>
          </cell>
        </row>
        <row r="644">
          <cell r="A644" t="str">
            <v>G08538739</v>
          </cell>
          <cell r="B644" t="str">
            <v>Marín Tejeda</v>
          </cell>
          <cell r="C644" t="str">
            <v>Miguel Israel</v>
          </cell>
          <cell r="D644" t="str">
            <v>Marín Tejeda, Miguel Israel</v>
          </cell>
          <cell r="E644" t="str">
            <v>miguelisrael.marin</v>
          </cell>
          <cell r="F644" t="str">
            <v>miguelisrael.marin@professional.universidadviu.com</v>
          </cell>
          <cell r="G644" t="str">
            <v>Yes</v>
          </cell>
          <cell r="H644" t="str">
            <v>NO</v>
          </cell>
          <cell r="I644" t="str">
            <v>Psicología</v>
          </cell>
          <cell r="J644" t="str">
            <v>Doctor en Psicología</v>
          </cell>
          <cell r="K644" t="str">
            <v>Titulo Maestro en Psicología</v>
          </cell>
          <cell r="L644" t="str">
            <v/>
          </cell>
          <cell r="M644" t="str">
            <v>Professional</v>
          </cell>
          <cell r="N644" t="str">
            <v/>
          </cell>
          <cell r="O644" t="str">
            <v>CSS</v>
          </cell>
          <cell r="P644">
            <v>0</v>
          </cell>
          <cell r="Q644" t="str">
            <v xml:space="preserve"> </v>
          </cell>
          <cell r="R644"/>
          <cell r="S644"/>
          <cell r="T644" t="str">
            <v>Sin reducción</v>
          </cell>
          <cell r="U644">
            <v>0</v>
          </cell>
          <cell r="V644"/>
          <cell r="W644"/>
          <cell r="X644">
            <v>0</v>
          </cell>
          <cell r="Y644">
            <v>0</v>
          </cell>
          <cell r="Z644">
            <v>0</v>
          </cell>
          <cell r="AA644"/>
          <cell r="AB644" t="str">
            <v>Active - signed</v>
          </cell>
          <cell r="AC644" t="str">
            <v>ACTIVO</v>
          </cell>
          <cell r="AD644"/>
          <cell r="AE644"/>
          <cell r="AF644"/>
          <cell r="AG644"/>
          <cell r="AH644"/>
          <cell r="AI644" t="str">
            <v>G08538739</v>
          </cell>
        </row>
        <row r="645">
          <cell r="A645" t="str">
            <v>53162169S</v>
          </cell>
          <cell r="B645" t="str">
            <v>Mariñas Pardo</v>
          </cell>
          <cell r="C645" t="str">
            <v>Luis Antonio</v>
          </cell>
          <cell r="D645" t="str">
            <v>Mariñas Pardo, Luis Antonio</v>
          </cell>
          <cell r="E645" t="str">
            <v>luisantonio.marinas</v>
          </cell>
          <cell r="F645" t="str">
            <v>luisantonio.marinas@professor.universidadviu.com</v>
          </cell>
          <cell r="G645" t="str">
            <v>Yes</v>
          </cell>
          <cell r="H645" t="str">
            <v>Yes</v>
          </cell>
          <cell r="I645" t="str">
            <v>Programa de Doctorado en Biología Marina y Acuicultura</v>
          </cell>
          <cell r="J645" t="str">
            <v>Máster Universitario en Administración, Dirección y Organización de Empresas</v>
          </cell>
          <cell r="K645" t="str">
            <v>Programa de Doctorado en Biología Marina y Acuicultura</v>
          </cell>
          <cell r="L645" t="str">
            <v>Licenciado en Biología</v>
          </cell>
          <cell r="M645" t="str">
            <v>Labour</v>
          </cell>
          <cell r="N645" t="str">
            <v>Consultar Vicerrectorado de Investigación</v>
          </cell>
          <cell r="O645" t="str">
            <v>CBS</v>
          </cell>
          <cell r="P645">
            <v>100</v>
          </cell>
          <cell r="Q645" t="str">
            <v>50</v>
          </cell>
          <cell r="R645"/>
          <cell r="S645"/>
          <cell r="T645" t="str">
            <v>Investigador/a Senior</v>
          </cell>
          <cell r="U645" t="str">
            <v>38</v>
          </cell>
          <cell r="V645"/>
          <cell r="W645"/>
          <cell r="X645">
            <v>0</v>
          </cell>
          <cell r="Y645">
            <v>11.9</v>
          </cell>
          <cell r="Z645">
            <v>5.6</v>
          </cell>
          <cell r="AA645"/>
          <cell r="AB645" t="str">
            <v>Active - signed</v>
          </cell>
          <cell r="AC645" t="str">
            <v>ACTIVO</v>
          </cell>
          <cell r="AD645"/>
          <cell r="AE645"/>
          <cell r="AF645"/>
          <cell r="AG645"/>
          <cell r="AH645"/>
          <cell r="AI645" t="str">
            <v>53162169S</v>
          </cell>
        </row>
        <row r="646">
          <cell r="A646" t="str">
            <v>19891446B</v>
          </cell>
          <cell r="B646" t="str">
            <v>Mármol López</v>
          </cell>
          <cell r="C646" t="str">
            <v>María Isabel</v>
          </cell>
          <cell r="D646" t="str">
            <v>Mármol López, María Isabel</v>
          </cell>
          <cell r="E646" t="str">
            <v>mariaisabel.marmol</v>
          </cell>
          <cell r="F646" t="str">
            <v>mariaisabel.marmol@professor.universidadviu.com</v>
          </cell>
          <cell r="G646" t="str">
            <v>Yes</v>
          </cell>
          <cell r="H646" t="str">
            <v>Yes</v>
          </cell>
          <cell r="I646" t="str">
            <v>Enfermería</v>
          </cell>
          <cell r="J646" t="str">
            <v>Programa de Ciencias de la Salud</v>
          </cell>
          <cell r="K646" t="str">
            <v>Máster en auditoría, acreditación y evaluación de la calidad e las organizaciones y prácticas sanitarias</v>
          </cell>
          <cell r="L646" t="str">
            <v>Licenciada en Filosofía y Ciencias de la Educación</v>
          </cell>
          <cell r="M646" t="str">
            <v>Labour</v>
          </cell>
          <cell r="N646" t="str">
            <v>Vila Candel, Rafael</v>
          </cell>
          <cell r="O646" t="str">
            <v>CBS</v>
          </cell>
          <cell r="P646">
            <v>40</v>
          </cell>
          <cell r="Q646" t="str">
            <v>32</v>
          </cell>
          <cell r="R646"/>
          <cell r="S646"/>
          <cell r="T646" t="str">
            <v>Sin reducción</v>
          </cell>
          <cell r="U646">
            <v>0</v>
          </cell>
          <cell r="V646"/>
          <cell r="W646"/>
          <cell r="X646">
            <v>0</v>
          </cell>
          <cell r="Y646">
            <v>10.6</v>
          </cell>
          <cell r="Z646">
            <v>19</v>
          </cell>
          <cell r="AA646"/>
          <cell r="AB646" t="str">
            <v>Active - signed</v>
          </cell>
          <cell r="AC646" t="str">
            <v>ACTIVO</v>
          </cell>
          <cell r="AD646"/>
          <cell r="AE646"/>
          <cell r="AF646"/>
          <cell r="AG646"/>
          <cell r="AH646"/>
          <cell r="AI646" t="str">
            <v>19891446B</v>
          </cell>
        </row>
        <row r="647">
          <cell r="A647" t="str">
            <v>X8583433V</v>
          </cell>
          <cell r="B647" t="str">
            <v>Márquez Arrico</v>
          </cell>
          <cell r="C647" t="str">
            <v>Julia Elena</v>
          </cell>
          <cell r="D647" t="str">
            <v>Márquez Arrico, Julia Elena</v>
          </cell>
          <cell r="E647" t="str">
            <v>juliaelena.marquez</v>
          </cell>
          <cell r="F647" t="str">
            <v>juliaelena.marquez@professional.universidadviu.com</v>
          </cell>
          <cell r="G647" t="str">
            <v>Yes</v>
          </cell>
          <cell r="H647" t="str">
            <v>Yes</v>
          </cell>
          <cell r="I647" t="str">
            <v>Doctora en Psicología Clínica y de la salud</v>
          </cell>
          <cell r="J647" t="str">
            <v>Máster Universitario en Psicología Clínica y de la Salud</v>
          </cell>
          <cell r="K647" t="str">
            <v/>
          </cell>
          <cell r="L647" t="str">
            <v/>
          </cell>
          <cell r="M647" t="str">
            <v>Professional</v>
          </cell>
          <cell r="N647" t="str">
            <v/>
          </cell>
          <cell r="O647" t="str">
            <v>CSS</v>
          </cell>
          <cell r="P647">
            <v>0</v>
          </cell>
          <cell r="Q647" t="str">
            <v xml:space="preserve"> </v>
          </cell>
          <cell r="R647"/>
          <cell r="S647"/>
          <cell r="T647" t="str">
            <v>Sin reducción</v>
          </cell>
          <cell r="U647">
            <v>0</v>
          </cell>
          <cell r="V647"/>
          <cell r="W647"/>
          <cell r="X647">
            <v>0</v>
          </cell>
          <cell r="Y647">
            <v>0</v>
          </cell>
          <cell r="Z647">
            <v>0</v>
          </cell>
          <cell r="AA647"/>
          <cell r="AB647" t="str">
            <v>Active - signed</v>
          </cell>
          <cell r="AC647" t="str">
            <v>ACTIVO</v>
          </cell>
          <cell r="AD647"/>
          <cell r="AE647"/>
          <cell r="AF647"/>
          <cell r="AG647"/>
          <cell r="AH647"/>
          <cell r="AI647" t="str">
            <v>X8583433V</v>
          </cell>
        </row>
        <row r="648">
          <cell r="A648" t="str">
            <v>48324338G</v>
          </cell>
          <cell r="B648" t="str">
            <v>Márquez Baldó</v>
          </cell>
          <cell r="C648" t="str">
            <v>Lidia</v>
          </cell>
          <cell r="D648" t="str">
            <v>Márquez Baldó, Lidia</v>
          </cell>
          <cell r="E648" t="str">
            <v>lidia.marquez.b</v>
          </cell>
          <cell r="F648" t="str">
            <v>lidia.marquez.b@professor.universidadviu.com</v>
          </cell>
          <cell r="G648" t="str">
            <v>NO</v>
          </cell>
          <cell r="H648" t="str">
            <v>NO</v>
          </cell>
          <cell r="I648" t="str">
            <v>Licenciada en Pedagogía</v>
          </cell>
          <cell r="J648" t="str">
            <v/>
          </cell>
          <cell r="K648" t="str">
            <v/>
          </cell>
          <cell r="L648" t="str">
            <v/>
          </cell>
          <cell r="M648" t="str">
            <v>Labour</v>
          </cell>
          <cell r="N648"/>
          <cell r="O648" t="str">
            <v>CSS</v>
          </cell>
          <cell r="P648">
            <v>100</v>
          </cell>
          <cell r="Q648" t="str">
            <v>50</v>
          </cell>
          <cell r="R648"/>
          <cell r="S648"/>
          <cell r="T648" t="str">
            <v>Sin reducción</v>
          </cell>
          <cell r="U648">
            <v>0</v>
          </cell>
          <cell r="V648"/>
          <cell r="W648"/>
          <cell r="X648">
            <v>0</v>
          </cell>
          <cell r="Y648">
            <v>0</v>
          </cell>
          <cell r="Z648">
            <v>0</v>
          </cell>
          <cell r="AA648"/>
          <cell r="AB648" t="str">
            <v>Concluded</v>
          </cell>
          <cell r="AC648" t="str">
            <v>NO ACTIVO</v>
          </cell>
          <cell r="AD648"/>
          <cell r="AE648"/>
          <cell r="AF648">
            <v>45555</v>
          </cell>
          <cell r="AG648" t="str">
            <v>CESE DE CONTRATO</v>
          </cell>
          <cell r="AH648"/>
          <cell r="AI648" t="str">
            <v>48324338G</v>
          </cell>
        </row>
        <row r="649">
          <cell r="A649" t="str">
            <v>Y2098764M</v>
          </cell>
          <cell r="B649" t="str">
            <v>Márquez Rodríguez</v>
          </cell>
          <cell r="C649" t="str">
            <v>Reinaldo Luis</v>
          </cell>
          <cell r="D649" t="str">
            <v>Márquez Rodríguez, Reinaldo Luis</v>
          </cell>
          <cell r="E649" t="str">
            <v>reinaldoluis.marquez</v>
          </cell>
          <cell r="F649" t="str">
            <v>reinaldoluis.marquez@professional.universidadviu.com</v>
          </cell>
          <cell r="G649" t="str">
            <v>NO</v>
          </cell>
          <cell r="H649" t="str">
            <v>NO</v>
          </cell>
          <cell r="I649" t="str">
            <v>Licenciatura en Medicina</v>
          </cell>
          <cell r="J649" t="str">
            <v/>
          </cell>
          <cell r="K649" t="str">
            <v/>
          </cell>
          <cell r="L649" t="str">
            <v/>
          </cell>
          <cell r="M649" t="str">
            <v>Professional</v>
          </cell>
          <cell r="N649" t="str">
            <v/>
          </cell>
          <cell r="O649" t="str">
            <v>CBS</v>
          </cell>
          <cell r="P649">
            <v>0</v>
          </cell>
          <cell r="Q649" t="str">
            <v xml:space="preserve"> </v>
          </cell>
          <cell r="R649"/>
          <cell r="S649"/>
          <cell r="T649" t="str">
            <v>Sin reducción</v>
          </cell>
          <cell r="U649">
            <v>0</v>
          </cell>
          <cell r="V649"/>
          <cell r="W649"/>
          <cell r="X649">
            <v>0</v>
          </cell>
          <cell r="Y649">
            <v>0</v>
          </cell>
          <cell r="Z649">
            <v>0</v>
          </cell>
          <cell r="AA649"/>
          <cell r="AB649" t="str">
            <v>Active - signed</v>
          </cell>
          <cell r="AC649" t="str">
            <v>NO ACTIVO</v>
          </cell>
          <cell r="AD649"/>
          <cell r="AE649"/>
          <cell r="AF649"/>
          <cell r="AG649" t="str">
            <v>CESE DE CONTRATO</v>
          </cell>
          <cell r="AH649"/>
          <cell r="AI649" t="str">
            <v>Y2098764M</v>
          </cell>
        </row>
        <row r="650">
          <cell r="A650" t="str">
            <v>47327606T</v>
          </cell>
          <cell r="B650" t="str">
            <v>Marquina Rodríguez</v>
          </cell>
          <cell r="C650" t="str">
            <v>María Isabel</v>
          </cell>
          <cell r="D650" t="str">
            <v>Marquina Rodríguez, María Isabel</v>
          </cell>
          <cell r="E650" t="str">
            <v>mariaisabel.marquina</v>
          </cell>
          <cell r="F650" t="str">
            <v>mariaisabel.marquina@professor.universidadviu.com</v>
          </cell>
          <cell r="G650" t="str">
            <v>Yes</v>
          </cell>
          <cell r="H650" t="str">
            <v>Yes</v>
          </cell>
          <cell r="I650" t="str">
            <v>Biotecnología</v>
          </cell>
          <cell r="J650" t="str">
            <v>Programa de Biotecnología</v>
          </cell>
          <cell r="K650" t="str">
            <v>Licenciada en Biología</v>
          </cell>
          <cell r="L650" t="str">
            <v/>
          </cell>
          <cell r="M650" t="str">
            <v>Labour</v>
          </cell>
          <cell r="N650" t="str">
            <v>Consultar Vicerrectorado de Investigación</v>
          </cell>
          <cell r="O650" t="str">
            <v>CBS</v>
          </cell>
          <cell r="P650">
            <v>100</v>
          </cell>
          <cell r="Q650" t="str">
            <v>50</v>
          </cell>
          <cell r="R650"/>
          <cell r="S650" t="str">
            <v>2004-2016</v>
          </cell>
          <cell r="T650" t="str">
            <v>Director/a VIU</v>
          </cell>
          <cell r="U650" t="str">
            <v>38</v>
          </cell>
          <cell r="V650"/>
          <cell r="W650"/>
          <cell r="X650">
            <v>0</v>
          </cell>
          <cell r="Y650">
            <v>12</v>
          </cell>
          <cell r="Z650">
            <v>0</v>
          </cell>
          <cell r="AA650"/>
          <cell r="AB650" t="str">
            <v>Active - signed</v>
          </cell>
          <cell r="AC650" t="str">
            <v>ACTIVO</v>
          </cell>
          <cell r="AD650"/>
          <cell r="AE650"/>
          <cell r="AF650"/>
          <cell r="AG650"/>
          <cell r="AH650"/>
          <cell r="AI650" t="str">
            <v>47327606T</v>
          </cell>
        </row>
        <row r="651">
          <cell r="A651" t="str">
            <v>28708210R</v>
          </cell>
          <cell r="B651" t="str">
            <v>Marquínez Rengifo</v>
          </cell>
          <cell r="C651" t="str">
            <v>José Manuel</v>
          </cell>
          <cell r="D651" t="str">
            <v>Marquínez Rengifo, José Manuel</v>
          </cell>
          <cell r="E651" t="str">
            <v>jmarquinezr@professional.universidadviu.com</v>
          </cell>
          <cell r="F651" t="str">
            <v>jmarquinezr@professional.universidadviu.com</v>
          </cell>
          <cell r="G651" t="str">
            <v>Yes</v>
          </cell>
          <cell r="H651" t="str">
            <v>NO</v>
          </cell>
          <cell r="I651" t="str">
            <v>Tutor Honorífico</v>
          </cell>
          <cell r="J651" t="str">
            <v>Doctorado en Ciencias de la Salud</v>
          </cell>
          <cell r="K651" t="str">
            <v>Master Universitrio en Criminología y Ciencias Forenses</v>
          </cell>
          <cell r="L651" t="str">
            <v/>
          </cell>
          <cell r="M651" t="str">
            <v>Professional</v>
          </cell>
          <cell r="N651" t="str">
            <v/>
          </cell>
          <cell r="O651" t="str">
            <v>CSS</v>
          </cell>
          <cell r="P651">
            <v>0</v>
          </cell>
          <cell r="Q651" t="str">
            <v xml:space="preserve"> </v>
          </cell>
          <cell r="R651"/>
          <cell r="S651"/>
          <cell r="T651" t="str">
            <v>Sin reducción</v>
          </cell>
          <cell r="U651">
            <v>0</v>
          </cell>
          <cell r="V651"/>
          <cell r="W651"/>
          <cell r="X651">
            <v>0</v>
          </cell>
          <cell r="Y651">
            <v>0</v>
          </cell>
          <cell r="Z651">
            <v>0</v>
          </cell>
          <cell r="AA651"/>
          <cell r="AB651" t="str">
            <v>Active - signed</v>
          </cell>
          <cell r="AC651" t="str">
            <v>ACTIVO</v>
          </cell>
          <cell r="AD651"/>
          <cell r="AE651"/>
          <cell r="AF651"/>
          <cell r="AG651"/>
          <cell r="AH651"/>
          <cell r="AI651" t="str">
            <v>28708210R</v>
          </cell>
        </row>
        <row r="652">
          <cell r="A652" t="str">
            <v>08822386T</v>
          </cell>
          <cell r="B652" t="str">
            <v>Marredo Rosa</v>
          </cell>
          <cell r="C652" t="str">
            <v>Jorge</v>
          </cell>
          <cell r="D652" t="str">
            <v>Marredo Rosa, Jorge</v>
          </cell>
          <cell r="E652" t="str">
            <v>jorge.marredo</v>
          </cell>
          <cell r="F652" t="str">
            <v>jorge.marredo@professional.universidadviu.com</v>
          </cell>
          <cell r="G652" t="str">
            <v>Yes</v>
          </cell>
          <cell r="H652" t="str">
            <v>NO</v>
          </cell>
          <cell r="I652" t="str">
            <v>Programa de Doctorado en Desarrollo e Intervención Psicológica</v>
          </cell>
          <cell r="J652" t="str">
            <v>Licenciado</v>
          </cell>
          <cell r="K652" t="str">
            <v/>
          </cell>
          <cell r="L652" t="str">
            <v/>
          </cell>
          <cell r="M652" t="str">
            <v>Professional</v>
          </cell>
          <cell r="N652" t="str">
            <v/>
          </cell>
          <cell r="O652" t="str">
            <v>CSS</v>
          </cell>
          <cell r="P652">
            <v>0</v>
          </cell>
          <cell r="Q652" t="str">
            <v xml:space="preserve"> </v>
          </cell>
          <cell r="R652"/>
          <cell r="S652"/>
          <cell r="T652" t="str">
            <v>Sin reducción</v>
          </cell>
          <cell r="U652">
            <v>0</v>
          </cell>
          <cell r="V652"/>
          <cell r="W652"/>
          <cell r="X652">
            <v>0</v>
          </cell>
          <cell r="Y652">
            <v>0</v>
          </cell>
          <cell r="Z652">
            <v>0</v>
          </cell>
          <cell r="AA652"/>
          <cell r="AB652" t="str">
            <v>Active - signed</v>
          </cell>
          <cell r="AC652" t="str">
            <v>ACTIVO</v>
          </cell>
          <cell r="AD652"/>
          <cell r="AE652"/>
          <cell r="AF652"/>
          <cell r="AG652"/>
          <cell r="AH652"/>
          <cell r="AI652" t="str">
            <v>08822386T</v>
          </cell>
        </row>
        <row r="653">
          <cell r="A653" t="str">
            <v>78213033S</v>
          </cell>
          <cell r="B653" t="str">
            <v>Martí Noguera</v>
          </cell>
          <cell r="C653" t="str">
            <v>Juan José</v>
          </cell>
          <cell r="D653" t="str">
            <v>Martí Noguera, Juan José</v>
          </cell>
          <cell r="E653" t="e">
            <v>#VALUE!</v>
          </cell>
          <cell r="F653" t="str">
            <v>juanjose.marti@professor.universidadviu.com</v>
          </cell>
          <cell r="G653" t="e">
            <v>#VALUE!</v>
          </cell>
          <cell r="H653" t="e">
            <v>#VALUE!</v>
          </cell>
          <cell r="I653" t="str">
            <v>Programa de doctorado Desarrollo personal y participación social</v>
          </cell>
          <cell r="J653" t="str">
            <v>Programa de doctorado Desarrollo personal y participación social</v>
          </cell>
          <cell r="K653" t="str">
            <v>Licenciado en Psicología</v>
          </cell>
          <cell r="L653" t="str">
            <v/>
          </cell>
          <cell r="M653" t="e">
            <v>#VALUE!</v>
          </cell>
          <cell r="N653" t="str">
            <v>Rama Galdón, Encarnación</v>
          </cell>
          <cell r="O653" t="str">
            <v>CSS</v>
          </cell>
          <cell r="P653" t="str">
            <v xml:space="preserve"> </v>
          </cell>
          <cell r="Q653" t="b">
            <v>0</v>
          </cell>
          <cell r="R653"/>
          <cell r="S653"/>
          <cell r="T653" t="str">
            <v>Sin reducción</v>
          </cell>
          <cell r="U653">
            <v>0</v>
          </cell>
          <cell r="V653"/>
          <cell r="W653"/>
          <cell r="X653">
            <v>0</v>
          </cell>
          <cell r="Y653">
            <v>0</v>
          </cell>
          <cell r="Z653">
            <v>0</v>
          </cell>
          <cell r="AA653"/>
          <cell r="AB653" t="e">
            <v>#VALUE!</v>
          </cell>
          <cell r="AC653" t="str">
            <v>BAJA TEMPORAL</v>
          </cell>
          <cell r="AD653">
            <v>44867</v>
          </cell>
          <cell r="AE653">
            <v>46327</v>
          </cell>
          <cell r="AF653"/>
          <cell r="AG653" t="str">
            <v>EXCEDENCIA</v>
          </cell>
          <cell r="AH653"/>
          <cell r="AI653" t="str">
            <v>78213033S</v>
          </cell>
        </row>
        <row r="654">
          <cell r="A654" t="str">
            <v>75925994G</v>
          </cell>
          <cell r="B654" t="str">
            <v>Martín De la Higuera</v>
          </cell>
          <cell r="C654" t="str">
            <v>José Carlos</v>
          </cell>
          <cell r="D654" t="str">
            <v>Martín De la Higuera, José Carlos</v>
          </cell>
          <cell r="E654" t="str">
            <v>jmartindelahiguera@professional.universidadviu.com</v>
          </cell>
          <cell r="F654" t="str">
            <v>jmartindelahiguera@professional.universidadviu.com</v>
          </cell>
          <cell r="G654" t="str">
            <v>NO</v>
          </cell>
          <cell r="H654" t="str">
            <v>NO</v>
          </cell>
          <cell r="I654" t="str">
            <v>Grado en Psicología</v>
          </cell>
          <cell r="J654" t="str">
            <v>Máster Universitario en Psicología Jurídica y Forense</v>
          </cell>
          <cell r="K654" t="str">
            <v/>
          </cell>
          <cell r="L654" t="str">
            <v/>
          </cell>
          <cell r="M654" t="str">
            <v>Professional</v>
          </cell>
          <cell r="N654" t="str">
            <v/>
          </cell>
          <cell r="O654" t="str">
            <v>CSS</v>
          </cell>
          <cell r="P654">
            <v>0</v>
          </cell>
          <cell r="Q654" t="str">
            <v xml:space="preserve"> </v>
          </cell>
          <cell r="R654"/>
          <cell r="S654"/>
          <cell r="T654" t="str">
            <v>Sin reducción</v>
          </cell>
          <cell r="U654">
            <v>0</v>
          </cell>
          <cell r="V654"/>
          <cell r="W654"/>
          <cell r="X654">
            <v>0</v>
          </cell>
          <cell r="Y654">
            <v>0</v>
          </cell>
          <cell r="Z654">
            <v>0</v>
          </cell>
          <cell r="AA654"/>
          <cell r="AB654" t="str">
            <v>Active - signed</v>
          </cell>
          <cell r="AC654" t="str">
            <v>ACTIVO</v>
          </cell>
          <cell r="AD654"/>
          <cell r="AE654"/>
          <cell r="AF654"/>
          <cell r="AG654"/>
          <cell r="AH654"/>
          <cell r="AI654" t="str">
            <v>75925994G</v>
          </cell>
        </row>
        <row r="655">
          <cell r="A655" t="str">
            <v>29787278R</v>
          </cell>
          <cell r="B655" t="str">
            <v>Martín Guitart</v>
          </cell>
          <cell r="C655" t="str">
            <v>Juan Jesús</v>
          </cell>
          <cell r="D655" t="str">
            <v>Martín Guitart, Juan Jesús</v>
          </cell>
          <cell r="E655" t="str">
            <v>jmarting@professional.universidadviu.com</v>
          </cell>
          <cell r="F655" t="str">
            <v>juanjesus.martin.g</v>
          </cell>
          <cell r="G655" t="str">
            <v>NO</v>
          </cell>
          <cell r="H655" t="str">
            <v>NO</v>
          </cell>
          <cell r="I655" t="str">
            <v/>
          </cell>
          <cell r="J655" t="str">
            <v/>
          </cell>
          <cell r="K655" t="str">
            <v/>
          </cell>
          <cell r="L655" t="str">
            <v/>
          </cell>
          <cell r="M655" t="str">
            <v>Professional</v>
          </cell>
          <cell r="N655"/>
          <cell r="O655" t="str">
            <v>CSS</v>
          </cell>
          <cell r="P655">
            <v>0</v>
          </cell>
          <cell r="Q655" t="str">
            <v xml:space="preserve"> </v>
          </cell>
          <cell r="R655"/>
          <cell r="S655"/>
          <cell r="T655" t="str">
            <v>Sin reducción</v>
          </cell>
          <cell r="U655">
            <v>0</v>
          </cell>
          <cell r="V655"/>
          <cell r="W655"/>
          <cell r="X655">
            <v>0</v>
          </cell>
          <cell r="Y655">
            <v>0</v>
          </cell>
          <cell r="Z655">
            <v>0</v>
          </cell>
          <cell r="AA655"/>
          <cell r="AB655" t="str">
            <v>Active - signed</v>
          </cell>
          <cell r="AC655" t="str">
            <v>ACTIVO</v>
          </cell>
          <cell r="AD655"/>
          <cell r="AE655"/>
          <cell r="AF655"/>
          <cell r="AG655"/>
          <cell r="AH655"/>
          <cell r="AI655" t="str">
            <v>29787278R</v>
          </cell>
        </row>
        <row r="656">
          <cell r="A656" t="str">
            <v>24215327F</v>
          </cell>
          <cell r="B656" t="str">
            <v>Martín Molina</v>
          </cell>
          <cell r="C656" t="str">
            <v>Francisco</v>
          </cell>
          <cell r="D656" t="str">
            <v>Martín Molina, Francisco</v>
          </cell>
          <cell r="E656" t="str">
            <v>fmartinm@professional.universidadviu.com</v>
          </cell>
          <cell r="F656" t="str">
            <v>fmartinm@professional.universidadviu.com</v>
          </cell>
          <cell r="G656" t="str">
            <v>Yes</v>
          </cell>
          <cell r="H656" t="str">
            <v>Yes</v>
          </cell>
          <cell r="I656">
            <v>0</v>
          </cell>
          <cell r="J656" t="str">
            <v>Licenciado en Biología</v>
          </cell>
          <cell r="K656" t="str">
            <v/>
          </cell>
          <cell r="L656" t="str">
            <v/>
          </cell>
          <cell r="M656" t="str">
            <v>Professional</v>
          </cell>
          <cell r="N656" t="str">
            <v/>
          </cell>
          <cell r="O656" t="str">
            <v>CBS</v>
          </cell>
          <cell r="P656">
            <v>0</v>
          </cell>
          <cell r="Q656" t="str">
            <v xml:space="preserve"> </v>
          </cell>
          <cell r="R656"/>
          <cell r="S656"/>
          <cell r="T656" t="str">
            <v>Sin reducción</v>
          </cell>
          <cell r="U656">
            <v>0</v>
          </cell>
          <cell r="V656"/>
          <cell r="W656"/>
          <cell r="X656">
            <v>0</v>
          </cell>
          <cell r="Y656">
            <v>0</v>
          </cell>
          <cell r="Z656">
            <v>0</v>
          </cell>
          <cell r="AA656"/>
          <cell r="AB656" t="str">
            <v>Active - signed</v>
          </cell>
          <cell r="AC656" t="str">
            <v>ACTIVO</v>
          </cell>
          <cell r="AD656"/>
          <cell r="AE656"/>
          <cell r="AF656"/>
          <cell r="AG656"/>
          <cell r="AH656"/>
          <cell r="AI656" t="str">
            <v>24215327F</v>
          </cell>
        </row>
        <row r="657">
          <cell r="A657" t="str">
            <v>76042241D</v>
          </cell>
          <cell r="B657" t="str">
            <v>Martín Ríos</v>
          </cell>
          <cell r="C657" t="str">
            <v>Raquel</v>
          </cell>
          <cell r="D657" t="str">
            <v>Martín Ríos, Raquel</v>
          </cell>
          <cell r="E657" t="str">
            <v>rmartinr@professional.universidadviu.com</v>
          </cell>
          <cell r="F657" t="str">
            <v>rmartinr@professional.universidadviu.com</v>
          </cell>
          <cell r="G657" t="str">
            <v>Yes</v>
          </cell>
          <cell r="H657" t="str">
            <v>NO</v>
          </cell>
          <cell r="I657" t="str">
            <v>Doctorado en Psicología</v>
          </cell>
          <cell r="J657" t="str">
            <v>Máster en Neurociencia Cognitiva y del Comportamiento</v>
          </cell>
          <cell r="K657" t="str">
            <v>Grado en Psicología</v>
          </cell>
          <cell r="L657" t="str">
            <v/>
          </cell>
          <cell r="M657" t="str">
            <v>Professional</v>
          </cell>
          <cell r="N657" t="str">
            <v/>
          </cell>
          <cell r="O657" t="str">
            <v>CSS</v>
          </cell>
          <cell r="P657">
            <v>0</v>
          </cell>
          <cell r="Q657" t="str">
            <v xml:space="preserve"> </v>
          </cell>
          <cell r="R657"/>
          <cell r="S657"/>
          <cell r="T657" t="str">
            <v>Sin reducción</v>
          </cell>
          <cell r="U657">
            <v>0</v>
          </cell>
          <cell r="V657"/>
          <cell r="W657"/>
          <cell r="X657">
            <v>0</v>
          </cell>
          <cell r="Y657">
            <v>0</v>
          </cell>
          <cell r="Z657">
            <v>0</v>
          </cell>
          <cell r="AA657"/>
          <cell r="AB657" t="str">
            <v>Active - signed</v>
          </cell>
          <cell r="AC657" t="str">
            <v>ACTIVO</v>
          </cell>
          <cell r="AD657"/>
          <cell r="AE657"/>
          <cell r="AF657"/>
          <cell r="AG657"/>
          <cell r="AH657"/>
          <cell r="AI657" t="str">
            <v>76042241D</v>
          </cell>
        </row>
        <row r="658">
          <cell r="A658" t="str">
            <v>50852698C</v>
          </cell>
          <cell r="B658" t="str">
            <v>Martín Rodríguez</v>
          </cell>
          <cell r="C658" t="str">
            <v>Deborah</v>
          </cell>
          <cell r="D658" t="str">
            <v>Martín Rodríguez, Deborah</v>
          </cell>
          <cell r="E658" t="str">
            <v>deborah.martin</v>
          </cell>
          <cell r="F658" t="str">
            <v>deborah.martin@professional.universidadviu.com</v>
          </cell>
          <cell r="G658" t="str">
            <v>NO</v>
          </cell>
          <cell r="H658" t="str">
            <v>NO</v>
          </cell>
          <cell r="I658" t="str">
            <v>Psicología</v>
          </cell>
          <cell r="J658" t="str">
            <v>Licenciada en Filosofía y Ciencias de la Educación</v>
          </cell>
          <cell r="K658" t="str">
            <v>Máster en Psicología Jurídica</v>
          </cell>
          <cell r="L658" t="str">
            <v/>
          </cell>
          <cell r="M658" t="str">
            <v>Professional</v>
          </cell>
          <cell r="N658" t="str">
            <v/>
          </cell>
          <cell r="O658" t="str">
            <v>CSS</v>
          </cell>
          <cell r="P658">
            <v>0</v>
          </cell>
          <cell r="Q658" t="str">
            <v xml:space="preserve"> </v>
          </cell>
          <cell r="R658"/>
          <cell r="S658"/>
          <cell r="T658" t="str">
            <v>Sin reducción</v>
          </cell>
          <cell r="U658">
            <v>0</v>
          </cell>
          <cell r="V658"/>
          <cell r="W658"/>
          <cell r="X658">
            <v>0</v>
          </cell>
          <cell r="Y658">
            <v>0</v>
          </cell>
          <cell r="Z658">
            <v>0</v>
          </cell>
          <cell r="AA658"/>
          <cell r="AB658" t="str">
            <v>Active - signed</v>
          </cell>
          <cell r="AC658" t="str">
            <v>ACTIVO</v>
          </cell>
          <cell r="AD658"/>
          <cell r="AE658"/>
          <cell r="AF658"/>
          <cell r="AG658"/>
          <cell r="AH658"/>
          <cell r="AI658" t="str">
            <v>50852698C</v>
          </cell>
        </row>
        <row r="659">
          <cell r="A659" t="str">
            <v>05208296S</v>
          </cell>
          <cell r="B659" t="str">
            <v>Martín Sanz</v>
          </cell>
          <cell r="C659" t="str">
            <v>Noemy</v>
          </cell>
          <cell r="D659" t="str">
            <v>Martín Sanz, Noemy</v>
          </cell>
          <cell r="E659" t="str">
            <v>noemy.martin</v>
          </cell>
          <cell r="F659" t="str">
            <v>noemy.martin@professional.universidadviu.com</v>
          </cell>
          <cell r="G659" t="str">
            <v>Yes</v>
          </cell>
          <cell r="H659" t="str">
            <v>Yes</v>
          </cell>
          <cell r="I659" t="str">
            <v>Programa Oficial de Doctorado en Metodología de las Ciencias del Comportamiento y de la Salud</v>
          </cell>
          <cell r="J659" t="str">
            <v>Máster Universitario en Dirección de Recursos Humanos</v>
          </cell>
          <cell r="K659" t="str">
            <v/>
          </cell>
          <cell r="L659" t="str">
            <v/>
          </cell>
          <cell r="M659" t="str">
            <v>Professional</v>
          </cell>
          <cell r="N659" t="str">
            <v/>
          </cell>
          <cell r="O659"/>
          <cell r="P659">
            <v>0</v>
          </cell>
          <cell r="Q659" t="str">
            <v xml:space="preserve"> </v>
          </cell>
          <cell r="R659"/>
          <cell r="S659"/>
          <cell r="T659" t="str">
            <v>Sin reducción</v>
          </cell>
          <cell r="U659">
            <v>0</v>
          </cell>
          <cell r="V659"/>
          <cell r="W659"/>
          <cell r="X659">
            <v>0</v>
          </cell>
          <cell r="Y659">
            <v>0</v>
          </cell>
          <cell r="Z659">
            <v>0</v>
          </cell>
          <cell r="AA659"/>
          <cell r="AB659" t="str">
            <v>Active - signed</v>
          </cell>
          <cell r="AC659" t="str">
            <v>ACTIVO</v>
          </cell>
          <cell r="AD659"/>
          <cell r="AE659"/>
          <cell r="AF659"/>
          <cell r="AG659"/>
          <cell r="AH659"/>
          <cell r="AI659" t="str">
            <v>05208296S</v>
          </cell>
        </row>
        <row r="660">
          <cell r="A660" t="str">
            <v>51559479B</v>
          </cell>
          <cell r="B660" t="str">
            <v>Martín Valdelomar</v>
          </cell>
          <cell r="C660" t="str">
            <v>Alejandro</v>
          </cell>
          <cell r="D660" t="str">
            <v>Martín Valdelomar, Alejandro</v>
          </cell>
          <cell r="E660" t="str">
            <v>amartinv@professional.universidadviu.com</v>
          </cell>
          <cell r="F660" t="str">
            <v>amartinv@professional.universidadviu.com</v>
          </cell>
          <cell r="G660" t="str">
            <v>NO</v>
          </cell>
          <cell r="H660" t="str">
            <v>NO</v>
          </cell>
          <cell r="I660" t="str">
            <v>Máster Psicología General Sanitaria</v>
          </cell>
          <cell r="J660" t="str">
            <v/>
          </cell>
          <cell r="K660" t="str">
            <v/>
          </cell>
          <cell r="L660" t="str">
            <v/>
          </cell>
          <cell r="M660" t="str">
            <v>Professional</v>
          </cell>
          <cell r="N660" t="str">
            <v/>
          </cell>
          <cell r="O660" t="str">
            <v>CSS</v>
          </cell>
          <cell r="P660">
            <v>0</v>
          </cell>
          <cell r="Q660" t="str">
            <v xml:space="preserve"> </v>
          </cell>
          <cell r="R660"/>
          <cell r="S660"/>
          <cell r="T660" t="str">
            <v>Sin reducción</v>
          </cell>
          <cell r="U660">
            <v>0</v>
          </cell>
          <cell r="V660"/>
          <cell r="W660"/>
          <cell r="X660">
            <v>0</v>
          </cell>
          <cell r="Y660">
            <v>0</v>
          </cell>
          <cell r="Z660">
            <v>0</v>
          </cell>
          <cell r="AA660"/>
          <cell r="AB660" t="str">
            <v>Active - signed</v>
          </cell>
          <cell r="AC660" t="str">
            <v>ACTIVO</v>
          </cell>
          <cell r="AD660"/>
          <cell r="AE660"/>
          <cell r="AF660"/>
          <cell r="AG660"/>
          <cell r="AH660"/>
          <cell r="AI660" t="str">
            <v>51559479B</v>
          </cell>
        </row>
        <row r="661">
          <cell r="A661" t="str">
            <v>20912616G</v>
          </cell>
          <cell r="B661" t="str">
            <v>Martínez Arroyo</v>
          </cell>
          <cell r="C661" t="str">
            <v>Olga</v>
          </cell>
          <cell r="D661" t="str">
            <v>Martínez Arroyo, Olga</v>
          </cell>
          <cell r="E661" t="str">
            <v>omartineza@professional.universidadviu.com</v>
          </cell>
          <cell r="F661" t="str">
            <v>omartineza@professional.universidadviu.com</v>
          </cell>
          <cell r="G661" t="str">
            <v>NO</v>
          </cell>
          <cell r="H661" t="str">
            <v>NO</v>
          </cell>
          <cell r="I661" t="str">
            <v>Máster en Aproximaciones Moleculares en Ciencias de la Salud</v>
          </cell>
          <cell r="J661" t="str">
            <v>Grado en Biotecnología</v>
          </cell>
          <cell r="K661" t="str">
            <v/>
          </cell>
          <cell r="L661" t="str">
            <v/>
          </cell>
          <cell r="M661" t="str">
            <v>Professional</v>
          </cell>
          <cell r="N661"/>
          <cell r="O661" t="str">
            <v>CBS</v>
          </cell>
          <cell r="P661">
            <v>0</v>
          </cell>
          <cell r="Q661" t="str">
            <v xml:space="preserve"> </v>
          </cell>
          <cell r="R661"/>
          <cell r="S661"/>
          <cell r="T661" t="str">
            <v>Sin reducción</v>
          </cell>
          <cell r="U661">
            <v>0</v>
          </cell>
          <cell r="V661"/>
          <cell r="W661"/>
          <cell r="X661">
            <v>0</v>
          </cell>
          <cell r="Y661">
            <v>0</v>
          </cell>
          <cell r="Z661">
            <v>0</v>
          </cell>
          <cell r="AA661"/>
          <cell r="AB661" t="str">
            <v>Active - signed</v>
          </cell>
          <cell r="AC661" t="str">
            <v>ACTIVO</v>
          </cell>
          <cell r="AD661"/>
          <cell r="AE661"/>
          <cell r="AF661"/>
          <cell r="AG661"/>
          <cell r="AH661"/>
          <cell r="AI661" t="str">
            <v>20912616G</v>
          </cell>
        </row>
        <row r="662">
          <cell r="A662" t="str">
            <v>16638059C</v>
          </cell>
          <cell r="B662" t="str">
            <v>Martínez Bacaicoa</v>
          </cell>
          <cell r="C662" t="str">
            <v>Itxaso</v>
          </cell>
          <cell r="D662" t="str">
            <v>Martínez Bacaicoa, Itxaso</v>
          </cell>
          <cell r="E662" t="str">
            <v>itxaso.martinez</v>
          </cell>
          <cell r="F662" t="str">
            <v>itxaso.martinez@professor.universidadviu.com</v>
          </cell>
          <cell r="G662" t="str">
            <v>NO</v>
          </cell>
          <cell r="H662" t="str">
            <v>NO</v>
          </cell>
          <cell r="I662" t="str">
            <v>Logopedia</v>
          </cell>
          <cell r="J662" t="str">
            <v>Master Propio Terapia Orofacial y Miofuncional</v>
          </cell>
          <cell r="K662" t="str">
            <v/>
          </cell>
          <cell r="L662" t="str">
            <v/>
          </cell>
          <cell r="M662" t="str">
            <v>Labour</v>
          </cell>
          <cell r="N662" t="str">
            <v/>
          </cell>
          <cell r="O662" t="str">
            <v>CBS</v>
          </cell>
          <cell r="P662" t="str">
            <v>15,00</v>
          </cell>
          <cell r="Q662" t="b">
            <v>0</v>
          </cell>
          <cell r="R662"/>
          <cell r="S662"/>
          <cell r="T662" t="str">
            <v>Sin reducción</v>
          </cell>
          <cell r="U662">
            <v>0</v>
          </cell>
          <cell r="V662"/>
          <cell r="W662"/>
          <cell r="X662">
            <v>0</v>
          </cell>
          <cell r="Y662">
            <v>0</v>
          </cell>
          <cell r="Z662">
            <v>0</v>
          </cell>
          <cell r="AA662"/>
          <cell r="AB662" t="str">
            <v>Concluded</v>
          </cell>
          <cell r="AC662" t="str">
            <v>NO ACTIVO</v>
          </cell>
          <cell r="AD662"/>
          <cell r="AE662"/>
          <cell r="AF662">
            <v>45138</v>
          </cell>
          <cell r="AG662" t="str">
            <v>CESE DE CONTRATO</v>
          </cell>
          <cell r="AH662"/>
          <cell r="AI662" t="str">
            <v>16638059C</v>
          </cell>
        </row>
        <row r="663">
          <cell r="A663" t="str">
            <v>16638060K</v>
          </cell>
          <cell r="B663" t="str">
            <v>Martínez Bacaicoa</v>
          </cell>
          <cell r="C663" t="str">
            <v>Jone</v>
          </cell>
          <cell r="D663" t="str">
            <v>Martínez Bacaicoa, Jone</v>
          </cell>
          <cell r="E663" t="str">
            <v>jmartinezb@professional.universidadviu.com</v>
          </cell>
          <cell r="F663" t="str">
            <v>jmartinezb@professional.universidadviu.com</v>
          </cell>
          <cell r="G663" t="str">
            <v>Yes</v>
          </cell>
          <cell r="H663" t="str">
            <v>NO</v>
          </cell>
          <cell r="I663" t="str">
            <v>Máster en Psicología General Sanitaria</v>
          </cell>
          <cell r="J663" t="str">
            <v>Grado en Psicología</v>
          </cell>
          <cell r="K663" t="str">
            <v/>
          </cell>
          <cell r="L663" t="str">
            <v/>
          </cell>
          <cell r="M663" t="str">
            <v>Professional</v>
          </cell>
          <cell r="N663" t="str">
            <v/>
          </cell>
          <cell r="O663" t="str">
            <v>CSS</v>
          </cell>
          <cell r="P663">
            <v>0</v>
          </cell>
          <cell r="Q663" t="str">
            <v xml:space="preserve"> </v>
          </cell>
          <cell r="R663"/>
          <cell r="S663"/>
          <cell r="T663" t="str">
            <v>Sin reducción</v>
          </cell>
          <cell r="U663">
            <v>0</v>
          </cell>
          <cell r="V663"/>
          <cell r="W663"/>
          <cell r="X663">
            <v>0</v>
          </cell>
          <cell r="Y663">
            <v>0</v>
          </cell>
          <cell r="Z663">
            <v>0</v>
          </cell>
          <cell r="AA663"/>
          <cell r="AB663" t="str">
            <v>Active - signed</v>
          </cell>
          <cell r="AC663" t="str">
            <v>ACTIVO</v>
          </cell>
          <cell r="AD663"/>
          <cell r="AE663"/>
          <cell r="AF663"/>
          <cell r="AG663"/>
          <cell r="AH663"/>
          <cell r="AI663" t="str">
            <v>16638060K</v>
          </cell>
        </row>
        <row r="664">
          <cell r="A664" t="str">
            <v>52946571L</v>
          </cell>
          <cell r="B664" t="str">
            <v>Martínez Cano</v>
          </cell>
          <cell r="C664" t="str">
            <v>Ana</v>
          </cell>
          <cell r="D664" t="str">
            <v>Martínez Cano, Ana</v>
          </cell>
          <cell r="E664" t="str">
            <v>amartinezc@professor.universidadviu.com</v>
          </cell>
          <cell r="F664" t="str">
            <v>amartinezc@professor.universidadviu.com</v>
          </cell>
          <cell r="G664" t="str">
            <v>NO</v>
          </cell>
          <cell r="H664" t="str">
            <v>NO</v>
          </cell>
          <cell r="I664" t="str">
            <v>Máster Universitario de Ciencias de la Enfermería</v>
          </cell>
          <cell r="J664" t="str">
            <v>Grado en Enfermeria</v>
          </cell>
          <cell r="K664" t="str">
            <v/>
          </cell>
          <cell r="L664" t="str">
            <v/>
          </cell>
          <cell r="M664" t="str">
            <v>Labour</v>
          </cell>
          <cell r="N664" t="str">
            <v>Cabellos García, Ana Cristina</v>
          </cell>
          <cell r="O664" t="str">
            <v>CBS</v>
          </cell>
          <cell r="P664">
            <v>6</v>
          </cell>
          <cell r="Q664" t="str">
            <v>6</v>
          </cell>
          <cell r="R664"/>
          <cell r="S664"/>
          <cell r="T664" t="str">
            <v>Sin reducción</v>
          </cell>
          <cell r="U664">
            <v>0</v>
          </cell>
          <cell r="V664"/>
          <cell r="W664"/>
          <cell r="X664">
            <v>0</v>
          </cell>
          <cell r="Y664">
            <v>6</v>
          </cell>
          <cell r="Z664">
            <v>0</v>
          </cell>
          <cell r="AA664"/>
          <cell r="AB664" t="str">
            <v>Active - signed</v>
          </cell>
          <cell r="AC664" t="str">
            <v>ACTIVO</v>
          </cell>
          <cell r="AD664"/>
          <cell r="AE664"/>
          <cell r="AF664"/>
          <cell r="AG664"/>
          <cell r="AH664"/>
          <cell r="AI664" t="str">
            <v>52946571L</v>
          </cell>
        </row>
        <row r="665">
          <cell r="A665" t="str">
            <v>51936437E</v>
          </cell>
          <cell r="B665" t="str">
            <v>Martínez Castro</v>
          </cell>
          <cell r="C665" t="str">
            <v>María Isabel</v>
          </cell>
          <cell r="D665" t="str">
            <v>Martínez Castro, María Isabel</v>
          </cell>
          <cell r="E665" t="str">
            <v>mariaisabel.martinez.c</v>
          </cell>
          <cell r="F665" t="str">
            <v>mariaisabel.martinez.c@professional.universidadviu.com</v>
          </cell>
          <cell r="G665" t="str">
            <v>Yes</v>
          </cell>
          <cell r="H665" t="str">
            <v>NO</v>
          </cell>
          <cell r="I665" t="str">
            <v>Psicología</v>
          </cell>
          <cell r="J665" t="str">
            <v>Programa de Psicología Clínica Experimental</v>
          </cell>
          <cell r="K665" t="str">
            <v/>
          </cell>
          <cell r="L665" t="str">
            <v/>
          </cell>
          <cell r="M665" t="str">
            <v>Professional</v>
          </cell>
          <cell r="N665" t="str">
            <v/>
          </cell>
          <cell r="O665" t="str">
            <v>CSS</v>
          </cell>
          <cell r="P665">
            <v>0</v>
          </cell>
          <cell r="Q665" t="str">
            <v xml:space="preserve"> </v>
          </cell>
          <cell r="R665"/>
          <cell r="S665"/>
          <cell r="T665" t="str">
            <v>Sin reducción</v>
          </cell>
          <cell r="U665">
            <v>0</v>
          </cell>
          <cell r="V665"/>
          <cell r="W665"/>
          <cell r="X665">
            <v>0</v>
          </cell>
          <cell r="Y665">
            <v>0</v>
          </cell>
          <cell r="Z665">
            <v>0</v>
          </cell>
          <cell r="AA665"/>
          <cell r="AB665" t="str">
            <v>Active - signed</v>
          </cell>
          <cell r="AC665" t="str">
            <v>ACTIVO</v>
          </cell>
          <cell r="AD665"/>
          <cell r="AE665"/>
          <cell r="AF665"/>
          <cell r="AG665"/>
          <cell r="AH665"/>
          <cell r="AI665" t="str">
            <v>51936437E</v>
          </cell>
        </row>
        <row r="666">
          <cell r="A666" t="str">
            <v>77552944A</v>
          </cell>
          <cell r="B666" t="str">
            <v>Martínez Domingo</v>
          </cell>
          <cell r="C666" t="str">
            <v>José Antonio</v>
          </cell>
          <cell r="D666" t="str">
            <v>Martínez Domingo, José Antonio</v>
          </cell>
          <cell r="E666" t="str">
            <v>jmartinezd@professional.universidadviu.com</v>
          </cell>
          <cell r="F666" t="str">
            <v>jmartinezd@professional.universidadviu.com</v>
          </cell>
          <cell r="G666" t="str">
            <v>Yes</v>
          </cell>
          <cell r="H666" t="str">
            <v>NO</v>
          </cell>
          <cell r="I666" t="str">
            <v/>
          </cell>
          <cell r="J666" t="str">
            <v/>
          </cell>
          <cell r="K666" t="str">
            <v/>
          </cell>
          <cell r="L666" t="str">
            <v/>
          </cell>
          <cell r="M666" t="str">
            <v>Professional</v>
          </cell>
          <cell r="N666"/>
          <cell r="O666" t="str">
            <v>CSS</v>
          </cell>
          <cell r="P666">
            <v>0</v>
          </cell>
          <cell r="Q666" t="str">
            <v xml:space="preserve"> </v>
          </cell>
          <cell r="R666"/>
          <cell r="S666"/>
          <cell r="T666" t="str">
            <v>Sin reducción</v>
          </cell>
          <cell r="U666">
            <v>0</v>
          </cell>
          <cell r="V666"/>
          <cell r="W666"/>
          <cell r="X666">
            <v>0</v>
          </cell>
          <cell r="Y666">
            <v>0</v>
          </cell>
          <cell r="Z666">
            <v>0</v>
          </cell>
          <cell r="AA666"/>
          <cell r="AB666" t="str">
            <v>Active - signed</v>
          </cell>
          <cell r="AC666" t="str">
            <v>ACTIVO</v>
          </cell>
          <cell r="AD666"/>
          <cell r="AE666"/>
          <cell r="AF666"/>
          <cell r="AG666"/>
          <cell r="AH666"/>
          <cell r="AI666" t="str">
            <v>77552944A</v>
          </cell>
        </row>
        <row r="667">
          <cell r="A667" t="str">
            <v>53258818H</v>
          </cell>
          <cell r="B667" t="str">
            <v>Martínez Férriz</v>
          </cell>
          <cell r="C667" t="str">
            <v>Arantxa</v>
          </cell>
          <cell r="D667" t="str">
            <v>Martínez Férriz, Arantxa</v>
          </cell>
          <cell r="E667" t="str">
            <v>amartinezf@professional.universidadviu.com</v>
          </cell>
          <cell r="F667" t="str">
            <v>amartinezf@professional.universidadviu.com</v>
          </cell>
          <cell r="G667" t="str">
            <v>Yes</v>
          </cell>
          <cell r="H667" t="str">
            <v>NO</v>
          </cell>
          <cell r="I667" t="str">
            <v>Doctorado en Biotecnología</v>
          </cell>
          <cell r="J667" t="str">
            <v>Máster Universitario en Investigación en Biología Molecular, Celular y Genética</v>
          </cell>
          <cell r="K667" t="str">
            <v>Grado en Biotecnología</v>
          </cell>
          <cell r="L667" t="str">
            <v/>
          </cell>
          <cell r="M667" t="str">
            <v>Professional</v>
          </cell>
          <cell r="N667" t="str">
            <v/>
          </cell>
          <cell r="O667" t="str">
            <v>CBS</v>
          </cell>
          <cell r="P667">
            <v>0</v>
          </cell>
          <cell r="Q667" t="str">
            <v xml:space="preserve"> </v>
          </cell>
          <cell r="R667"/>
          <cell r="S667"/>
          <cell r="T667" t="str">
            <v>Sin reducción</v>
          </cell>
          <cell r="U667">
            <v>0</v>
          </cell>
          <cell r="V667"/>
          <cell r="W667"/>
          <cell r="X667">
            <v>0</v>
          </cell>
          <cell r="Y667">
            <v>0</v>
          </cell>
          <cell r="Z667">
            <v>0</v>
          </cell>
          <cell r="AA667"/>
          <cell r="AB667" t="str">
            <v>Concluded</v>
          </cell>
          <cell r="AC667" t="str">
            <v>NO ACTIVO</v>
          </cell>
          <cell r="AD667"/>
          <cell r="AE667"/>
          <cell r="AF667"/>
          <cell r="AG667" t="str">
            <v>CESE DE CONTRATO</v>
          </cell>
          <cell r="AH667"/>
          <cell r="AI667" t="str">
            <v>53258818H</v>
          </cell>
        </row>
        <row r="668">
          <cell r="A668" t="str">
            <v>45806857B</v>
          </cell>
          <cell r="B668" t="str">
            <v>Martínez Gallego</v>
          </cell>
          <cell r="C668" t="str">
            <v>Irene</v>
          </cell>
          <cell r="D668" t="str">
            <v>Martínez Gallego, Irene</v>
          </cell>
          <cell r="E668" t="str">
            <v>imartinezg@professional.universidadviu.com</v>
          </cell>
          <cell r="F668" t="str">
            <v>imartinezg@professional.universidadviu.com</v>
          </cell>
          <cell r="G668" t="str">
            <v>Yes</v>
          </cell>
          <cell r="H668" t="str">
            <v>NO</v>
          </cell>
          <cell r="I668" t="str">
            <v>Doctorado en Neurociencias</v>
          </cell>
          <cell r="J668" t="str">
            <v>Máster en Psicología General Sanitaria</v>
          </cell>
          <cell r="K668" t="str">
            <v>Grado en Psicología</v>
          </cell>
          <cell r="L668" t="str">
            <v/>
          </cell>
          <cell r="M668" t="str">
            <v>Professional</v>
          </cell>
          <cell r="N668" t="str">
            <v/>
          </cell>
          <cell r="O668" t="str">
            <v>CSS</v>
          </cell>
          <cell r="P668">
            <v>0</v>
          </cell>
          <cell r="Q668" t="str">
            <v xml:space="preserve"> </v>
          </cell>
          <cell r="R668"/>
          <cell r="S668"/>
          <cell r="T668" t="str">
            <v>Sin reducción</v>
          </cell>
          <cell r="U668">
            <v>0</v>
          </cell>
          <cell r="V668"/>
          <cell r="W668"/>
          <cell r="X668">
            <v>0</v>
          </cell>
          <cell r="Y668">
            <v>0</v>
          </cell>
          <cell r="Z668">
            <v>0</v>
          </cell>
          <cell r="AA668"/>
          <cell r="AB668" t="str">
            <v>Concluded</v>
          </cell>
          <cell r="AC668" t="str">
            <v>ACTIVO</v>
          </cell>
          <cell r="AD668"/>
          <cell r="AE668"/>
          <cell r="AF668"/>
          <cell r="AG668"/>
          <cell r="AH668"/>
          <cell r="AI668" t="str">
            <v>45806857B</v>
          </cell>
        </row>
        <row r="669">
          <cell r="A669" t="str">
            <v>47089275H</v>
          </cell>
          <cell r="B669" t="str">
            <v>Martínez González</v>
          </cell>
          <cell r="C669" t="str">
            <v>Cristina</v>
          </cell>
          <cell r="D669" t="str">
            <v>Martínez González, Cristina</v>
          </cell>
          <cell r="E669" t="str">
            <v>cristina.martinez.gon</v>
          </cell>
          <cell r="F669" t="str">
            <v>cristina.martinez.gon@professional.universidadviu.com</v>
          </cell>
          <cell r="G669" t="str">
            <v>Yes</v>
          </cell>
          <cell r="H669" t="str">
            <v>NO</v>
          </cell>
          <cell r="I669" t="str">
            <v>Ciencia y tecnología de los alimentos</v>
          </cell>
          <cell r="J669" t="str">
            <v>Máster universitario en ciencia e ingeniería de los alimentos</v>
          </cell>
          <cell r="K669" t="str">
            <v>Diplomada en Nutrición Humana y Dietética</v>
          </cell>
          <cell r="L669" t="str">
            <v>Diplomada en Nutrición Humana y Dietética</v>
          </cell>
          <cell r="M669" t="str">
            <v>Professional</v>
          </cell>
          <cell r="N669" t="str">
            <v/>
          </cell>
          <cell r="O669" t="str">
            <v>CBS</v>
          </cell>
          <cell r="P669">
            <v>0</v>
          </cell>
          <cell r="Q669" t="str">
            <v xml:space="preserve"> </v>
          </cell>
          <cell r="R669"/>
          <cell r="S669"/>
          <cell r="T669" t="str">
            <v>Sin reducción</v>
          </cell>
          <cell r="U669">
            <v>0</v>
          </cell>
          <cell r="V669"/>
          <cell r="W669"/>
          <cell r="X669">
            <v>0</v>
          </cell>
          <cell r="Y669">
            <v>0</v>
          </cell>
          <cell r="Z669">
            <v>0</v>
          </cell>
          <cell r="AA669"/>
          <cell r="AB669" t="str">
            <v>Concluded</v>
          </cell>
          <cell r="AC669" t="str">
            <v>NO ACTIVO</v>
          </cell>
          <cell r="AD669"/>
          <cell r="AE669"/>
          <cell r="AF669">
            <v>45240</v>
          </cell>
          <cell r="AG669" t="str">
            <v>CESE DE CONTRATO</v>
          </cell>
          <cell r="AH669"/>
          <cell r="AI669" t="str">
            <v>47089275H</v>
          </cell>
        </row>
        <row r="670">
          <cell r="A670" t="str">
            <v>44533031V</v>
          </cell>
          <cell r="B670" t="str">
            <v>Martínez González</v>
          </cell>
          <cell r="C670" t="str">
            <v>Natalia</v>
          </cell>
          <cell r="D670" t="str">
            <v>Martínez González, Natalia</v>
          </cell>
          <cell r="E670" t="str">
            <v>nmartinezg@professor.universidadviu.com</v>
          </cell>
          <cell r="F670" t="str">
            <v>nmartinezg@professor.universidadviu.com</v>
          </cell>
          <cell r="G670" t="str">
            <v>Yes</v>
          </cell>
          <cell r="H670" t="str">
            <v>NO</v>
          </cell>
          <cell r="I670" t="str">
            <v>Programa de Doctorado en Psicología Clínica y de la Salud</v>
          </cell>
          <cell r="J670" t="str">
            <v>Máster Universitario en Psicología General Sanitaria</v>
          </cell>
          <cell r="K670" t="str">
            <v>Grado en Psicología</v>
          </cell>
          <cell r="L670" t="str">
            <v/>
          </cell>
          <cell r="M670" t="str">
            <v>Labour</v>
          </cell>
          <cell r="N670" t="str">
            <v>Consultar a Educación</v>
          </cell>
          <cell r="O670" t="str">
            <v>CSS</v>
          </cell>
          <cell r="P670">
            <v>100</v>
          </cell>
          <cell r="Q670" t="str">
            <v>50</v>
          </cell>
          <cell r="R670"/>
          <cell r="S670"/>
          <cell r="T670" t="str">
            <v>Sin reducción</v>
          </cell>
          <cell r="U670">
            <v>0</v>
          </cell>
          <cell r="V670">
            <v>44</v>
          </cell>
          <cell r="W670" t="str">
            <v>EDUCACIÓN</v>
          </cell>
          <cell r="X670">
            <v>0</v>
          </cell>
          <cell r="Y670">
            <v>0</v>
          </cell>
          <cell r="Z670">
            <v>0</v>
          </cell>
          <cell r="AA670"/>
          <cell r="AB670" t="str">
            <v>Concluded</v>
          </cell>
          <cell r="AC670" t="str">
            <v>NO ACTIVO</v>
          </cell>
          <cell r="AD670"/>
          <cell r="AE670"/>
          <cell r="AF670">
            <v>45942</v>
          </cell>
          <cell r="AG670" t="str">
            <v>CESE DE CONTRATO</v>
          </cell>
          <cell r="AH670"/>
          <cell r="AI670" t="str">
            <v>44533031V</v>
          </cell>
        </row>
        <row r="671">
          <cell r="A671" t="str">
            <v>48354415C</v>
          </cell>
          <cell r="B671" t="str">
            <v>Martínez López</v>
          </cell>
          <cell r="C671" t="str">
            <v>Paula</v>
          </cell>
          <cell r="D671" t="str">
            <v>Martínez López, Paula</v>
          </cell>
          <cell r="E671" t="str">
            <v>paula.martinezl</v>
          </cell>
          <cell r="F671" t="str">
            <v>paula.martinezl@professor.universidadviu.com</v>
          </cell>
          <cell r="G671" t="str">
            <v>Yes</v>
          </cell>
          <cell r="H671" t="str">
            <v>Yes</v>
          </cell>
          <cell r="I671" t="str">
            <v>Psicología de la personalidad, Intervención, Áreas Clínicas y Sociales.</v>
          </cell>
          <cell r="J671" t="str">
            <v>Psicología de la personalidad, Intervención, Áreas Clínicas y Sociales.</v>
          </cell>
          <cell r="K671" t="str">
            <v>Licenciada en Psicología</v>
          </cell>
          <cell r="L671" t="str">
            <v/>
          </cell>
          <cell r="M671" t="str">
            <v>Labour</v>
          </cell>
          <cell r="N671" t="str">
            <v>Consultar a VR Investigación</v>
          </cell>
          <cell r="O671" t="str">
            <v>CSS</v>
          </cell>
          <cell r="P671">
            <v>100</v>
          </cell>
          <cell r="Q671" t="str">
            <v>50</v>
          </cell>
          <cell r="R671"/>
          <cell r="S671" t="str">
            <v>2008-2015 / 2016-2021</v>
          </cell>
          <cell r="T671" t="str">
            <v>Director/a de Cátedra</v>
          </cell>
          <cell r="U671" t="str">
            <v>32</v>
          </cell>
          <cell r="V671"/>
          <cell r="W671"/>
          <cell r="X671">
            <v>9</v>
          </cell>
          <cell r="Y671">
            <v>0</v>
          </cell>
          <cell r="Z671">
            <v>0</v>
          </cell>
          <cell r="AA671"/>
          <cell r="AB671" t="str">
            <v>Active - signed</v>
          </cell>
          <cell r="AC671" t="str">
            <v>ACTIVO</v>
          </cell>
          <cell r="AD671"/>
          <cell r="AE671"/>
          <cell r="AF671"/>
          <cell r="AG671"/>
          <cell r="AH671"/>
          <cell r="AI671" t="str">
            <v>48354415C</v>
          </cell>
        </row>
        <row r="672">
          <cell r="A672" t="str">
            <v>21793727P</v>
          </cell>
          <cell r="B672" t="str">
            <v>Martínez Martí</v>
          </cell>
          <cell r="C672" t="str">
            <v>Joana</v>
          </cell>
          <cell r="D672" t="str">
            <v>Martínez Martí, Joana</v>
          </cell>
          <cell r="E672" t="str">
            <v>jmartinezm@professor.universidadviu.com</v>
          </cell>
          <cell r="F672" t="str">
            <v>jmartinezm@professor.universidadviu.com</v>
          </cell>
          <cell r="G672" t="str">
            <v>NO</v>
          </cell>
          <cell r="H672" t="str">
            <v>NO</v>
          </cell>
          <cell r="I672" t="str">
            <v>Máster en Gestión e Innovación en la Industria Alimentaria</v>
          </cell>
          <cell r="J672" t="str">
            <v>Grado en Ciencia y Tecnología de los Alimentos</v>
          </cell>
          <cell r="K672" t="str">
            <v/>
          </cell>
          <cell r="L672" t="str">
            <v/>
          </cell>
          <cell r="M672" t="str">
            <v>Labour</v>
          </cell>
          <cell r="N672" t="str">
            <v>Morell Esteve, Pere</v>
          </cell>
          <cell r="O672" t="str">
            <v>CBS</v>
          </cell>
          <cell r="P672">
            <v>100</v>
          </cell>
          <cell r="Q672" t="str">
            <v>50</v>
          </cell>
          <cell r="R672"/>
          <cell r="S672"/>
          <cell r="T672" t="str">
            <v>Subdirector/Coordinador de Grado - 2 ediciones</v>
          </cell>
          <cell r="U672">
            <v>38</v>
          </cell>
          <cell r="V672"/>
          <cell r="W672"/>
          <cell r="X672">
            <v>0</v>
          </cell>
          <cell r="Y672">
            <v>18</v>
          </cell>
          <cell r="Z672">
            <v>0</v>
          </cell>
          <cell r="AA672"/>
          <cell r="AB672" t="str">
            <v>Active - signed</v>
          </cell>
          <cell r="AC672" t="str">
            <v>ACTIVO</v>
          </cell>
          <cell r="AD672"/>
          <cell r="AE672"/>
          <cell r="AF672"/>
          <cell r="AG672"/>
          <cell r="AH672"/>
          <cell r="AI672" t="str">
            <v>21793727P</v>
          </cell>
        </row>
        <row r="673">
          <cell r="A673" t="str">
            <v>52774760H</v>
          </cell>
          <cell r="B673" t="str">
            <v>Martínez Martínez</v>
          </cell>
          <cell r="C673" t="str">
            <v>Concepción</v>
          </cell>
          <cell r="D673" t="str">
            <v>Martínez Martínez, Concepción</v>
          </cell>
          <cell r="E673" t="e">
            <v>#VALUE!</v>
          </cell>
          <cell r="F673" t="str">
            <v>concepcion.martinez2@professor.universidadviu.com</v>
          </cell>
          <cell r="G673" t="e">
            <v>#VALUE!</v>
          </cell>
          <cell r="H673" t="e">
            <v>#VALUE!</v>
          </cell>
          <cell r="I673" t="str">
            <v>Diplomatura en Enfermería Especialista en Enfermería de Salud Mental</v>
          </cell>
          <cell r="J673" t="str">
            <v>Grado en Enfermería</v>
          </cell>
          <cell r="K673" t="str">
            <v>Licenciatura en Biología</v>
          </cell>
          <cell r="L673" t="str">
            <v>Ciencias de la Salud</v>
          </cell>
          <cell r="M673" t="e">
            <v>#VALUE!</v>
          </cell>
          <cell r="N673"/>
          <cell r="O673" t="str">
            <v>CBS</v>
          </cell>
          <cell r="P673" t="str">
            <v xml:space="preserve"> </v>
          </cell>
          <cell r="Q673" t="b">
            <v>0</v>
          </cell>
          <cell r="R673"/>
          <cell r="S673"/>
          <cell r="T673" t="str">
            <v>Sin reducción</v>
          </cell>
          <cell r="U673">
            <v>0</v>
          </cell>
          <cell r="V673"/>
          <cell r="W673"/>
          <cell r="X673">
            <v>0</v>
          </cell>
          <cell r="Y673">
            <v>0</v>
          </cell>
          <cell r="Z673">
            <v>0</v>
          </cell>
          <cell r="AA673"/>
          <cell r="AB673" t="e">
            <v>#VALUE!</v>
          </cell>
          <cell r="AC673" t="str">
            <v>BAJA TEMPORAL</v>
          </cell>
          <cell r="AD673">
            <v>45552</v>
          </cell>
          <cell r="AE673">
            <v>47378</v>
          </cell>
          <cell r="AF673"/>
          <cell r="AG673" t="str">
            <v>EXCEDENCIA</v>
          </cell>
          <cell r="AH673"/>
          <cell r="AI673" t="str">
            <v>52774760H</v>
          </cell>
        </row>
        <row r="674">
          <cell r="A674" t="str">
            <v>76428240E</v>
          </cell>
          <cell r="B674" t="str">
            <v>Martínez Medina</v>
          </cell>
          <cell r="C674" t="str">
            <v>David</v>
          </cell>
          <cell r="D674" t="str">
            <v>Martínez Medina, David</v>
          </cell>
          <cell r="E674" t="str">
            <v>dmartinezm@professional.universidadviu.com</v>
          </cell>
          <cell r="F674" t="str">
            <v>dmartinezm@professional.universidadviu.com</v>
          </cell>
          <cell r="G674" t="str">
            <v>NO</v>
          </cell>
          <cell r="H674" t="str">
            <v>NO</v>
          </cell>
          <cell r="I674" t="str">
            <v>Posgrado en Enfermedad Mental y Alteraciones de Conducta en personas con discapacidad intelectual</v>
          </cell>
          <cell r="J674" t="str">
            <v>Licenciatura en Psicología</v>
          </cell>
          <cell r="K674" t="str">
            <v/>
          </cell>
          <cell r="L674" t="str">
            <v/>
          </cell>
          <cell r="M674" t="str">
            <v>Professional</v>
          </cell>
          <cell r="N674"/>
          <cell r="O674" t="str">
            <v>CSS</v>
          </cell>
          <cell r="P674">
            <v>0</v>
          </cell>
          <cell r="Q674" t="str">
            <v xml:space="preserve"> </v>
          </cell>
          <cell r="R674"/>
          <cell r="S674"/>
          <cell r="T674" t="str">
            <v>Sin reducción</v>
          </cell>
          <cell r="U674">
            <v>0</v>
          </cell>
          <cell r="V674"/>
          <cell r="W674"/>
          <cell r="X674">
            <v>0</v>
          </cell>
          <cell r="Y674">
            <v>0</v>
          </cell>
          <cell r="Z674">
            <v>0</v>
          </cell>
          <cell r="AA674"/>
          <cell r="AB674" t="str">
            <v>Active - signed</v>
          </cell>
          <cell r="AC674" t="str">
            <v>ACTIVO</v>
          </cell>
          <cell r="AD674"/>
          <cell r="AE674"/>
          <cell r="AF674"/>
          <cell r="AG674"/>
          <cell r="AH674"/>
          <cell r="AI674" t="str">
            <v>76428240E</v>
          </cell>
        </row>
        <row r="675">
          <cell r="A675" t="str">
            <v>24471476M</v>
          </cell>
          <cell r="B675" t="str">
            <v>Martínez Mendoza</v>
          </cell>
          <cell r="C675" t="str">
            <v>Gloria Esperanza</v>
          </cell>
          <cell r="D675" t="str">
            <v>Martínez Mendoza, Gloria Esperanza</v>
          </cell>
          <cell r="E675" t="str">
            <v>ge.martinez@professor.universidadviu.com</v>
          </cell>
          <cell r="F675" t="str">
            <v>ge.martinez@professor.universidadviu.com</v>
          </cell>
          <cell r="G675" t="str">
            <v>Yes</v>
          </cell>
          <cell r="H675" t="str">
            <v>NO</v>
          </cell>
          <cell r="I675" t="str">
            <v>Psicología</v>
          </cell>
          <cell r="J675" t="str">
            <v>Programa Actividad Humana y Procesos Psicológicos II</v>
          </cell>
          <cell r="K675" t="str">
            <v>Máster en psicología clínica y salud</v>
          </cell>
          <cell r="L675" t="str">
            <v/>
          </cell>
          <cell r="M675" t="str">
            <v>Labour</v>
          </cell>
          <cell r="N675" t="str">
            <v>Gómez Martínez, Sandra</v>
          </cell>
          <cell r="O675" t="str">
            <v>CSS</v>
          </cell>
          <cell r="P675">
            <v>100</v>
          </cell>
          <cell r="Q675" t="str">
            <v>50</v>
          </cell>
          <cell r="R675"/>
          <cell r="S675"/>
          <cell r="T675" t="str">
            <v>Sin reducción</v>
          </cell>
          <cell r="U675">
            <v>0</v>
          </cell>
          <cell r="V675">
            <v>24</v>
          </cell>
          <cell r="W675" t="str">
            <v>EDUCACIÓN</v>
          </cell>
          <cell r="X675">
            <v>11.3</v>
          </cell>
          <cell r="Y675">
            <v>0</v>
          </cell>
          <cell r="Z675">
            <v>0</v>
          </cell>
          <cell r="AA675"/>
          <cell r="AB675" t="str">
            <v>Active - signed</v>
          </cell>
          <cell r="AC675" t="str">
            <v>ACTIVO</v>
          </cell>
          <cell r="AD675"/>
          <cell r="AE675"/>
          <cell r="AF675"/>
          <cell r="AG675"/>
          <cell r="AH675"/>
          <cell r="AI675" t="str">
            <v>24471476M</v>
          </cell>
        </row>
        <row r="676">
          <cell r="A676" t="str">
            <v>44792660E</v>
          </cell>
          <cell r="B676" t="str">
            <v>Martínez Mir</v>
          </cell>
          <cell r="C676" t="str">
            <v>Raúl</v>
          </cell>
          <cell r="D676" t="str">
            <v>Martínez Mir, Raúl</v>
          </cell>
          <cell r="E676" t="str">
            <v>raul.martinez.mir</v>
          </cell>
          <cell r="F676" t="str">
            <v>raul.martinez.mir@professor.universidadviu.com</v>
          </cell>
          <cell r="G676" t="str">
            <v>Yes</v>
          </cell>
          <cell r="H676" t="str">
            <v>NO</v>
          </cell>
          <cell r="I676" t="str">
            <v>Doctorado</v>
          </cell>
          <cell r="J676" t="str">
            <v>Doctorado</v>
          </cell>
          <cell r="K676" t="str">
            <v>Licenciatura en Psicología</v>
          </cell>
          <cell r="L676" t="str">
            <v/>
          </cell>
          <cell r="M676" t="str">
            <v>Labour</v>
          </cell>
          <cell r="N676" t="str">
            <v>Ródenas González, Francisco</v>
          </cell>
          <cell r="O676" t="str">
            <v>CSS</v>
          </cell>
          <cell r="P676">
            <v>100</v>
          </cell>
          <cell r="Q676" t="str">
            <v>50</v>
          </cell>
          <cell r="R676"/>
          <cell r="S676"/>
          <cell r="T676" t="str">
            <v>Sin reducción</v>
          </cell>
          <cell r="U676">
            <v>0</v>
          </cell>
          <cell r="V676"/>
          <cell r="W676"/>
          <cell r="X676">
            <v>50.1</v>
          </cell>
          <cell r="Y676">
            <v>0</v>
          </cell>
          <cell r="Z676">
            <v>0</v>
          </cell>
          <cell r="AA676"/>
          <cell r="AB676" t="str">
            <v>Active - signed</v>
          </cell>
          <cell r="AC676" t="str">
            <v>ACTIVO</v>
          </cell>
          <cell r="AD676"/>
          <cell r="AE676"/>
          <cell r="AF676"/>
          <cell r="AG676"/>
          <cell r="AH676"/>
          <cell r="AI676" t="str">
            <v>44792660E</v>
          </cell>
        </row>
        <row r="677">
          <cell r="A677" t="str">
            <v>44863903B</v>
          </cell>
          <cell r="B677" t="str">
            <v>Martínez Montañés</v>
          </cell>
          <cell r="C677" t="str">
            <v>Fernando</v>
          </cell>
          <cell r="D677" t="str">
            <v>Martínez Montañés, Fernando</v>
          </cell>
          <cell r="E677" t="str">
            <v>fernando.martinez.m</v>
          </cell>
          <cell r="F677" t="str">
            <v>fernando.martinez.m@professional.universidadviu.com</v>
          </cell>
          <cell r="G677" t="str">
            <v>Yes</v>
          </cell>
          <cell r="H677" t="str">
            <v>Yes</v>
          </cell>
          <cell r="I677" t="str">
            <v>Biotecnología</v>
          </cell>
          <cell r="J677" t="str">
            <v>Especialista Universitario en Biotecnología</v>
          </cell>
          <cell r="K677" t="str">
            <v>Diploma de Estudios Avanzados</v>
          </cell>
          <cell r="L677" t="str">
            <v>Ingeniero Agrónomo</v>
          </cell>
          <cell r="M677" t="str">
            <v>Professional</v>
          </cell>
          <cell r="N677" t="str">
            <v/>
          </cell>
          <cell r="O677" t="str">
            <v>CBS</v>
          </cell>
          <cell r="P677">
            <v>0</v>
          </cell>
          <cell r="Q677" t="str">
            <v xml:space="preserve"> </v>
          </cell>
          <cell r="R677"/>
          <cell r="S677"/>
          <cell r="T677" t="str">
            <v>Sin reducción</v>
          </cell>
          <cell r="U677">
            <v>0</v>
          </cell>
          <cell r="V677"/>
          <cell r="W677"/>
          <cell r="X677">
            <v>0</v>
          </cell>
          <cell r="Y677">
            <v>0</v>
          </cell>
          <cell r="Z677">
            <v>0</v>
          </cell>
          <cell r="AA677"/>
          <cell r="AB677" t="str">
            <v>Active - signed</v>
          </cell>
          <cell r="AC677" t="str">
            <v>ACTIVO</v>
          </cell>
          <cell r="AD677"/>
          <cell r="AE677"/>
          <cell r="AF677"/>
          <cell r="AG677"/>
          <cell r="AH677"/>
          <cell r="AI677" t="str">
            <v>44863903B</v>
          </cell>
        </row>
        <row r="678">
          <cell r="A678" t="str">
            <v>71464378C</v>
          </cell>
          <cell r="B678" t="str">
            <v>Martínez Nicolás</v>
          </cell>
          <cell r="C678" t="str">
            <v>Israel</v>
          </cell>
          <cell r="D678" t="str">
            <v>Martínez Nicolás, Israel</v>
          </cell>
          <cell r="E678" t="str">
            <v>imartinezn@professional.universidadviu.com</v>
          </cell>
          <cell r="F678" t="str">
            <v>imartinezn@professional.universidadviu.com</v>
          </cell>
          <cell r="G678" t="str">
            <v>Yes</v>
          </cell>
          <cell r="H678" t="str">
            <v>NO</v>
          </cell>
          <cell r="I678" t="str">
            <v>Doctorado en Neurociencias</v>
          </cell>
          <cell r="J678" t="str">
            <v>Máster universitario en Trastornos de la Comunicación: Neurociencias de la Audición y el Lenguaje</v>
          </cell>
          <cell r="K678" t="str">
            <v>Grado en Psicología</v>
          </cell>
          <cell r="L678" t="str">
            <v/>
          </cell>
          <cell r="M678" t="str">
            <v>Professional</v>
          </cell>
          <cell r="N678" t="str">
            <v/>
          </cell>
          <cell r="O678" t="str">
            <v>CSS</v>
          </cell>
          <cell r="P678">
            <v>0</v>
          </cell>
          <cell r="Q678" t="str">
            <v xml:space="preserve"> </v>
          </cell>
          <cell r="R678"/>
          <cell r="S678"/>
          <cell r="T678" t="str">
            <v>Sin reducción</v>
          </cell>
          <cell r="U678">
            <v>0</v>
          </cell>
          <cell r="V678"/>
          <cell r="W678"/>
          <cell r="X678">
            <v>0</v>
          </cell>
          <cell r="Y678">
            <v>0</v>
          </cell>
          <cell r="Z678">
            <v>0</v>
          </cell>
          <cell r="AA678"/>
          <cell r="AB678" t="str">
            <v>Active - signed</v>
          </cell>
          <cell r="AC678" t="str">
            <v>ACTIVO</v>
          </cell>
          <cell r="AD678"/>
          <cell r="AE678"/>
          <cell r="AF678"/>
          <cell r="AG678"/>
          <cell r="AH678"/>
          <cell r="AI678" t="str">
            <v>71464378C</v>
          </cell>
        </row>
        <row r="679">
          <cell r="A679" t="str">
            <v>47375342B</v>
          </cell>
          <cell r="B679" t="str">
            <v>Martínez Regueiro</v>
          </cell>
          <cell r="C679" t="str">
            <v>Rocío</v>
          </cell>
          <cell r="D679" t="str">
            <v>Martínez Regueiro, Rocío</v>
          </cell>
          <cell r="E679" t="str">
            <v>rmartinezr@professional.universidadviu.com</v>
          </cell>
          <cell r="F679" t="str">
            <v>rmartinezr@professional.universidadviu.com</v>
          </cell>
          <cell r="G679" t="str">
            <v>Yes</v>
          </cell>
          <cell r="H679" t="str">
            <v>Yes</v>
          </cell>
          <cell r="I679" t="str">
            <v>Doctorado en Neurociencia y Psicología Clínica</v>
          </cell>
          <cell r="J679" t="str">
            <v>Máster de Profesorado</v>
          </cell>
          <cell r="K679" t="str">
            <v>Licenciatura en Psicología</v>
          </cell>
          <cell r="L679" t="str">
            <v/>
          </cell>
          <cell r="M679" t="str">
            <v>Professional</v>
          </cell>
          <cell r="N679" t="str">
            <v/>
          </cell>
          <cell r="O679" t="str">
            <v>CSS</v>
          </cell>
          <cell r="P679">
            <v>0</v>
          </cell>
          <cell r="Q679" t="str">
            <v xml:space="preserve"> </v>
          </cell>
          <cell r="R679"/>
          <cell r="S679"/>
          <cell r="T679" t="str">
            <v>Sin reducción</v>
          </cell>
          <cell r="U679">
            <v>0</v>
          </cell>
          <cell r="V679"/>
          <cell r="W679"/>
          <cell r="X679">
            <v>0</v>
          </cell>
          <cell r="Y679">
            <v>0</v>
          </cell>
          <cell r="Z679">
            <v>0</v>
          </cell>
          <cell r="AA679"/>
          <cell r="AB679" t="str">
            <v>Active - signed</v>
          </cell>
          <cell r="AC679" t="str">
            <v>ACTIVO</v>
          </cell>
          <cell r="AD679"/>
          <cell r="AE679"/>
          <cell r="AF679"/>
          <cell r="AG679"/>
          <cell r="AH679"/>
          <cell r="AI679" t="str">
            <v>47375342B</v>
          </cell>
        </row>
        <row r="680">
          <cell r="A680" t="str">
            <v>42321568G</v>
          </cell>
          <cell r="B680" t="str">
            <v>Martínez Sierra</v>
          </cell>
          <cell r="C680" t="str">
            <v>Ricel</v>
          </cell>
          <cell r="D680" t="str">
            <v>Martínez Sierra, Ricel</v>
          </cell>
          <cell r="E680" t="str">
            <v>ricel.martinez</v>
          </cell>
          <cell r="F680" t="str">
            <v>ricel.martinez@professor.universidadviu.com</v>
          </cell>
          <cell r="G680" t="str">
            <v>Yes</v>
          </cell>
          <cell r="H680" t="str">
            <v>NO</v>
          </cell>
          <cell r="I680" t="str">
            <v>Doctora en Ciencias Pedagógicas</v>
          </cell>
          <cell r="J680" t="str">
            <v>Doctora en Ciencias Pedagógicas</v>
          </cell>
          <cell r="K680" t="str">
            <v>Licenciada en Psicología</v>
          </cell>
          <cell r="L680" t="str">
            <v/>
          </cell>
          <cell r="M680" t="str">
            <v>Labour</v>
          </cell>
          <cell r="N680" t="str">
            <v>Consultar a Facultad de Educación</v>
          </cell>
          <cell r="O680" t="str">
            <v>CSS</v>
          </cell>
          <cell r="P680">
            <v>100</v>
          </cell>
          <cell r="Q680" t="str">
            <v>50</v>
          </cell>
          <cell r="R680"/>
          <cell r="S680"/>
          <cell r="T680" t="str">
            <v>Sin reducción</v>
          </cell>
          <cell r="U680">
            <v>0</v>
          </cell>
          <cell r="V680">
            <v>24</v>
          </cell>
          <cell r="W680" t="str">
            <v>EDUCACIÓN</v>
          </cell>
          <cell r="X680">
            <v>23.1</v>
          </cell>
          <cell r="Y680">
            <v>0</v>
          </cell>
          <cell r="Z680">
            <v>0</v>
          </cell>
          <cell r="AA680"/>
          <cell r="AB680" t="str">
            <v>Active - signed</v>
          </cell>
          <cell r="AC680" t="str">
            <v>ACTIVO</v>
          </cell>
          <cell r="AD680"/>
          <cell r="AE680"/>
          <cell r="AF680"/>
          <cell r="AG680"/>
          <cell r="AH680"/>
          <cell r="AI680" t="str">
            <v>42321568G</v>
          </cell>
        </row>
        <row r="681">
          <cell r="A681" t="str">
            <v>46930430B</v>
          </cell>
          <cell r="B681" t="str">
            <v>Martínez Tornay</v>
          </cell>
          <cell r="C681" t="str">
            <v>Antonio</v>
          </cell>
          <cell r="D681" t="str">
            <v>Martínez Tornay, Antonio</v>
          </cell>
          <cell r="E681" t="str">
            <v>amartinezt@professional.universidadviu.com</v>
          </cell>
          <cell r="F681" t="str">
            <v>amartinezt@professional.universidadviu.com</v>
          </cell>
          <cell r="G681" t="str">
            <v>Yes</v>
          </cell>
          <cell r="H681" t="str">
            <v>NO</v>
          </cell>
          <cell r="I681" t="str">
            <v>Doctorado en pedagogia</v>
          </cell>
          <cell r="J681" t="str">
            <v>Licenciatura en pedagogia</v>
          </cell>
          <cell r="K681" t="str">
            <v>Doctorado en pedagogia</v>
          </cell>
          <cell r="L681" t="str">
            <v/>
          </cell>
          <cell r="M681" t="str">
            <v>Professional</v>
          </cell>
          <cell r="N681"/>
          <cell r="O681" t="str">
            <v>CSS</v>
          </cell>
          <cell r="P681">
            <v>0</v>
          </cell>
          <cell r="Q681" t="str">
            <v xml:space="preserve"> </v>
          </cell>
          <cell r="R681"/>
          <cell r="S681"/>
          <cell r="T681" t="str">
            <v>Sin reducción</v>
          </cell>
          <cell r="U681">
            <v>0</v>
          </cell>
          <cell r="V681"/>
          <cell r="W681"/>
          <cell r="X681">
            <v>0</v>
          </cell>
          <cell r="Y681">
            <v>0</v>
          </cell>
          <cell r="Z681">
            <v>0</v>
          </cell>
          <cell r="AA681"/>
          <cell r="AB681" t="str">
            <v>Active - signed</v>
          </cell>
          <cell r="AC681" t="str">
            <v>ACTIVO</v>
          </cell>
          <cell r="AD681"/>
          <cell r="AE681"/>
          <cell r="AF681"/>
          <cell r="AG681"/>
          <cell r="AH681"/>
          <cell r="AI681" t="str">
            <v>46930430B</v>
          </cell>
        </row>
        <row r="682">
          <cell r="A682" t="str">
            <v>33563751N</v>
          </cell>
          <cell r="B682" t="str">
            <v>Martínez Varea</v>
          </cell>
          <cell r="C682" t="str">
            <v>Alicia María</v>
          </cell>
          <cell r="D682" t="str">
            <v>Martínez Varea, Alicia María</v>
          </cell>
          <cell r="E682" t="str">
            <v>alicia.martinezvar</v>
          </cell>
          <cell r="F682" t="str">
            <v>alicia.martinezvar@professor.universidadviu.com</v>
          </cell>
          <cell r="G682" t="str">
            <v>Yes</v>
          </cell>
          <cell r="H682" t="str">
            <v>Yes</v>
          </cell>
          <cell r="I682" t="str">
            <v>Doctorado en Medicina</v>
          </cell>
          <cell r="J682" t="str">
            <v>Máster en Reproducción Humana</v>
          </cell>
          <cell r="K682" t="str">
            <v>Máster en Dirección y Administración de Empresas</v>
          </cell>
          <cell r="L682" t="str">
            <v>Doctorado en Medicina</v>
          </cell>
          <cell r="M682" t="str">
            <v>Labour</v>
          </cell>
          <cell r="N682" t="str">
            <v>Pellín Carcelén, Ana</v>
          </cell>
          <cell r="O682" t="str">
            <v>CBS</v>
          </cell>
          <cell r="P682">
            <v>18</v>
          </cell>
          <cell r="Q682" t="str">
            <v>18</v>
          </cell>
          <cell r="R682"/>
          <cell r="S682"/>
          <cell r="T682" t="str">
            <v>Sin reducción</v>
          </cell>
          <cell r="U682">
            <v>0</v>
          </cell>
          <cell r="V682"/>
          <cell r="W682"/>
          <cell r="X682">
            <v>0</v>
          </cell>
          <cell r="Y682">
            <v>12</v>
          </cell>
          <cell r="Z682">
            <v>6</v>
          </cell>
          <cell r="AA682"/>
          <cell r="AB682" t="str">
            <v>Active - IT leave</v>
          </cell>
          <cell r="AC682" t="str">
            <v>BAJA TEMPORAL</v>
          </cell>
          <cell r="AD682">
            <v>45824</v>
          </cell>
          <cell r="AE682">
            <v>46092</v>
          </cell>
          <cell r="AF682"/>
          <cell r="AG682" t="str">
            <v>MATERNIDAD</v>
          </cell>
          <cell r="AH682" t="str">
            <v>fecha posible de parto 03/09/2025</v>
          </cell>
          <cell r="AI682" t="str">
            <v>33563751N</v>
          </cell>
        </row>
        <row r="683">
          <cell r="A683" t="str">
            <v>53674059V</v>
          </cell>
          <cell r="B683" t="str">
            <v>Martínez-Cava Cáceres</v>
          </cell>
          <cell r="C683" t="str">
            <v>Irene</v>
          </cell>
          <cell r="D683" t="str">
            <v>Martínez-Cava Cáceres, Irene</v>
          </cell>
          <cell r="E683" t="str">
            <v>imartinezcavac@professional.universidadviu.com</v>
          </cell>
          <cell r="F683" t="str">
            <v>imartinezcavac@professional.universidadviu.com</v>
          </cell>
          <cell r="G683" t="str">
            <v>NO</v>
          </cell>
          <cell r="H683" t="str">
            <v>NO</v>
          </cell>
          <cell r="I683" t="str">
            <v>Doctora en Psicología</v>
          </cell>
          <cell r="J683" t="str">
            <v>Máster Universitario en Intervención Psicosocial y Comunitaria</v>
          </cell>
          <cell r="K683" t="str">
            <v>Grado en Psicología</v>
          </cell>
          <cell r="L683" t="str">
            <v/>
          </cell>
          <cell r="M683" t="str">
            <v>Professional</v>
          </cell>
          <cell r="N683" t="str">
            <v/>
          </cell>
          <cell r="O683" t="str">
            <v>CSS</v>
          </cell>
          <cell r="P683">
            <v>0</v>
          </cell>
          <cell r="Q683" t="str">
            <v xml:space="preserve"> </v>
          </cell>
          <cell r="R683"/>
          <cell r="S683"/>
          <cell r="T683" t="str">
            <v>Sin reducción</v>
          </cell>
          <cell r="U683">
            <v>0</v>
          </cell>
          <cell r="V683"/>
          <cell r="W683"/>
          <cell r="X683">
            <v>0</v>
          </cell>
          <cell r="Y683">
            <v>0</v>
          </cell>
          <cell r="Z683">
            <v>0</v>
          </cell>
          <cell r="AA683"/>
          <cell r="AB683" t="str">
            <v>Active - signed</v>
          </cell>
          <cell r="AC683" t="str">
            <v>ACTIVO</v>
          </cell>
          <cell r="AD683"/>
          <cell r="AE683"/>
          <cell r="AF683"/>
          <cell r="AG683"/>
          <cell r="AH683"/>
          <cell r="AI683" t="str">
            <v>53674059V</v>
          </cell>
        </row>
        <row r="684">
          <cell r="A684" t="str">
            <v>VE7994076</v>
          </cell>
          <cell r="B684" t="str">
            <v>Martins Pestana</v>
          </cell>
          <cell r="C684" t="str">
            <v>Feliberto</v>
          </cell>
          <cell r="D684" t="str">
            <v>Martins Pestana, Feliberto</v>
          </cell>
          <cell r="E684" t="str">
            <v>feliberto.martins</v>
          </cell>
          <cell r="F684" t="str">
            <v>feliberto.martins@professional.universidadviu.com</v>
          </cell>
          <cell r="G684" t="str">
            <v>Yes</v>
          </cell>
          <cell r="H684" t="str">
            <v>NO</v>
          </cell>
          <cell r="I684" t="str">
            <v>Doctor en Pedagogía Crítica</v>
          </cell>
          <cell r="J684" t="str">
            <v>Profesor Especialidad Matemática Mención Informática</v>
          </cell>
          <cell r="K684" t="str">
            <v/>
          </cell>
          <cell r="L684" t="str">
            <v/>
          </cell>
          <cell r="M684" t="str">
            <v>Professional</v>
          </cell>
          <cell r="N684" t="str">
            <v/>
          </cell>
          <cell r="O684" t="str">
            <v>CSS</v>
          </cell>
          <cell r="P684">
            <v>0</v>
          </cell>
          <cell r="Q684" t="str">
            <v xml:space="preserve"> </v>
          </cell>
          <cell r="R684"/>
          <cell r="S684"/>
          <cell r="T684" t="str">
            <v>Sin reducción</v>
          </cell>
          <cell r="U684">
            <v>0</v>
          </cell>
          <cell r="V684"/>
          <cell r="W684"/>
          <cell r="X684">
            <v>0</v>
          </cell>
          <cell r="Y684">
            <v>0</v>
          </cell>
          <cell r="Z684">
            <v>0</v>
          </cell>
          <cell r="AA684"/>
          <cell r="AB684" t="str">
            <v>Active - signed</v>
          </cell>
          <cell r="AC684" t="str">
            <v>ACTIVO</v>
          </cell>
          <cell r="AD684"/>
          <cell r="AE684"/>
          <cell r="AF684"/>
          <cell r="AG684"/>
          <cell r="AH684"/>
          <cell r="AI684" t="str">
            <v>VE7994076</v>
          </cell>
        </row>
        <row r="685">
          <cell r="A685" t="str">
            <v>44882479A</v>
          </cell>
          <cell r="B685" t="str">
            <v>Marzal Torregrosa</v>
          </cell>
          <cell r="C685" t="str">
            <v>María del Mar</v>
          </cell>
          <cell r="D685" t="str">
            <v>Marzal Torregrosa, María del Mar</v>
          </cell>
          <cell r="E685" t="str">
            <v>mariadelmar.marzal</v>
          </cell>
          <cell r="F685" t="str">
            <v>mariadelmar.marzal@professional.universidadviu.com</v>
          </cell>
          <cell r="G685" t="str">
            <v>NO</v>
          </cell>
          <cell r="H685" t="str">
            <v>NO</v>
          </cell>
          <cell r="I685" t="str">
            <v/>
          </cell>
          <cell r="J685" t="str">
            <v/>
          </cell>
          <cell r="K685" t="str">
            <v/>
          </cell>
          <cell r="L685" t="str">
            <v/>
          </cell>
          <cell r="M685" t="str">
            <v>Professional</v>
          </cell>
          <cell r="N685" t="str">
            <v/>
          </cell>
          <cell r="O685"/>
          <cell r="P685">
            <v>0</v>
          </cell>
          <cell r="Q685" t="str">
            <v xml:space="preserve"> </v>
          </cell>
          <cell r="R685"/>
          <cell r="S685"/>
          <cell r="T685" t="str">
            <v>Sin reducción</v>
          </cell>
          <cell r="U685">
            <v>0</v>
          </cell>
          <cell r="V685"/>
          <cell r="W685"/>
          <cell r="X685">
            <v>0</v>
          </cell>
          <cell r="Y685">
            <v>0</v>
          </cell>
          <cell r="Z685">
            <v>0</v>
          </cell>
          <cell r="AA685"/>
          <cell r="AB685" t="str">
            <v>Active - signed</v>
          </cell>
          <cell r="AC685" t="str">
            <v>ACTIVO</v>
          </cell>
          <cell r="AD685"/>
          <cell r="AE685"/>
          <cell r="AF685"/>
          <cell r="AG685"/>
          <cell r="AH685"/>
          <cell r="AI685" t="str">
            <v>44882479A</v>
          </cell>
        </row>
        <row r="686">
          <cell r="A686" t="str">
            <v>48215162D</v>
          </cell>
          <cell r="B686" t="str">
            <v>Mas Meneses</v>
          </cell>
          <cell r="C686" t="str">
            <v>Edgar</v>
          </cell>
          <cell r="D686" t="str">
            <v>Mas Meneses, Edgar</v>
          </cell>
          <cell r="E686" t="str">
            <v>emasm@professor.universidadviu.com</v>
          </cell>
          <cell r="F686" t="str">
            <v>emasm@professor.universidadviu.com</v>
          </cell>
          <cell r="G686" t="str">
            <v>NO</v>
          </cell>
          <cell r="H686" t="str">
            <v>NO</v>
          </cell>
          <cell r="I686" t="str">
            <v>Máster en Psicología General sanitaria</v>
          </cell>
          <cell r="J686" t="str">
            <v>Grado en Psicología</v>
          </cell>
          <cell r="K686" t="str">
            <v/>
          </cell>
          <cell r="L686" t="str">
            <v/>
          </cell>
          <cell r="M686" t="str">
            <v>Labour</v>
          </cell>
          <cell r="N686" t="str">
            <v>Aliño Costa, Marta</v>
          </cell>
          <cell r="O686" t="str">
            <v>CSS</v>
          </cell>
          <cell r="P686">
            <v>100</v>
          </cell>
          <cell r="Q686" t="str">
            <v>50</v>
          </cell>
          <cell r="R686"/>
          <cell r="S686"/>
          <cell r="T686" t="str">
            <v>Sin reducción</v>
          </cell>
          <cell r="U686">
            <v>0</v>
          </cell>
          <cell r="V686"/>
          <cell r="W686"/>
          <cell r="X686">
            <v>0</v>
          </cell>
          <cell r="Y686">
            <v>0</v>
          </cell>
          <cell r="Z686">
            <v>0</v>
          </cell>
          <cell r="AA686"/>
          <cell r="AB686" t="str">
            <v>Concluded</v>
          </cell>
          <cell r="AC686" t="str">
            <v>NO ACTIVO</v>
          </cell>
          <cell r="AD686"/>
          <cell r="AE686"/>
          <cell r="AF686">
            <v>45953</v>
          </cell>
          <cell r="AG686" t="str">
            <v>CESE DE CONTRATO</v>
          </cell>
          <cell r="AH686"/>
          <cell r="AI686" t="str">
            <v>48215162D</v>
          </cell>
        </row>
        <row r="687">
          <cell r="A687" t="str">
            <v>05418172Q</v>
          </cell>
          <cell r="B687" t="str">
            <v>Maseda Moreno</v>
          </cell>
          <cell r="C687" t="str">
            <v>Maria del Pilar</v>
          </cell>
          <cell r="D687" t="str">
            <v>Maseda Moreno, Maria del Pilar</v>
          </cell>
          <cell r="E687" t="str">
            <v>mmasedam@professional.universidadviu.com</v>
          </cell>
          <cell r="F687" t="str">
            <v>mmasedam@professional.universidadviu.com</v>
          </cell>
          <cell r="G687" t="str">
            <v>Yes</v>
          </cell>
          <cell r="H687" t="str">
            <v>NO</v>
          </cell>
          <cell r="I687" t="str">
            <v>Estudio y Tratamiento de las Relaciones Familiaries</v>
          </cell>
          <cell r="J687" t="str">
            <v>LICENCIATURA EN PSICOLOGÍA</v>
          </cell>
          <cell r="K687" t="str">
            <v>MÁSTER EN TERAPIA DE FAMILIA Y PAREJA</v>
          </cell>
          <cell r="L687" t="str">
            <v/>
          </cell>
          <cell r="M687" t="str">
            <v>Professional</v>
          </cell>
          <cell r="N687" t="str">
            <v/>
          </cell>
          <cell r="O687" t="str">
            <v>CSS</v>
          </cell>
          <cell r="P687">
            <v>0</v>
          </cell>
          <cell r="Q687" t="str">
            <v xml:space="preserve"> </v>
          </cell>
          <cell r="R687"/>
          <cell r="S687"/>
          <cell r="T687" t="str">
            <v>Sin reducción</v>
          </cell>
          <cell r="U687">
            <v>0</v>
          </cell>
          <cell r="V687"/>
          <cell r="W687"/>
          <cell r="X687">
            <v>0</v>
          </cell>
          <cell r="Y687">
            <v>0</v>
          </cell>
          <cell r="Z687">
            <v>0</v>
          </cell>
          <cell r="AA687"/>
          <cell r="AB687" t="str">
            <v>Concluded</v>
          </cell>
          <cell r="AC687" t="str">
            <v>NO ACTIVO</v>
          </cell>
          <cell r="AD687"/>
          <cell r="AE687"/>
          <cell r="AF687"/>
          <cell r="AG687" t="str">
            <v>CESE DE CONTRATO</v>
          </cell>
          <cell r="AH687"/>
          <cell r="AI687" t="str">
            <v>05418172Q</v>
          </cell>
        </row>
        <row r="688">
          <cell r="A688" t="str">
            <v>12413484Q</v>
          </cell>
          <cell r="B688" t="str">
            <v>Mateo Urdiales</v>
          </cell>
          <cell r="C688" t="str">
            <v>Alberto</v>
          </cell>
          <cell r="D688" t="str">
            <v>Mateo Urdiales, Alberto</v>
          </cell>
          <cell r="E688" t="e">
            <v>#VALUE!</v>
          </cell>
          <cell r="F688" t="str">
            <v>amateou@professor.universidadviu.com</v>
          </cell>
          <cell r="G688" t="e">
            <v>#VALUE!</v>
          </cell>
          <cell r="H688" t="e">
            <v>#VALUE!</v>
          </cell>
          <cell r="I688" t="str">
            <v>Epidemiología y Salud Pública</v>
          </cell>
          <cell r="J688" t="str">
            <v>Licenciado en Medicina</v>
          </cell>
          <cell r="K688" t="str">
            <v>Epidemiología y Salud Pública</v>
          </cell>
          <cell r="L688" t="str">
            <v/>
          </cell>
          <cell r="M688" t="e">
            <v>#VALUE!</v>
          </cell>
          <cell r="N688" t="str">
            <v>Pedelini Gassmann, Leda</v>
          </cell>
          <cell r="O688" t="str">
            <v>CBS</v>
          </cell>
          <cell r="P688" t="str">
            <v xml:space="preserve"> </v>
          </cell>
          <cell r="Q688" t="b">
            <v>0</v>
          </cell>
          <cell r="R688"/>
          <cell r="S688"/>
          <cell r="T688" t="str">
            <v>Sin reducción</v>
          </cell>
          <cell r="U688">
            <v>0</v>
          </cell>
          <cell r="V688"/>
          <cell r="W688"/>
          <cell r="X688">
            <v>0</v>
          </cell>
          <cell r="Y688">
            <v>0</v>
          </cell>
          <cell r="Z688">
            <v>0</v>
          </cell>
          <cell r="AA688"/>
          <cell r="AB688" t="e">
            <v>#VALUE!</v>
          </cell>
          <cell r="AC688" t="str">
            <v>BAJA TEMPORAL</v>
          </cell>
          <cell r="AD688">
            <v>45747</v>
          </cell>
          <cell r="AE688">
            <v>46112</v>
          </cell>
          <cell r="AF688"/>
          <cell r="AG688" t="str">
            <v>EXCEDENCIA</v>
          </cell>
          <cell r="AH688" t="str">
            <v>no sabemos fecha fin</v>
          </cell>
          <cell r="AI688" t="str">
            <v>12413484Q</v>
          </cell>
        </row>
        <row r="689">
          <cell r="A689" t="str">
            <v>20449695G</v>
          </cell>
          <cell r="B689" t="str">
            <v>Mateu Mollá</v>
          </cell>
          <cell r="C689" t="str">
            <v>Joaquín</v>
          </cell>
          <cell r="D689" t="str">
            <v>Mateu Mollá, Joaquín</v>
          </cell>
          <cell r="E689" t="str">
            <v>joaquin.mateu</v>
          </cell>
          <cell r="F689" t="str">
            <v>joaquin.mateu@professor.universidadviu.com</v>
          </cell>
          <cell r="G689" t="str">
            <v>Yes</v>
          </cell>
          <cell r="H689" t="str">
            <v>Yes</v>
          </cell>
          <cell r="I689" t="str">
            <v>Doctorado</v>
          </cell>
          <cell r="J689" t="str">
            <v>Doctorado</v>
          </cell>
          <cell r="K689" t="str">
            <v>Licenciado en Psicología</v>
          </cell>
          <cell r="L689" t="str">
            <v/>
          </cell>
          <cell r="M689" t="str">
            <v>Labour</v>
          </cell>
          <cell r="N689" t="str">
            <v>Duque Moreno, María Aranzazu</v>
          </cell>
          <cell r="O689" t="str">
            <v>CSS</v>
          </cell>
          <cell r="P689">
            <v>100</v>
          </cell>
          <cell r="Q689" t="str">
            <v>50</v>
          </cell>
          <cell r="R689"/>
          <cell r="S689"/>
          <cell r="T689" t="str">
            <v>Dirección de título Máster Universitario - 2 ediciones</v>
          </cell>
          <cell r="U689">
            <v>38</v>
          </cell>
          <cell r="V689"/>
          <cell r="W689"/>
          <cell r="X689">
            <v>6.4</v>
          </cell>
          <cell r="Y689">
            <v>0</v>
          </cell>
          <cell r="Z689">
            <v>6.4</v>
          </cell>
          <cell r="AA689"/>
          <cell r="AB689" t="str">
            <v>Active - signed</v>
          </cell>
          <cell r="AC689" t="str">
            <v>ACTIVO</v>
          </cell>
          <cell r="AD689"/>
          <cell r="AE689"/>
          <cell r="AF689"/>
          <cell r="AG689"/>
          <cell r="AH689"/>
          <cell r="AI689" t="str">
            <v>20449695G</v>
          </cell>
        </row>
        <row r="690">
          <cell r="A690" t="str">
            <v>52732468T</v>
          </cell>
          <cell r="B690" t="str">
            <v>Matoses Marco</v>
          </cell>
          <cell r="C690" t="str">
            <v>Vicente</v>
          </cell>
          <cell r="D690" t="str">
            <v>Matoses Marco, Vicente</v>
          </cell>
          <cell r="E690" t="str">
            <v>vicente.matoses</v>
          </cell>
          <cell r="F690" t="str">
            <v>vicente.matoses@professor.universidadviu.com</v>
          </cell>
          <cell r="G690" t="str">
            <v>NO</v>
          </cell>
          <cell r="H690" t="str">
            <v>NO</v>
          </cell>
          <cell r="I690" t="str">
            <v>Diplomado en fisioterapia</v>
          </cell>
          <cell r="J690" t="str">
            <v/>
          </cell>
          <cell r="K690" t="str">
            <v/>
          </cell>
          <cell r="L690" t="str">
            <v/>
          </cell>
          <cell r="M690" t="str">
            <v>Labour</v>
          </cell>
          <cell r="N690" t="str">
            <v/>
          </cell>
          <cell r="O690" t="str">
            <v>CBS</v>
          </cell>
          <cell r="P690" t="str">
            <v>12,00</v>
          </cell>
          <cell r="Q690" t="b">
            <v>0</v>
          </cell>
          <cell r="R690"/>
          <cell r="S690"/>
          <cell r="T690" t="str">
            <v>Sin reducción</v>
          </cell>
          <cell r="U690">
            <v>0</v>
          </cell>
          <cell r="V690"/>
          <cell r="W690"/>
          <cell r="X690">
            <v>0</v>
          </cell>
          <cell r="Y690">
            <v>0</v>
          </cell>
          <cell r="Z690">
            <v>0</v>
          </cell>
          <cell r="AA690"/>
          <cell r="AB690" t="str">
            <v>Concluded</v>
          </cell>
          <cell r="AC690" t="str">
            <v>NO ACTIVO</v>
          </cell>
          <cell r="AD690"/>
          <cell r="AE690"/>
          <cell r="AF690">
            <v>45535</v>
          </cell>
          <cell r="AG690" t="str">
            <v>CESE DE CONTRATO</v>
          </cell>
          <cell r="AH690"/>
          <cell r="AI690" t="str">
            <v>52732468T</v>
          </cell>
        </row>
        <row r="691">
          <cell r="A691" t="str">
            <v>CO40045987</v>
          </cell>
          <cell r="B691" t="str">
            <v>Mayorga Sierra</v>
          </cell>
          <cell r="C691" t="str">
            <v>Erika Giovanna</v>
          </cell>
          <cell r="D691" t="str">
            <v>Mayorga Sierra, Erika Giovanna</v>
          </cell>
          <cell r="E691" t="str">
            <v>erikagiovanna.mayorga</v>
          </cell>
          <cell r="F691" t="str">
            <v>erikagiovanna.mayorga@professional.universidadviu.com</v>
          </cell>
          <cell r="G691" t="str">
            <v>Yes</v>
          </cell>
          <cell r="H691" t="str">
            <v>NO</v>
          </cell>
          <cell r="I691" t="str">
            <v/>
          </cell>
          <cell r="J691" t="str">
            <v>Psicologo</v>
          </cell>
          <cell r="K691" t="str">
            <v>Licenciado en Psicología</v>
          </cell>
          <cell r="L691" t="str">
            <v/>
          </cell>
          <cell r="M691" t="str">
            <v>Professional</v>
          </cell>
          <cell r="N691" t="str">
            <v/>
          </cell>
          <cell r="O691" t="str">
            <v>CSS</v>
          </cell>
          <cell r="P691">
            <v>0</v>
          </cell>
          <cell r="Q691" t="str">
            <v xml:space="preserve"> </v>
          </cell>
          <cell r="R691"/>
          <cell r="S691"/>
          <cell r="T691" t="str">
            <v>Sin reducción</v>
          </cell>
          <cell r="U691">
            <v>0</v>
          </cell>
          <cell r="V691"/>
          <cell r="W691"/>
          <cell r="X691">
            <v>0</v>
          </cell>
          <cell r="Y691">
            <v>0</v>
          </cell>
          <cell r="Z691">
            <v>0</v>
          </cell>
          <cell r="AA691"/>
          <cell r="AB691" t="str">
            <v>Active - signed</v>
          </cell>
          <cell r="AC691" t="str">
            <v>ACTIVO</v>
          </cell>
          <cell r="AD691"/>
          <cell r="AE691"/>
          <cell r="AF691"/>
          <cell r="AG691"/>
          <cell r="AH691"/>
          <cell r="AI691" t="str">
            <v>CO40045987</v>
          </cell>
        </row>
        <row r="692">
          <cell r="A692" t="str">
            <v>P09155920</v>
          </cell>
          <cell r="B692" t="str">
            <v>Medina Salas</v>
          </cell>
          <cell r="C692" t="str">
            <v>Daniel</v>
          </cell>
          <cell r="D692" t="str">
            <v>Medina Salas, Daniel</v>
          </cell>
          <cell r="E692" t="str">
            <v>daniel.medina.s</v>
          </cell>
          <cell r="F692" t="str">
            <v>daniel.medina.s@professional.universidadviu.com</v>
          </cell>
          <cell r="G692" t="str">
            <v>Yes</v>
          </cell>
          <cell r="H692" t="str">
            <v>NO</v>
          </cell>
          <cell r="I692" t="str">
            <v>Biotecnología</v>
          </cell>
          <cell r="J692" t="str">
            <v>Ingeniero en Biotecnología molecular</v>
          </cell>
          <cell r="K692" t="str">
            <v>Licenciado en Ingeniería en Biotecnología molecular</v>
          </cell>
          <cell r="L692" t="str">
            <v>Magister en Ciencias biológicas</v>
          </cell>
          <cell r="M692" t="str">
            <v>Professional</v>
          </cell>
          <cell r="N692" t="str">
            <v/>
          </cell>
          <cell r="O692" t="str">
            <v>CBS</v>
          </cell>
          <cell r="P692">
            <v>0</v>
          </cell>
          <cell r="Q692" t="str">
            <v xml:space="preserve"> </v>
          </cell>
          <cell r="R692"/>
          <cell r="S692"/>
          <cell r="T692" t="str">
            <v>Sin reducción</v>
          </cell>
          <cell r="U692">
            <v>0</v>
          </cell>
          <cell r="V692"/>
          <cell r="W692"/>
          <cell r="X692">
            <v>0</v>
          </cell>
          <cell r="Y692">
            <v>0</v>
          </cell>
          <cell r="Z692">
            <v>0</v>
          </cell>
          <cell r="AA692"/>
          <cell r="AB692" t="str">
            <v>Active - signed</v>
          </cell>
          <cell r="AC692" t="str">
            <v>ACTIVO</v>
          </cell>
          <cell r="AD692"/>
          <cell r="AE692"/>
          <cell r="AF692"/>
          <cell r="AG692"/>
          <cell r="AH692"/>
          <cell r="AI692" t="str">
            <v>P09155920</v>
          </cell>
        </row>
        <row r="693">
          <cell r="A693" t="str">
            <v>28649432B</v>
          </cell>
          <cell r="B693" t="str">
            <v>Medinilla Tena</v>
          </cell>
          <cell r="C693" t="str">
            <v>Patricia</v>
          </cell>
          <cell r="D693" t="str">
            <v>Medinilla Tena, Patricia</v>
          </cell>
          <cell r="E693" t="str">
            <v>pmedinillat@professor.universidadviu.com</v>
          </cell>
          <cell r="F693" t="str">
            <v>pmedinillat@professor.universidadviu.com</v>
          </cell>
          <cell r="G693" t="str">
            <v>Yes</v>
          </cell>
          <cell r="H693" t="str">
            <v>NO</v>
          </cell>
          <cell r="I693" t="str">
            <v>Máster Oficial en Psicología Jurídica Y Forense</v>
          </cell>
          <cell r="J693" t="str">
            <v>Grado en Psicología</v>
          </cell>
          <cell r="K693" t="str">
            <v/>
          </cell>
          <cell r="L693" t="str">
            <v/>
          </cell>
          <cell r="M693" t="str">
            <v>Labour</v>
          </cell>
          <cell r="N693" t="str">
            <v>Hernández Saguar, Aida Esther</v>
          </cell>
          <cell r="O693" t="str">
            <v>CSS</v>
          </cell>
          <cell r="P693">
            <v>100</v>
          </cell>
          <cell r="Q693" t="str">
            <v>50</v>
          </cell>
          <cell r="R693"/>
          <cell r="S693"/>
          <cell r="T693" t="str">
            <v>Sin reducción</v>
          </cell>
          <cell r="U693">
            <v>0</v>
          </cell>
          <cell r="V693"/>
          <cell r="W693"/>
          <cell r="X693">
            <v>37</v>
          </cell>
          <cell r="Y693">
            <v>0</v>
          </cell>
          <cell r="Z693">
            <v>0</v>
          </cell>
          <cell r="AA693"/>
          <cell r="AB693" t="str">
            <v>Active - signed</v>
          </cell>
          <cell r="AC693" t="str">
            <v>ACTIVO</v>
          </cell>
          <cell r="AD693"/>
          <cell r="AE693"/>
          <cell r="AF693"/>
          <cell r="AG693"/>
          <cell r="AH693"/>
          <cell r="AI693" t="str">
            <v>28649432B</v>
          </cell>
        </row>
        <row r="694">
          <cell r="A694" t="str">
            <v>48540557T</v>
          </cell>
          <cell r="B694" t="str">
            <v>Melgarejo González Conde</v>
          </cell>
          <cell r="C694" t="str">
            <v>Verónica</v>
          </cell>
          <cell r="D694" t="str">
            <v>Melgarejo González Conde, Verónica</v>
          </cell>
          <cell r="E694" t="str">
            <v>veronica.melgarejo</v>
          </cell>
          <cell r="F694" t="str">
            <v>veronica.melgarejo@professor.universidadviu.com</v>
          </cell>
          <cell r="G694" t="str">
            <v>Yes</v>
          </cell>
          <cell r="H694" t="str">
            <v>NO</v>
          </cell>
          <cell r="I694" t="str">
            <v>Programa de Doctorado Psicología</v>
          </cell>
          <cell r="J694" t="str">
            <v>Programa de Doctorado Psicología</v>
          </cell>
          <cell r="K694" t="str">
            <v>Licenciada Psicología</v>
          </cell>
          <cell r="L694" t="str">
            <v/>
          </cell>
          <cell r="M694" t="str">
            <v>Labour</v>
          </cell>
          <cell r="N694" t="str">
            <v>Consultar Ciencias Sociales</v>
          </cell>
          <cell r="O694" t="str">
            <v>CSS</v>
          </cell>
          <cell r="P694">
            <v>100</v>
          </cell>
          <cell r="Q694" t="str">
            <v>50</v>
          </cell>
          <cell r="R694"/>
          <cell r="S694"/>
          <cell r="T694" t="str">
            <v>Sin reducción</v>
          </cell>
          <cell r="U694">
            <v>0</v>
          </cell>
          <cell r="V694">
            <v>44</v>
          </cell>
          <cell r="W694" t="str">
            <v>JURÍDICO + EDUCACIÓN</v>
          </cell>
          <cell r="X694">
            <v>6</v>
          </cell>
          <cell r="Y694">
            <v>0</v>
          </cell>
          <cell r="Z694">
            <v>0</v>
          </cell>
          <cell r="AA694"/>
          <cell r="AB694" t="str">
            <v>Active - signed</v>
          </cell>
          <cell r="AC694" t="str">
            <v>ACTIVO</v>
          </cell>
          <cell r="AD694"/>
          <cell r="AE694"/>
          <cell r="AF694"/>
          <cell r="AG694"/>
          <cell r="AH694"/>
          <cell r="AI694" t="str">
            <v>48540557T</v>
          </cell>
        </row>
        <row r="695">
          <cell r="A695" t="str">
            <v>74521491L</v>
          </cell>
          <cell r="B695" t="str">
            <v>Mena Moreno</v>
          </cell>
          <cell r="C695" t="str">
            <v>Teresa</v>
          </cell>
          <cell r="D695" t="str">
            <v>Mena Moreno, Teresa</v>
          </cell>
          <cell r="E695" t="str">
            <v>teresa.mena</v>
          </cell>
          <cell r="F695" t="str">
            <v>teresa.mena@professor.universidadviu.com</v>
          </cell>
          <cell r="G695" t="str">
            <v>Yes</v>
          </cell>
          <cell r="H695" t="str">
            <v>Yes</v>
          </cell>
          <cell r="I695" t="str">
            <v>Programa de Doctorado en Medicina e Investigación Traslacional</v>
          </cell>
          <cell r="J695" t="str">
            <v>Programa de Doctorado en Medicina e Investigación Traslacional</v>
          </cell>
          <cell r="K695" t="str">
            <v>Master universitario en psicologia general sanitaria</v>
          </cell>
          <cell r="L695" t="str">
            <v>Grado en psicología</v>
          </cell>
          <cell r="M695" t="str">
            <v>Labour</v>
          </cell>
          <cell r="N695" t="str">
            <v>Ródenas González, Francisco</v>
          </cell>
          <cell r="O695" t="str">
            <v>CSS</v>
          </cell>
          <cell r="P695">
            <v>100</v>
          </cell>
          <cell r="Q695" t="str">
            <v>50</v>
          </cell>
          <cell r="R695"/>
          <cell r="S695"/>
          <cell r="T695" t="str">
            <v>Sin reducción</v>
          </cell>
          <cell r="U695">
            <v>0</v>
          </cell>
          <cell r="V695"/>
          <cell r="W695"/>
          <cell r="X695">
            <v>16</v>
          </cell>
          <cell r="Y695">
            <v>0</v>
          </cell>
          <cell r="Z695">
            <v>0</v>
          </cell>
          <cell r="AA695"/>
          <cell r="AB695" t="str">
            <v>Active - signed</v>
          </cell>
          <cell r="AC695" t="str">
            <v>BAJA TEMPORAL</v>
          </cell>
          <cell r="AD695">
            <v>46069</v>
          </cell>
          <cell r="AE695">
            <v>46371</v>
          </cell>
          <cell r="AF695"/>
          <cell r="AG695" t="str">
            <v>ENFERMEDAD</v>
          </cell>
          <cell r="AH695" t="str">
            <v>Fecha probable parto junio</v>
          </cell>
          <cell r="AI695" t="str">
            <v>74521491L</v>
          </cell>
        </row>
        <row r="696">
          <cell r="A696" t="str">
            <v>29208140A</v>
          </cell>
          <cell r="B696" t="str">
            <v>Mena Romero</v>
          </cell>
          <cell r="C696" t="str">
            <v>Adriana</v>
          </cell>
          <cell r="D696" t="str">
            <v>Mena Romero, Adriana</v>
          </cell>
          <cell r="E696" t="str">
            <v>adriana.mena</v>
          </cell>
          <cell r="F696" t="str">
            <v>adriana.mena@professor.universidadviu.com</v>
          </cell>
          <cell r="G696" t="str">
            <v>Yes</v>
          </cell>
          <cell r="H696" t="str">
            <v>NO</v>
          </cell>
          <cell r="I696" t="str">
            <v>Programa de Doctorado en Biomedicina y Biotecnología</v>
          </cell>
          <cell r="J696" t="str">
            <v>Programa de Doctorado en Biomedicina y Biotecnología</v>
          </cell>
          <cell r="K696" t="str">
            <v>Licenciada en Biología</v>
          </cell>
          <cell r="L696" t="str">
            <v>MU Investigación en Biología Molecular, Celular y Genética</v>
          </cell>
          <cell r="M696" t="str">
            <v>Labour</v>
          </cell>
          <cell r="N696" t="str">
            <v>Pedelini Gassmann, Leda</v>
          </cell>
          <cell r="O696" t="str">
            <v>CBS</v>
          </cell>
          <cell r="P696">
            <v>100</v>
          </cell>
          <cell r="Q696" t="str">
            <v>50</v>
          </cell>
          <cell r="R696"/>
          <cell r="S696"/>
          <cell r="T696" t="str">
            <v>Sin reducción</v>
          </cell>
          <cell r="U696">
            <v>0</v>
          </cell>
          <cell r="V696"/>
          <cell r="W696"/>
          <cell r="X696">
            <v>0</v>
          </cell>
          <cell r="Y696">
            <v>34.5</v>
          </cell>
          <cell r="Z696">
            <v>12</v>
          </cell>
          <cell r="AA696"/>
          <cell r="AB696" t="str">
            <v>Active - signed</v>
          </cell>
          <cell r="AC696" t="str">
            <v>ACTIVO</v>
          </cell>
          <cell r="AD696"/>
          <cell r="AE696"/>
          <cell r="AF696"/>
          <cell r="AG696"/>
          <cell r="AH696"/>
          <cell r="AI696" t="str">
            <v>29208140A</v>
          </cell>
        </row>
        <row r="697">
          <cell r="A697" t="str">
            <v>53257984N</v>
          </cell>
          <cell r="B697" t="str">
            <v>Méndez Belinchón</v>
          </cell>
          <cell r="C697" t="str">
            <v>Ester</v>
          </cell>
          <cell r="D697" t="str">
            <v>Méndez Belinchón, Ester</v>
          </cell>
          <cell r="E697" t="str">
            <v>ester.mendez</v>
          </cell>
          <cell r="F697" t="str">
            <v>ester.mendez@professor.universidadviu.com</v>
          </cell>
          <cell r="G697" t="str">
            <v>Yes</v>
          </cell>
          <cell r="H697" t="str">
            <v>NO</v>
          </cell>
          <cell r="I697" t="str">
            <v>Doctorado</v>
          </cell>
          <cell r="J697" t="str">
            <v>Doctorado</v>
          </cell>
          <cell r="K697" t="str">
            <v/>
          </cell>
          <cell r="L697" t="str">
            <v/>
          </cell>
          <cell r="M697" t="str">
            <v>Labour</v>
          </cell>
          <cell r="N697" t="str">
            <v>Pedelini Gassmann, Leda</v>
          </cell>
          <cell r="O697" t="str">
            <v>CBS</v>
          </cell>
          <cell r="P697">
            <v>30</v>
          </cell>
          <cell r="Q697" t="str">
            <v>24</v>
          </cell>
          <cell r="R697"/>
          <cell r="S697"/>
          <cell r="T697" t="str">
            <v>Sin reducción</v>
          </cell>
          <cell r="U697">
            <v>0</v>
          </cell>
          <cell r="V697">
            <v>8</v>
          </cell>
          <cell r="W697" t="str">
            <v>ESCUELA</v>
          </cell>
          <cell r="X697">
            <v>0</v>
          </cell>
          <cell r="Y697">
            <v>0</v>
          </cell>
          <cell r="Z697">
            <v>0</v>
          </cell>
          <cell r="AA697"/>
          <cell r="AB697" t="str">
            <v>Active - signed</v>
          </cell>
          <cell r="AC697" t="str">
            <v>ACTIVO</v>
          </cell>
          <cell r="AD697"/>
          <cell r="AE697"/>
          <cell r="AF697">
            <v>46080</v>
          </cell>
          <cell r="AG697" t="str">
            <v>CESE DE CONTRATO</v>
          </cell>
          <cell r="AH697"/>
          <cell r="AI697" t="str">
            <v>53257984N</v>
          </cell>
        </row>
        <row r="698">
          <cell r="A698" t="str">
            <v>52771538Q</v>
          </cell>
          <cell r="B698" t="str">
            <v>Méndez Navarro</v>
          </cell>
          <cell r="C698" t="str">
            <v>Luz Marina</v>
          </cell>
          <cell r="D698" t="str">
            <v>Méndez Navarro, Luz Marina</v>
          </cell>
          <cell r="E698" t="str">
            <v>luzmarina.mendez</v>
          </cell>
          <cell r="F698" t="str">
            <v>luzmarina.mendez@professor.universidadviu.com</v>
          </cell>
          <cell r="G698" t="str">
            <v>Yes</v>
          </cell>
          <cell r="H698" t="str">
            <v>NO</v>
          </cell>
          <cell r="I698" t="str">
            <v>Programa de Doctorado en Derecho</v>
          </cell>
          <cell r="J698" t="str">
            <v>Licenciada en Criminología</v>
          </cell>
          <cell r="K698" t="str">
            <v>Máster Universitario en Criminología y Delincuencia Juvenil</v>
          </cell>
          <cell r="L698" t="str">
            <v>Máster Universitario en Criminología y Delincuencia Juvenil</v>
          </cell>
          <cell r="M698" t="str">
            <v>Labour</v>
          </cell>
          <cell r="N698" t="str">
            <v/>
          </cell>
          <cell r="O698" t="str">
            <v>CSS</v>
          </cell>
          <cell r="P698">
            <v>100</v>
          </cell>
          <cell r="Q698" t="str">
            <v>50</v>
          </cell>
          <cell r="R698"/>
          <cell r="S698"/>
          <cell r="T698" t="str">
            <v>Sin reducción</v>
          </cell>
          <cell r="U698">
            <v>0</v>
          </cell>
          <cell r="V698"/>
          <cell r="W698"/>
          <cell r="X698">
            <v>0</v>
          </cell>
          <cell r="Y698">
            <v>0</v>
          </cell>
          <cell r="Z698">
            <v>0</v>
          </cell>
          <cell r="AA698"/>
          <cell r="AB698" t="str">
            <v>Concluded</v>
          </cell>
          <cell r="AC698" t="str">
            <v>NO ACTIVO</v>
          </cell>
          <cell r="AD698"/>
          <cell r="AE698"/>
          <cell r="AF698">
            <v>45336</v>
          </cell>
          <cell r="AG698" t="str">
            <v>CESE DE CONTRATO</v>
          </cell>
          <cell r="AH698"/>
          <cell r="AI698" t="str">
            <v>52771538Q</v>
          </cell>
        </row>
        <row r="699">
          <cell r="A699" t="str">
            <v>VE9317457</v>
          </cell>
          <cell r="B699" t="str">
            <v>Méndez Rosales</v>
          </cell>
          <cell r="C699" t="str">
            <v>Mirna</v>
          </cell>
          <cell r="D699" t="str">
            <v>Méndez Rosales, Mirna</v>
          </cell>
          <cell r="E699" t="str">
            <v>mirna.mendez</v>
          </cell>
          <cell r="F699" t="str">
            <v>mirna.mendez@professional.universidadviu.com</v>
          </cell>
          <cell r="G699" t="str">
            <v>Yes</v>
          </cell>
          <cell r="H699" t="str">
            <v>NO</v>
          </cell>
          <cell r="I699" t="str">
            <v>Doctora En Educación</v>
          </cell>
          <cell r="J699" t="str">
            <v>Magister en Educación Mención Tecnologías de la Información y la Comunicación</v>
          </cell>
          <cell r="K699" t="str">
            <v>Profesora de Informática</v>
          </cell>
          <cell r="L699" t="str">
            <v/>
          </cell>
          <cell r="M699" t="str">
            <v>Professional</v>
          </cell>
          <cell r="N699" t="str">
            <v/>
          </cell>
          <cell r="O699" t="str">
            <v>CSS</v>
          </cell>
          <cell r="P699">
            <v>0</v>
          </cell>
          <cell r="Q699" t="str">
            <v xml:space="preserve"> </v>
          </cell>
          <cell r="R699"/>
          <cell r="S699"/>
          <cell r="T699" t="str">
            <v>Sin reducción</v>
          </cell>
          <cell r="U699">
            <v>0</v>
          </cell>
          <cell r="V699"/>
          <cell r="W699"/>
          <cell r="X699">
            <v>0</v>
          </cell>
          <cell r="Y699">
            <v>0</v>
          </cell>
          <cell r="Z699">
            <v>0</v>
          </cell>
          <cell r="AA699"/>
          <cell r="AB699" t="str">
            <v>Active - signed</v>
          </cell>
          <cell r="AC699" t="str">
            <v>ACTIVO</v>
          </cell>
          <cell r="AD699"/>
          <cell r="AE699"/>
          <cell r="AF699"/>
          <cell r="AG699"/>
          <cell r="AH699"/>
          <cell r="AI699" t="str">
            <v>VE9317457</v>
          </cell>
        </row>
        <row r="700">
          <cell r="A700" t="str">
            <v>52420518E</v>
          </cell>
          <cell r="B700" t="str">
            <v>Mercader Rovira</v>
          </cell>
          <cell r="C700" t="str">
            <v>Alberto</v>
          </cell>
          <cell r="D700" t="str">
            <v>Mercader Rovira, Alberto</v>
          </cell>
          <cell r="E700" t="str">
            <v>amercaderr@professional.universidadviu.com</v>
          </cell>
          <cell r="F700" t="str">
            <v>amercaderr@professional.universidadviu.com</v>
          </cell>
          <cell r="G700" t="str">
            <v>Yes</v>
          </cell>
          <cell r="H700" t="str">
            <v>NO</v>
          </cell>
          <cell r="I700" t="str">
            <v>Doctorado en Educación, Sociedad y Calidad de Vida (Extensión Internacional)</v>
          </cell>
          <cell r="J700" t="str">
            <v>Máster Universitario en Formación del Profesorado de Educación Secundaria Obligatoria y Bachillerato</v>
          </cell>
          <cell r="K700" t="str">
            <v>Grado en Psicología</v>
          </cell>
          <cell r="L700" t="str">
            <v/>
          </cell>
          <cell r="M700" t="str">
            <v>Professional</v>
          </cell>
          <cell r="N700" t="str">
            <v/>
          </cell>
          <cell r="O700" t="str">
            <v>CSS</v>
          </cell>
          <cell r="P700">
            <v>0</v>
          </cell>
          <cell r="Q700" t="str">
            <v xml:space="preserve"> </v>
          </cell>
          <cell r="R700"/>
          <cell r="S700"/>
          <cell r="T700" t="str">
            <v>Sin reducción</v>
          </cell>
          <cell r="U700">
            <v>0</v>
          </cell>
          <cell r="V700"/>
          <cell r="W700"/>
          <cell r="X700">
            <v>0</v>
          </cell>
          <cell r="Y700">
            <v>0</v>
          </cell>
          <cell r="Z700">
            <v>0</v>
          </cell>
          <cell r="AA700"/>
          <cell r="AB700" t="str">
            <v>Active - signed</v>
          </cell>
          <cell r="AC700" t="str">
            <v>ACTIVO</v>
          </cell>
          <cell r="AD700"/>
          <cell r="AE700"/>
          <cell r="AF700"/>
          <cell r="AG700"/>
          <cell r="AH700"/>
          <cell r="AI700" t="str">
            <v>52420518E</v>
          </cell>
        </row>
        <row r="701">
          <cell r="A701" t="str">
            <v>20248127P</v>
          </cell>
          <cell r="B701" t="str">
            <v>Merhi Auar</v>
          </cell>
          <cell r="C701" t="str">
            <v>Richard</v>
          </cell>
          <cell r="D701" t="str">
            <v>Merhi Auar, Richard</v>
          </cell>
          <cell r="E701" t="str">
            <v>richard.merhi@professional.universidadviu.com</v>
          </cell>
          <cell r="F701" t="str">
            <v>richard.merhi@professional.universidadviu.com</v>
          </cell>
          <cell r="G701" t="str">
            <v>Yes</v>
          </cell>
          <cell r="H701" t="str">
            <v>NO</v>
          </cell>
          <cell r="I701" t="str">
            <v>Doctorado en Psicología de la Salud. Especialidad Comportamiento Organizacional</v>
          </cell>
          <cell r="J701" t="str">
            <v>Máster Universitario en Investigación en Psicología</v>
          </cell>
          <cell r="K701" t="str">
            <v>Licenciatura en Psicología</v>
          </cell>
          <cell r="L701" t="str">
            <v/>
          </cell>
          <cell r="M701" t="str">
            <v>Professional</v>
          </cell>
          <cell r="N701" t="str">
            <v/>
          </cell>
          <cell r="O701" t="str">
            <v>CSS</v>
          </cell>
          <cell r="P701">
            <v>0</v>
          </cell>
          <cell r="Q701" t="str">
            <v xml:space="preserve"> </v>
          </cell>
          <cell r="R701"/>
          <cell r="S701"/>
          <cell r="T701" t="str">
            <v>Sin reducción</v>
          </cell>
          <cell r="U701">
            <v>0</v>
          </cell>
          <cell r="V701"/>
          <cell r="W701"/>
          <cell r="X701">
            <v>0</v>
          </cell>
          <cell r="Y701">
            <v>0</v>
          </cell>
          <cell r="Z701">
            <v>0</v>
          </cell>
          <cell r="AA701"/>
          <cell r="AB701" t="str">
            <v>Active - signed</v>
          </cell>
          <cell r="AC701" t="str">
            <v>ACTIVO</v>
          </cell>
          <cell r="AD701"/>
          <cell r="AE701"/>
          <cell r="AF701"/>
          <cell r="AG701"/>
          <cell r="AH701"/>
          <cell r="AI701" t="str">
            <v>20248127P</v>
          </cell>
        </row>
        <row r="702">
          <cell r="A702" t="str">
            <v>27340396C</v>
          </cell>
          <cell r="B702" t="str">
            <v>Merino Lorente</v>
          </cell>
          <cell r="C702" t="str">
            <v>Susana</v>
          </cell>
          <cell r="D702" t="str">
            <v>Merino Lorente, Susana</v>
          </cell>
          <cell r="E702" t="str">
            <v>smerinol@professional.universidadviu.com</v>
          </cell>
          <cell r="F702" t="str">
            <v>smerinol@professional.universidadviu.com</v>
          </cell>
          <cell r="G702" t="str">
            <v>Yes</v>
          </cell>
          <cell r="H702" t="str">
            <v>NO</v>
          </cell>
          <cell r="I702" t="str">
            <v>Programa de doctorado en Ciencias Sociales</v>
          </cell>
          <cell r="J702" t="str">
            <v>Master Psicología Infantil</v>
          </cell>
          <cell r="K702" t="str">
            <v>Licenciada en Psicología</v>
          </cell>
          <cell r="L702" t="str">
            <v/>
          </cell>
          <cell r="M702" t="str">
            <v>Professional</v>
          </cell>
          <cell r="N702" t="str">
            <v/>
          </cell>
          <cell r="O702" t="str">
            <v>CSS</v>
          </cell>
          <cell r="P702">
            <v>0</v>
          </cell>
          <cell r="Q702" t="str">
            <v xml:space="preserve"> </v>
          </cell>
          <cell r="R702"/>
          <cell r="S702"/>
          <cell r="T702" t="str">
            <v>Sin reducción</v>
          </cell>
          <cell r="U702">
            <v>0</v>
          </cell>
          <cell r="V702"/>
          <cell r="W702"/>
          <cell r="X702">
            <v>0</v>
          </cell>
          <cell r="Y702">
            <v>0</v>
          </cell>
          <cell r="Z702">
            <v>0</v>
          </cell>
          <cell r="AA702"/>
          <cell r="AB702" t="str">
            <v>Active - signed</v>
          </cell>
          <cell r="AC702" t="str">
            <v>ACTIVO</v>
          </cell>
          <cell r="AD702"/>
          <cell r="AE702"/>
          <cell r="AF702"/>
          <cell r="AG702"/>
          <cell r="AH702"/>
          <cell r="AI702" t="str">
            <v>27340396C</v>
          </cell>
        </row>
        <row r="703">
          <cell r="A703" t="str">
            <v>52950632D</v>
          </cell>
          <cell r="B703" t="str">
            <v>Merino Ruiz</v>
          </cell>
          <cell r="C703" t="str">
            <v>Margarita</v>
          </cell>
          <cell r="D703" t="str">
            <v>Merino Ruiz, Margarita</v>
          </cell>
          <cell r="E703" t="str">
            <v>mmerinor@professional.universidadviu.com</v>
          </cell>
          <cell r="F703" t="str">
            <v>mmerinor@professional.universidadviu.com</v>
          </cell>
          <cell r="G703" t="str">
            <v>NO</v>
          </cell>
          <cell r="H703" t="str">
            <v>NO</v>
          </cell>
          <cell r="I703" t="str">
            <v>Diplomada en Enfermería</v>
          </cell>
          <cell r="J703" t="str">
            <v>Graduada en medicina</v>
          </cell>
          <cell r="K703" t="str">
            <v/>
          </cell>
          <cell r="L703" t="str">
            <v/>
          </cell>
          <cell r="M703" t="str">
            <v>Professional</v>
          </cell>
          <cell r="N703" t="str">
            <v/>
          </cell>
          <cell r="O703" t="str">
            <v>CBS</v>
          </cell>
          <cell r="P703">
            <v>0</v>
          </cell>
          <cell r="Q703" t="str">
            <v xml:space="preserve"> </v>
          </cell>
          <cell r="R703"/>
          <cell r="S703"/>
          <cell r="T703" t="str">
            <v>Sin reducción</v>
          </cell>
          <cell r="U703">
            <v>0</v>
          </cell>
          <cell r="V703"/>
          <cell r="W703"/>
          <cell r="X703">
            <v>0</v>
          </cell>
          <cell r="Y703">
            <v>0</v>
          </cell>
          <cell r="Z703">
            <v>0</v>
          </cell>
          <cell r="AA703"/>
          <cell r="AB703" t="str">
            <v>Active - signed</v>
          </cell>
          <cell r="AC703" t="str">
            <v>ACTIVO</v>
          </cell>
          <cell r="AD703"/>
          <cell r="AE703"/>
          <cell r="AF703"/>
          <cell r="AG703"/>
          <cell r="AH703"/>
          <cell r="AI703" t="str">
            <v>52950632D</v>
          </cell>
        </row>
        <row r="704">
          <cell r="A704" t="str">
            <v>46947052G</v>
          </cell>
          <cell r="B704" t="str">
            <v>Mesas Fernández</v>
          </cell>
          <cell r="C704" t="str">
            <v>Javier</v>
          </cell>
          <cell r="D704" t="str">
            <v>Mesas Fernández, Javier</v>
          </cell>
          <cell r="E704" t="str">
            <v>javier.mesas.f</v>
          </cell>
          <cell r="F704" t="str">
            <v>javier.mesas.f@professor.universidadviu.com</v>
          </cell>
          <cell r="G704" t="str">
            <v>Yes</v>
          </cell>
          <cell r="H704" t="str">
            <v>NO</v>
          </cell>
          <cell r="I704" t="str">
            <v>Trabajo social</v>
          </cell>
          <cell r="J704" t="str">
            <v>CELI 2</v>
          </cell>
          <cell r="K704" t="str">
            <v>Máster en Gerontología y Dirección y Gestión de Centros Gerontológicos</v>
          </cell>
          <cell r="L704" t="str">
            <v>Máster en Gerontología y Dirección y Gestión de Centros Gerontológicos</v>
          </cell>
          <cell r="M704" t="str">
            <v>Labour</v>
          </cell>
          <cell r="N704" t="str">
            <v>Duque Moreno, María Aranzazu</v>
          </cell>
          <cell r="O704" t="str">
            <v>CSS</v>
          </cell>
          <cell r="P704">
            <v>100</v>
          </cell>
          <cell r="Q704" t="str">
            <v>50</v>
          </cell>
          <cell r="R704"/>
          <cell r="S704"/>
          <cell r="T704" t="str">
            <v>Dirección de título Máster Universitario &lt;60 - 1 edición</v>
          </cell>
          <cell r="U704" t="str">
            <v>26</v>
          </cell>
          <cell r="V704"/>
          <cell r="W704"/>
          <cell r="X704">
            <v>0</v>
          </cell>
          <cell r="Y704">
            <v>0</v>
          </cell>
          <cell r="Z704">
            <v>19</v>
          </cell>
          <cell r="AA704"/>
          <cell r="AB704" t="str">
            <v>Active - signed</v>
          </cell>
          <cell r="AC704" t="str">
            <v>ACTIVO</v>
          </cell>
          <cell r="AD704"/>
          <cell r="AE704"/>
          <cell r="AF704"/>
          <cell r="AG704"/>
          <cell r="AH704"/>
          <cell r="AI704" t="str">
            <v>46947052G</v>
          </cell>
        </row>
        <row r="705">
          <cell r="A705" t="str">
            <v>47889973V</v>
          </cell>
          <cell r="B705" t="str">
            <v>Mestre Bach</v>
          </cell>
          <cell r="C705" t="str">
            <v>Gemma</v>
          </cell>
          <cell r="D705" t="str">
            <v>Mestre Bach, Gemma</v>
          </cell>
          <cell r="E705" t="str">
            <v>gemma.mestre.b</v>
          </cell>
          <cell r="F705" t="str">
            <v>gemma.mestre.b@professional.universidadviu.com</v>
          </cell>
          <cell r="G705" t="str">
            <v>Yes</v>
          </cell>
          <cell r="H705" t="str">
            <v>Yes</v>
          </cell>
          <cell r="I705" t="str">
            <v>Psicología</v>
          </cell>
          <cell r="J705" t="str">
            <v>Medicina e Investigación Translacional</v>
          </cell>
          <cell r="K705" t="str">
            <v/>
          </cell>
          <cell r="L705" t="str">
            <v/>
          </cell>
          <cell r="M705" t="str">
            <v>Professional</v>
          </cell>
          <cell r="N705" t="str">
            <v/>
          </cell>
          <cell r="O705" t="str">
            <v>CSS</v>
          </cell>
          <cell r="P705">
            <v>0</v>
          </cell>
          <cell r="Q705" t="str">
            <v xml:space="preserve"> </v>
          </cell>
          <cell r="R705"/>
          <cell r="S705"/>
          <cell r="T705" t="str">
            <v>Sin reducción</v>
          </cell>
          <cell r="U705">
            <v>0</v>
          </cell>
          <cell r="V705"/>
          <cell r="W705"/>
          <cell r="X705">
            <v>0</v>
          </cell>
          <cell r="Y705">
            <v>0</v>
          </cell>
          <cell r="Z705">
            <v>0</v>
          </cell>
          <cell r="AA705"/>
          <cell r="AB705" t="str">
            <v>Active - signed</v>
          </cell>
          <cell r="AC705" t="str">
            <v>ACTIVO</v>
          </cell>
          <cell r="AD705"/>
          <cell r="AE705"/>
          <cell r="AF705"/>
          <cell r="AG705"/>
          <cell r="AH705"/>
          <cell r="AI705" t="str">
            <v>47889973V</v>
          </cell>
        </row>
        <row r="706">
          <cell r="A706" t="str">
            <v>28706395A</v>
          </cell>
          <cell r="B706" t="str">
            <v>Mestre Navas</v>
          </cell>
          <cell r="C706" t="str">
            <v>José Miguel</v>
          </cell>
          <cell r="D706" t="str">
            <v>Mestre Navas, José Miguel</v>
          </cell>
          <cell r="E706" t="str">
            <v>josemiguel.mestre</v>
          </cell>
          <cell r="F706" t="str">
            <v>josemiguel.mestre@professional.universidadviu.com</v>
          </cell>
          <cell r="G706" t="str">
            <v>Yes</v>
          </cell>
          <cell r="H706" t="str">
            <v>Yes</v>
          </cell>
          <cell r="I706" t="str">
            <v>Doctorado en Filosofia y ciencias de la Educacion</v>
          </cell>
          <cell r="J706" t="str">
            <v>Licenciado en Filosofia y Ciencias de la Educacion</v>
          </cell>
          <cell r="K706" t="str">
            <v/>
          </cell>
          <cell r="L706" t="str">
            <v/>
          </cell>
          <cell r="M706" t="str">
            <v>Professional</v>
          </cell>
          <cell r="N706" t="str">
            <v/>
          </cell>
          <cell r="O706" t="str">
            <v>CSS</v>
          </cell>
          <cell r="P706">
            <v>0</v>
          </cell>
          <cell r="Q706" t="str">
            <v xml:space="preserve"> </v>
          </cell>
          <cell r="R706"/>
          <cell r="S706"/>
          <cell r="T706" t="str">
            <v>Sin reducción</v>
          </cell>
          <cell r="U706">
            <v>0</v>
          </cell>
          <cell r="V706"/>
          <cell r="W706"/>
          <cell r="X706">
            <v>0</v>
          </cell>
          <cell r="Y706">
            <v>0</v>
          </cell>
          <cell r="Z706">
            <v>0</v>
          </cell>
          <cell r="AA706"/>
          <cell r="AB706" t="str">
            <v>Active - signed</v>
          </cell>
          <cell r="AC706" t="str">
            <v>ACTIVO</v>
          </cell>
          <cell r="AD706"/>
          <cell r="AE706"/>
          <cell r="AF706"/>
          <cell r="AG706"/>
          <cell r="AH706"/>
          <cell r="AI706" t="str">
            <v>28706395A</v>
          </cell>
        </row>
        <row r="707">
          <cell r="A707" t="str">
            <v>53057115W</v>
          </cell>
          <cell r="B707" t="str">
            <v>Mimon Rahal</v>
          </cell>
          <cell r="C707" t="str">
            <v>Ilham</v>
          </cell>
          <cell r="D707" t="str">
            <v>Mimon Rahal, Ilham</v>
          </cell>
          <cell r="E707" t="str">
            <v>ilham.mimon</v>
          </cell>
          <cell r="F707" t="str">
            <v>ilham.mimon@professional.universidadviu.com</v>
          </cell>
          <cell r="G707" t="str">
            <v>NO</v>
          </cell>
          <cell r="H707" t="str">
            <v>NO</v>
          </cell>
          <cell r="I707" t="str">
            <v>Enfermería</v>
          </cell>
          <cell r="J707" t="str">
            <v>Master universitario en Bioética</v>
          </cell>
          <cell r="K707" t="str">
            <v>Enfermera especialista en enfermería pediátrica</v>
          </cell>
          <cell r="L707" t="str">
            <v>Diplomado/a en Enfermeria</v>
          </cell>
          <cell r="M707" t="str">
            <v>Professional</v>
          </cell>
          <cell r="N707" t="str">
            <v/>
          </cell>
          <cell r="O707" t="str">
            <v>CBS</v>
          </cell>
          <cell r="P707">
            <v>0</v>
          </cell>
          <cell r="Q707" t="str">
            <v xml:space="preserve"> </v>
          </cell>
          <cell r="R707"/>
          <cell r="S707"/>
          <cell r="T707" t="str">
            <v>Sin reducción</v>
          </cell>
          <cell r="U707">
            <v>0</v>
          </cell>
          <cell r="V707"/>
          <cell r="W707"/>
          <cell r="X707">
            <v>0</v>
          </cell>
          <cell r="Y707">
            <v>0</v>
          </cell>
          <cell r="Z707">
            <v>0</v>
          </cell>
          <cell r="AA707"/>
          <cell r="AB707" t="str">
            <v>Active - signed</v>
          </cell>
          <cell r="AC707" t="str">
            <v>ACTIVO</v>
          </cell>
          <cell r="AD707"/>
          <cell r="AE707"/>
          <cell r="AF707"/>
          <cell r="AG707"/>
          <cell r="AH707"/>
          <cell r="AI707" t="str">
            <v>53057115W</v>
          </cell>
        </row>
        <row r="708">
          <cell r="A708" t="str">
            <v>73561440B</v>
          </cell>
          <cell r="B708" t="str">
            <v>Miravalls Torres</v>
          </cell>
          <cell r="C708" t="str">
            <v>Raquel</v>
          </cell>
          <cell r="D708" t="str">
            <v>Miravalls Torres, Raquel</v>
          </cell>
          <cell r="E708" t="str">
            <v>rmiravallst@professional.universidadviu.com</v>
          </cell>
          <cell r="F708" t="str">
            <v>rmiravallst@professional.universidadviu.com</v>
          </cell>
          <cell r="G708" t="str">
            <v>Yes</v>
          </cell>
          <cell r="H708" t="str">
            <v>NO</v>
          </cell>
          <cell r="I708" t="str">
            <v>Doctorado en Ciencas de la Salud</v>
          </cell>
          <cell r="J708" t="str">
            <v>DIPLOMADO EN FISIOTERAPIA</v>
          </cell>
          <cell r="K708" t="str">
            <v>DIPLOMADA ENFERMERIA</v>
          </cell>
          <cell r="L708" t="str">
            <v/>
          </cell>
          <cell r="M708" t="str">
            <v>Professional</v>
          </cell>
          <cell r="N708" t="str">
            <v/>
          </cell>
          <cell r="O708" t="str">
            <v>CBS</v>
          </cell>
          <cell r="P708">
            <v>0</v>
          </cell>
          <cell r="Q708" t="str">
            <v xml:space="preserve"> </v>
          </cell>
          <cell r="R708"/>
          <cell r="S708"/>
          <cell r="T708" t="str">
            <v>Sin reducción</v>
          </cell>
          <cell r="U708">
            <v>0</v>
          </cell>
          <cell r="V708"/>
          <cell r="W708"/>
          <cell r="X708">
            <v>0</v>
          </cell>
          <cell r="Y708">
            <v>0</v>
          </cell>
          <cell r="Z708">
            <v>0</v>
          </cell>
          <cell r="AA708"/>
          <cell r="AB708" t="str">
            <v>Active - signed</v>
          </cell>
          <cell r="AC708" t="str">
            <v>ACTIVO</v>
          </cell>
          <cell r="AD708"/>
          <cell r="AE708"/>
          <cell r="AF708"/>
          <cell r="AG708"/>
          <cell r="AH708"/>
          <cell r="AI708" t="str">
            <v>73561440B</v>
          </cell>
        </row>
        <row r="709">
          <cell r="A709" t="str">
            <v>22541105R</v>
          </cell>
          <cell r="B709" t="str">
            <v>Mitjans Lafont</v>
          </cell>
          <cell r="C709" t="str">
            <v>María Teresa</v>
          </cell>
          <cell r="D709" t="str">
            <v>Mitjans Lafont, María Teresa</v>
          </cell>
          <cell r="E709" t="str">
            <v>mariateresa.mitjans</v>
          </cell>
          <cell r="F709" t="str">
            <v>mariateresa.mitjans@professor.universidadviu.com</v>
          </cell>
          <cell r="G709" t="str">
            <v>Yes</v>
          </cell>
          <cell r="H709" t="str">
            <v>NO</v>
          </cell>
          <cell r="I709" t="str">
            <v>Programa de doctorado en Psicología de la Educación</v>
          </cell>
          <cell r="J709" t="str">
            <v>Programa de doctorado en Psicología de la Educación</v>
          </cell>
          <cell r="K709" t="str">
            <v>Licenciado en Psicología</v>
          </cell>
          <cell r="L709" t="str">
            <v/>
          </cell>
          <cell r="M709" t="str">
            <v>Labour</v>
          </cell>
          <cell r="N709" t="str">
            <v>Consultar a Facultad de Educación</v>
          </cell>
          <cell r="O709" t="str">
            <v>CSS</v>
          </cell>
          <cell r="P709" t="str">
            <v>50,00</v>
          </cell>
          <cell r="Q709" t="b">
            <v>0</v>
          </cell>
          <cell r="R709"/>
          <cell r="S709"/>
          <cell r="T709" t="str">
            <v>Sin reducción</v>
          </cell>
          <cell r="U709">
            <v>0</v>
          </cell>
          <cell r="V709">
            <v>8</v>
          </cell>
          <cell r="W709" t="str">
            <v>EDUCACIÓN</v>
          </cell>
          <cell r="X709">
            <v>0</v>
          </cell>
          <cell r="Y709">
            <v>0</v>
          </cell>
          <cell r="Z709">
            <v>0</v>
          </cell>
          <cell r="AA709"/>
          <cell r="AB709" t="str">
            <v>Concluded</v>
          </cell>
          <cell r="AC709" t="str">
            <v>BAJA TEMPORAL</v>
          </cell>
          <cell r="AD709">
            <v>45201</v>
          </cell>
          <cell r="AE709">
            <v>46295</v>
          </cell>
          <cell r="AF709"/>
          <cell r="AG709" t="str">
            <v>EXCEDENCIA</v>
          </cell>
          <cell r="AH709"/>
          <cell r="AI709" t="str">
            <v>22541105R</v>
          </cell>
        </row>
        <row r="710">
          <cell r="A710" t="str">
            <v>49397458J</v>
          </cell>
          <cell r="B710" t="str">
            <v>Mojarro Corrales</v>
          </cell>
          <cell r="C710" t="str">
            <v>María de la Barca</v>
          </cell>
          <cell r="D710" t="str">
            <v>Mojarro Corrales, María de la Barca</v>
          </cell>
          <cell r="E710" t="str">
            <v>mmojarroc@professional.universidadviu.com</v>
          </cell>
          <cell r="F710" t="str">
            <v>mmojarroc@professional.universidadviu.com</v>
          </cell>
          <cell r="G710" t="str">
            <v>NO</v>
          </cell>
          <cell r="H710" t="str">
            <v>NO</v>
          </cell>
          <cell r="I710" t="str">
            <v>Grado en Psicología</v>
          </cell>
          <cell r="J710" t="str">
            <v>Máster en Psicología General Sanitaria</v>
          </cell>
          <cell r="K710" t="str">
            <v/>
          </cell>
          <cell r="L710" t="str">
            <v/>
          </cell>
          <cell r="M710" t="str">
            <v>Labour</v>
          </cell>
          <cell r="N710" t="str">
            <v/>
          </cell>
          <cell r="O710" t="str">
            <v>CSS</v>
          </cell>
          <cell r="P710">
            <v>30</v>
          </cell>
          <cell r="Q710" t="str">
            <v>24</v>
          </cell>
          <cell r="R710" t="str">
            <v>Laboralización marzo</v>
          </cell>
          <cell r="S710"/>
          <cell r="T710" t="str">
            <v>Sin reducción</v>
          </cell>
          <cell r="U710">
            <v>0</v>
          </cell>
          <cell r="V710"/>
          <cell r="W710"/>
          <cell r="X710">
            <v>26.1</v>
          </cell>
          <cell r="Y710">
            <v>0</v>
          </cell>
          <cell r="Z710">
            <v>0</v>
          </cell>
          <cell r="AA710"/>
          <cell r="AB710" t="str">
            <v>Active - signed</v>
          </cell>
          <cell r="AC710" t="str">
            <v>ACTIVO</v>
          </cell>
          <cell r="AD710"/>
          <cell r="AE710"/>
          <cell r="AF710"/>
          <cell r="AG710"/>
          <cell r="AH710" t="str">
            <v>PTE. LABORALIZACIÓN/ PROPUESTA LABORAL</v>
          </cell>
          <cell r="AI710" t="str">
            <v>49397458J</v>
          </cell>
        </row>
        <row r="711">
          <cell r="A711" t="str">
            <v>06339169R</v>
          </cell>
          <cell r="B711" t="str">
            <v>Moldovan Moldovan</v>
          </cell>
          <cell r="C711" t="str">
            <v>Roxana Andreea</v>
          </cell>
          <cell r="D711" t="str">
            <v>Moldovan Moldovan, Roxana Andreea</v>
          </cell>
          <cell r="E711" t="str">
            <v>rmoldovanm@professional.universidadviu.com</v>
          </cell>
          <cell r="F711" t="str">
            <v>rmoldovanm@professional.universidadviu.com</v>
          </cell>
          <cell r="G711" t="str">
            <v>NO</v>
          </cell>
          <cell r="H711" t="str">
            <v>NO</v>
          </cell>
          <cell r="I711" t="str">
            <v>Máster en Bioinformática</v>
          </cell>
          <cell r="J711" t="str">
            <v>Grado en Bioquímica</v>
          </cell>
          <cell r="K711" t="str">
            <v/>
          </cell>
          <cell r="L711" t="str">
            <v/>
          </cell>
          <cell r="M711" t="str">
            <v>Professional</v>
          </cell>
          <cell r="N711"/>
          <cell r="O711" t="str">
            <v>CBS</v>
          </cell>
          <cell r="P711">
            <v>0</v>
          </cell>
          <cell r="Q711" t="str">
            <v xml:space="preserve"> </v>
          </cell>
          <cell r="R711"/>
          <cell r="S711"/>
          <cell r="T711" t="str">
            <v>Sin reducción</v>
          </cell>
          <cell r="U711">
            <v>0</v>
          </cell>
          <cell r="V711"/>
          <cell r="W711"/>
          <cell r="X711">
            <v>0</v>
          </cell>
          <cell r="Y711">
            <v>0</v>
          </cell>
          <cell r="Z711">
            <v>0</v>
          </cell>
          <cell r="AA711"/>
          <cell r="AB711" t="str">
            <v>Active - signed</v>
          </cell>
          <cell r="AC711" t="str">
            <v>ACTIVO</v>
          </cell>
          <cell r="AD711"/>
          <cell r="AE711"/>
          <cell r="AF711"/>
          <cell r="AG711"/>
          <cell r="AH711"/>
          <cell r="AI711" t="str">
            <v>06339169R</v>
          </cell>
        </row>
        <row r="712">
          <cell r="A712" t="str">
            <v>29172892Z</v>
          </cell>
          <cell r="B712" t="str">
            <v>Molero Zafra</v>
          </cell>
          <cell r="C712" t="str">
            <v>Milagros</v>
          </cell>
          <cell r="D712" t="str">
            <v>Molero Zafra, Milagros</v>
          </cell>
          <cell r="E712" t="str">
            <v>milagros.molero</v>
          </cell>
          <cell r="F712" t="str">
            <v>milagros.molero@professor.universidadviu.com</v>
          </cell>
          <cell r="G712" t="str">
            <v>NO</v>
          </cell>
          <cell r="H712" t="str">
            <v>NO</v>
          </cell>
          <cell r="I712" t="str">
            <v>Licenciado en Psicología</v>
          </cell>
          <cell r="J712" t="str">
            <v/>
          </cell>
          <cell r="K712" t="str">
            <v/>
          </cell>
          <cell r="L712" t="str">
            <v/>
          </cell>
          <cell r="M712" t="str">
            <v>Labour</v>
          </cell>
          <cell r="N712"/>
          <cell r="O712" t="str">
            <v>CSS</v>
          </cell>
          <cell r="P712" t="str">
            <v>30,00</v>
          </cell>
          <cell r="Q712" t="b">
            <v>0</v>
          </cell>
          <cell r="R712"/>
          <cell r="S712"/>
          <cell r="T712" t="str">
            <v>Sin reducción</v>
          </cell>
          <cell r="U712">
            <v>0</v>
          </cell>
          <cell r="V712"/>
          <cell r="W712"/>
          <cell r="X712">
            <v>0</v>
          </cell>
          <cell r="Y712">
            <v>0</v>
          </cell>
          <cell r="Z712">
            <v>0</v>
          </cell>
          <cell r="AA712"/>
          <cell r="AB712" t="str">
            <v>Concluded</v>
          </cell>
          <cell r="AC712" t="str">
            <v>NO ACTIVO</v>
          </cell>
          <cell r="AD712"/>
          <cell r="AE712"/>
          <cell r="AF712">
            <v>45199</v>
          </cell>
          <cell r="AG712" t="str">
            <v>CESE DE CONTRATO</v>
          </cell>
          <cell r="AH712"/>
          <cell r="AI712" t="str">
            <v>29172892Z</v>
          </cell>
        </row>
        <row r="713">
          <cell r="A713" t="str">
            <v>53382057T</v>
          </cell>
          <cell r="B713" t="str">
            <v>Molés Amposta</v>
          </cell>
          <cell r="C713" t="str">
            <v>Maria del Mar</v>
          </cell>
          <cell r="D713" t="str">
            <v>Molés Amposta, Maria del Mar</v>
          </cell>
          <cell r="E713" t="str">
            <v>mariadelmar.moles</v>
          </cell>
          <cell r="F713" t="str">
            <v>mariadelmar.moles@professor.universidadviu.com</v>
          </cell>
          <cell r="G713" t="str">
            <v>Yes</v>
          </cell>
          <cell r="H713" t="str">
            <v>Yes</v>
          </cell>
          <cell r="I713" t="str">
            <v>Doctorado en Psicopatología, Salud y Neuropsicología</v>
          </cell>
          <cell r="J713" t="str">
            <v>Doctorado en Psicopatología, Salud y Neuropsicología</v>
          </cell>
          <cell r="K713" t="str">
            <v>Licenciado en Psicología</v>
          </cell>
          <cell r="L713" t="str">
            <v/>
          </cell>
          <cell r="M713" t="str">
            <v>Labour</v>
          </cell>
          <cell r="N713"/>
          <cell r="O713" t="str">
            <v>CSS</v>
          </cell>
          <cell r="P713">
            <v>100</v>
          </cell>
          <cell r="Q713" t="str">
            <v>50</v>
          </cell>
          <cell r="R713"/>
          <cell r="S713"/>
          <cell r="T713" t="str">
            <v>Subdirector/Coordinador de Máster</v>
          </cell>
          <cell r="U713">
            <v>32</v>
          </cell>
          <cell r="V713"/>
          <cell r="W713"/>
          <cell r="X713">
            <v>0</v>
          </cell>
          <cell r="Y713">
            <v>0</v>
          </cell>
          <cell r="Z713">
            <v>0</v>
          </cell>
          <cell r="AA713"/>
          <cell r="AB713" t="str">
            <v>Concluded</v>
          </cell>
          <cell r="AC713" t="str">
            <v>NO ACTIVO</v>
          </cell>
          <cell r="AD713"/>
          <cell r="AE713"/>
          <cell r="AF713">
            <v>45390</v>
          </cell>
          <cell r="AG713" t="str">
            <v>CESE DE CONTRATO</v>
          </cell>
          <cell r="AH713"/>
          <cell r="AI713" t="str">
            <v>53382057T</v>
          </cell>
        </row>
        <row r="714">
          <cell r="A714" t="str">
            <v>15472631W</v>
          </cell>
          <cell r="B714" t="str">
            <v>Moles López</v>
          </cell>
          <cell r="C714" t="str">
            <v>Elisabet</v>
          </cell>
          <cell r="D714" t="str">
            <v>Moles López, Elisabet</v>
          </cell>
          <cell r="E714" t="str">
            <v>elisabet.moles</v>
          </cell>
          <cell r="F714" t="str">
            <v>elisabet.moles@professional.universidadviu.com</v>
          </cell>
          <cell r="G714" t="str">
            <v>Yes</v>
          </cell>
          <cell r="H714" t="str">
            <v>NO</v>
          </cell>
          <cell r="I714" t="str">
            <v>Doctorado en Ciencias de la Educación</v>
          </cell>
          <cell r="J714" t="str">
            <v>Graduada en sociologia</v>
          </cell>
          <cell r="K714" t="str">
            <v/>
          </cell>
          <cell r="L714" t="str">
            <v/>
          </cell>
          <cell r="M714" t="str">
            <v>Professional</v>
          </cell>
          <cell r="N714" t="str">
            <v/>
          </cell>
          <cell r="O714" t="str">
            <v>CSS</v>
          </cell>
          <cell r="P714">
            <v>0</v>
          </cell>
          <cell r="Q714" t="str">
            <v xml:space="preserve"> </v>
          </cell>
          <cell r="R714"/>
          <cell r="S714"/>
          <cell r="T714" t="str">
            <v>Sin reducción</v>
          </cell>
          <cell r="U714">
            <v>0</v>
          </cell>
          <cell r="V714"/>
          <cell r="W714"/>
          <cell r="X714">
            <v>0</v>
          </cell>
          <cell r="Y714">
            <v>0</v>
          </cell>
          <cell r="Z714">
            <v>0</v>
          </cell>
          <cell r="AA714"/>
          <cell r="AB714" t="str">
            <v>Active - signed</v>
          </cell>
          <cell r="AC714" t="str">
            <v>ACTIVO</v>
          </cell>
          <cell r="AD714"/>
          <cell r="AE714"/>
          <cell r="AF714"/>
          <cell r="AG714"/>
          <cell r="AH714"/>
          <cell r="AI714" t="str">
            <v>15472631W</v>
          </cell>
        </row>
        <row r="715">
          <cell r="A715" t="str">
            <v>80152431F</v>
          </cell>
          <cell r="B715" t="str">
            <v>Molina Fernández</v>
          </cell>
          <cell r="C715" t="str">
            <v>Elvira</v>
          </cell>
          <cell r="D715" t="str">
            <v>Molina Fernández, Elvira</v>
          </cell>
          <cell r="E715" t="str">
            <v>elvira.molina</v>
          </cell>
          <cell r="F715" t="str">
            <v>elvira.molina@professional.universidadviu.com</v>
          </cell>
          <cell r="G715" t="str">
            <v>Yes</v>
          </cell>
          <cell r="H715" t="str">
            <v>Yes</v>
          </cell>
          <cell r="I715" t="str">
            <v>Licenciada en psicopedagogia</v>
          </cell>
          <cell r="J715" t="str">
            <v>Master universitario en gestión democrática e innovación educativa</v>
          </cell>
          <cell r="K715" t="str">
            <v>Doctorado en Curriculum profesorado e instituciones educativas</v>
          </cell>
          <cell r="L715" t="str">
            <v/>
          </cell>
          <cell r="M715" t="str">
            <v>Professional</v>
          </cell>
          <cell r="N715" t="str">
            <v/>
          </cell>
          <cell r="O715" t="str">
            <v>CSS</v>
          </cell>
          <cell r="P715">
            <v>0</v>
          </cell>
          <cell r="Q715" t="str">
            <v xml:space="preserve"> </v>
          </cell>
          <cell r="R715"/>
          <cell r="S715"/>
          <cell r="T715" t="str">
            <v>Sin reducción</v>
          </cell>
          <cell r="U715">
            <v>0</v>
          </cell>
          <cell r="V715"/>
          <cell r="W715"/>
          <cell r="X715">
            <v>0</v>
          </cell>
          <cell r="Y715">
            <v>0</v>
          </cell>
          <cell r="Z715">
            <v>0</v>
          </cell>
          <cell r="AA715"/>
          <cell r="AB715" t="str">
            <v>Active - signed</v>
          </cell>
          <cell r="AC715" t="str">
            <v>ACTIVO</v>
          </cell>
          <cell r="AD715"/>
          <cell r="AE715"/>
          <cell r="AF715"/>
          <cell r="AG715"/>
          <cell r="AH715"/>
          <cell r="AI715" t="str">
            <v>80152431F</v>
          </cell>
        </row>
        <row r="716">
          <cell r="A716" t="str">
            <v>45747152Z</v>
          </cell>
          <cell r="B716" t="str">
            <v>Molina Luque</v>
          </cell>
          <cell r="C716" t="str">
            <v>Rafael</v>
          </cell>
          <cell r="D716" t="str">
            <v>Molina Luque, Rafael</v>
          </cell>
          <cell r="E716" t="str">
            <v>rafael.molina</v>
          </cell>
          <cell r="F716" t="str">
            <v>rafael.molina@professional.universidadviu.com</v>
          </cell>
          <cell r="G716" t="str">
            <v>Yes</v>
          </cell>
          <cell r="H716" t="str">
            <v>Yes</v>
          </cell>
          <cell r="I716" t="str">
            <v>Enfermería</v>
          </cell>
          <cell r="J716" t="str">
            <v>Programa de Doctorado en Biociencias y Ciencias Agroalimentarias</v>
          </cell>
          <cell r="K716" t="str">
            <v/>
          </cell>
          <cell r="L716" t="str">
            <v/>
          </cell>
          <cell r="M716" t="str">
            <v>Professional</v>
          </cell>
          <cell r="N716" t="str">
            <v/>
          </cell>
          <cell r="O716" t="str">
            <v>CBS</v>
          </cell>
          <cell r="P716">
            <v>0</v>
          </cell>
          <cell r="Q716" t="str">
            <v xml:space="preserve"> </v>
          </cell>
          <cell r="R716"/>
          <cell r="S716"/>
          <cell r="T716" t="str">
            <v>Sin reducción</v>
          </cell>
          <cell r="U716">
            <v>0</v>
          </cell>
          <cell r="V716"/>
          <cell r="W716"/>
          <cell r="X716">
            <v>0</v>
          </cell>
          <cell r="Y716">
            <v>0</v>
          </cell>
          <cell r="Z716">
            <v>0</v>
          </cell>
          <cell r="AA716"/>
          <cell r="AB716" t="str">
            <v>Concluded</v>
          </cell>
          <cell r="AC716" t="str">
            <v>NO ACTIVO</v>
          </cell>
          <cell r="AD716"/>
          <cell r="AE716"/>
          <cell r="AF716">
            <v>45334</v>
          </cell>
          <cell r="AG716" t="str">
            <v>CESE DE CONTRATO</v>
          </cell>
          <cell r="AH716"/>
          <cell r="AI716" t="str">
            <v>45747152Z</v>
          </cell>
        </row>
        <row r="717">
          <cell r="A717" t="str">
            <v>23267787K</v>
          </cell>
          <cell r="B717" t="str">
            <v>Molina Mula</v>
          </cell>
          <cell r="C717" t="str">
            <v>Jesús</v>
          </cell>
          <cell r="D717" t="str">
            <v>Molina Mula, Jesús</v>
          </cell>
          <cell r="E717" t="str">
            <v>jesus.molina.m</v>
          </cell>
          <cell r="F717" t="str">
            <v>jesus.molina.m@professional.universidadviu.com</v>
          </cell>
          <cell r="G717" t="str">
            <v>Yes</v>
          </cell>
          <cell r="H717" t="str">
            <v>Yes</v>
          </cell>
          <cell r="I717" t="str">
            <v>Enfermería</v>
          </cell>
          <cell r="J717" t="str">
            <v>Programa Oficial de Doctorado en Ciencias Biosociosanitarias</v>
          </cell>
          <cell r="K717" t="str">
            <v>Máster en metodología de investigación en ciencias de la salud</v>
          </cell>
          <cell r="L717" t="str">
            <v>Licenciado en ciencias de la documentación</v>
          </cell>
          <cell r="M717" t="str">
            <v>Professional</v>
          </cell>
          <cell r="N717" t="str">
            <v/>
          </cell>
          <cell r="O717" t="str">
            <v>CBS</v>
          </cell>
          <cell r="P717">
            <v>0</v>
          </cell>
          <cell r="Q717" t="str">
            <v xml:space="preserve"> </v>
          </cell>
          <cell r="R717"/>
          <cell r="S717"/>
          <cell r="T717" t="str">
            <v>Sin reducción</v>
          </cell>
          <cell r="U717">
            <v>0</v>
          </cell>
          <cell r="V717"/>
          <cell r="W717"/>
          <cell r="X717">
            <v>0</v>
          </cell>
          <cell r="Y717">
            <v>0</v>
          </cell>
          <cell r="Z717">
            <v>0</v>
          </cell>
          <cell r="AA717"/>
          <cell r="AB717" t="str">
            <v>Active - signed</v>
          </cell>
          <cell r="AC717" t="str">
            <v>ACTIVO</v>
          </cell>
          <cell r="AD717"/>
          <cell r="AE717"/>
          <cell r="AF717"/>
          <cell r="AG717"/>
          <cell r="AH717"/>
          <cell r="AI717" t="str">
            <v>23267787K</v>
          </cell>
        </row>
        <row r="718">
          <cell r="A718" t="str">
            <v>13310584R</v>
          </cell>
          <cell r="B718" t="str">
            <v>Molinari Conde</v>
          </cell>
          <cell r="C718" t="str">
            <v>Guadalupe</v>
          </cell>
          <cell r="D718" t="str">
            <v>Molinari Conde, Guadalupe</v>
          </cell>
          <cell r="E718" t="e">
            <v>#VALUE!</v>
          </cell>
          <cell r="F718" t="str">
            <v>guadalupe.molinari@professor.universidadviu.com</v>
          </cell>
          <cell r="G718" t="e">
            <v>#VALUE!</v>
          </cell>
          <cell r="H718" t="e">
            <v>#VALUE!</v>
          </cell>
          <cell r="I718" t="str">
            <v>Doctorado</v>
          </cell>
          <cell r="J718" t="str">
            <v>Doctorado</v>
          </cell>
          <cell r="K718" t="str">
            <v>Licenciado en Psicología</v>
          </cell>
          <cell r="L718" t="str">
            <v/>
          </cell>
          <cell r="M718" t="e">
            <v>#VALUE!</v>
          </cell>
          <cell r="N718" t="str">
            <v>Rama Galdón, Encarnación</v>
          </cell>
          <cell r="O718" t="str">
            <v>CSS</v>
          </cell>
          <cell r="P718" t="str">
            <v xml:space="preserve"> </v>
          </cell>
          <cell r="Q718" t="b">
            <v>0</v>
          </cell>
          <cell r="R718"/>
          <cell r="S718" t="str">
            <v>2014-2019</v>
          </cell>
          <cell r="T718" t="str">
            <v>Sin reducción</v>
          </cell>
          <cell r="U718"/>
          <cell r="V718"/>
          <cell r="W718"/>
          <cell r="X718">
            <v>0</v>
          </cell>
          <cell r="Y718">
            <v>0</v>
          </cell>
          <cell r="Z718">
            <v>0</v>
          </cell>
          <cell r="AA718"/>
          <cell r="AB718" t="e">
            <v>#VALUE!</v>
          </cell>
          <cell r="AC718" t="str">
            <v>BAJA TEMPORAL</v>
          </cell>
          <cell r="AD718">
            <v>45565</v>
          </cell>
          <cell r="AE718">
            <v>47392</v>
          </cell>
          <cell r="AF718"/>
          <cell r="AG718" t="str">
            <v>EXCEDENCIA</v>
          </cell>
          <cell r="AH718"/>
          <cell r="AI718" t="str">
            <v>13310584R</v>
          </cell>
        </row>
        <row r="719">
          <cell r="A719" t="str">
            <v>03150415J</v>
          </cell>
          <cell r="B719" t="str">
            <v>Molins Correa</v>
          </cell>
          <cell r="C719" t="str">
            <v>Francisco José</v>
          </cell>
          <cell r="D719" t="str">
            <v>Molins Correa, Francisco José</v>
          </cell>
          <cell r="E719" t="str">
            <v>fmolinsc@professor.universidadviu.com</v>
          </cell>
          <cell r="F719" t="str">
            <v>fmolinsc@professor.universidadviu.com</v>
          </cell>
          <cell r="G719" t="str">
            <v>Yes</v>
          </cell>
          <cell r="H719" t="str">
            <v>NO</v>
          </cell>
          <cell r="I719" t="str">
            <v>Programa de doctorado en Neurociencias</v>
          </cell>
          <cell r="J719" t="str">
            <v>Programa de doctorado en Neurociencias</v>
          </cell>
          <cell r="K719" t="str">
            <v>Máster Universitario en Neurociencias Básicas y Aplicadas</v>
          </cell>
          <cell r="L719" t="str">
            <v>Grado en Psicología</v>
          </cell>
          <cell r="M719" t="str">
            <v>Labour</v>
          </cell>
          <cell r="N719" t="str">
            <v>Aliño Costa, Marta</v>
          </cell>
          <cell r="O719" t="str">
            <v>CSS</v>
          </cell>
          <cell r="P719">
            <v>100</v>
          </cell>
          <cell r="Q719" t="str">
            <v>50</v>
          </cell>
          <cell r="R719"/>
          <cell r="S719"/>
          <cell r="T719" t="str">
            <v>Sin reducción</v>
          </cell>
          <cell r="U719">
            <v>0</v>
          </cell>
          <cell r="V719"/>
          <cell r="W719"/>
          <cell r="X719">
            <v>0</v>
          </cell>
          <cell r="Y719">
            <v>0</v>
          </cell>
          <cell r="Z719">
            <v>0</v>
          </cell>
          <cell r="AA719"/>
          <cell r="AB719" t="str">
            <v>Concluded</v>
          </cell>
          <cell r="AC719" t="str">
            <v>NO ACTIVO</v>
          </cell>
          <cell r="AD719"/>
          <cell r="AE719"/>
          <cell r="AF719">
            <v>45901</v>
          </cell>
          <cell r="AG719" t="str">
            <v>CESE DE CONTRATO</v>
          </cell>
          <cell r="AH719"/>
          <cell r="AI719" t="str">
            <v>03150415J</v>
          </cell>
        </row>
        <row r="720">
          <cell r="A720" t="str">
            <v>20237099C</v>
          </cell>
          <cell r="B720" t="str">
            <v>Moll Vinuesa</v>
          </cell>
          <cell r="C720" t="str">
            <v>Adrián</v>
          </cell>
          <cell r="D720" t="str">
            <v>Moll Vinuesa, Adrián</v>
          </cell>
          <cell r="E720" t="str">
            <v>amollv@professional.universidadviu.com</v>
          </cell>
          <cell r="F720" t="str">
            <v>amollv@professional.universidadviu.com</v>
          </cell>
          <cell r="G720" t="str">
            <v>Yes</v>
          </cell>
          <cell r="H720" t="str">
            <v>NO</v>
          </cell>
          <cell r="I720" t="str">
            <v>Máster en Metodología de las Ciencias del Comportamiento y de la Salud</v>
          </cell>
          <cell r="J720" t="str">
            <v>Doctorado en Psicología</v>
          </cell>
          <cell r="K720" t="str">
            <v>Grado en Psicología</v>
          </cell>
          <cell r="L720" t="str">
            <v/>
          </cell>
          <cell r="M720" t="str">
            <v>Professional</v>
          </cell>
          <cell r="N720" t="str">
            <v/>
          </cell>
          <cell r="O720" t="str">
            <v>CSS</v>
          </cell>
          <cell r="P720">
            <v>0</v>
          </cell>
          <cell r="Q720" t="str">
            <v xml:space="preserve"> </v>
          </cell>
          <cell r="R720"/>
          <cell r="S720"/>
          <cell r="T720" t="str">
            <v>Sin reducción</v>
          </cell>
          <cell r="U720">
            <v>0</v>
          </cell>
          <cell r="V720"/>
          <cell r="W720"/>
          <cell r="X720">
            <v>0</v>
          </cell>
          <cell r="Y720">
            <v>0</v>
          </cell>
          <cell r="Z720">
            <v>0</v>
          </cell>
          <cell r="AA720"/>
          <cell r="AB720" t="str">
            <v>Active - signed</v>
          </cell>
          <cell r="AC720" t="str">
            <v>ACTIVO</v>
          </cell>
          <cell r="AD720"/>
          <cell r="AE720"/>
          <cell r="AF720"/>
          <cell r="AG720"/>
          <cell r="AH720"/>
          <cell r="AI720" t="str">
            <v>20237099C</v>
          </cell>
        </row>
        <row r="721">
          <cell r="A721" t="str">
            <v>51136468Q</v>
          </cell>
          <cell r="B721" t="str">
            <v>Momblona Robres</v>
          </cell>
          <cell r="C721" t="str">
            <v>Lucía</v>
          </cell>
          <cell r="D721" t="str">
            <v>Momblona Robres, Lucía</v>
          </cell>
          <cell r="E721" t="str">
            <v>lucia.momblona@professional.universidadviu.com</v>
          </cell>
          <cell r="F721" t="str">
            <v>lucia.momblona@professional.universidadviu.com</v>
          </cell>
          <cell r="G721" t="str">
            <v>NO</v>
          </cell>
          <cell r="H721" t="str">
            <v>NO</v>
          </cell>
          <cell r="I721" t="str">
            <v>Enfermería</v>
          </cell>
          <cell r="J721" t="str">
            <v>Grado en Psicología</v>
          </cell>
          <cell r="K721" t="str">
            <v>Graduado/a en Enfermeria</v>
          </cell>
          <cell r="L721" t="str">
            <v/>
          </cell>
          <cell r="M721" t="str">
            <v>Professional</v>
          </cell>
          <cell r="N721" t="str">
            <v/>
          </cell>
          <cell r="O721" t="str">
            <v>CBS</v>
          </cell>
          <cell r="P721">
            <v>0</v>
          </cell>
          <cell r="Q721" t="str">
            <v xml:space="preserve"> </v>
          </cell>
          <cell r="R721"/>
          <cell r="S721"/>
          <cell r="T721" t="str">
            <v>Sin reducción</v>
          </cell>
          <cell r="U721">
            <v>0</v>
          </cell>
          <cell r="V721"/>
          <cell r="W721"/>
          <cell r="X721">
            <v>0</v>
          </cell>
          <cell r="Y721">
            <v>0</v>
          </cell>
          <cell r="Z721">
            <v>0</v>
          </cell>
          <cell r="AA721"/>
          <cell r="AB721" t="str">
            <v>Active - signed</v>
          </cell>
          <cell r="AC721" t="str">
            <v>ACTIVO</v>
          </cell>
          <cell r="AD721"/>
          <cell r="AE721"/>
          <cell r="AF721"/>
          <cell r="AG721"/>
          <cell r="AH721"/>
          <cell r="AI721" t="str">
            <v>51136468Q</v>
          </cell>
        </row>
        <row r="722">
          <cell r="A722" t="str">
            <v>49354970Y</v>
          </cell>
          <cell r="B722" t="str">
            <v>Mónaco Gerónimo</v>
          </cell>
          <cell r="C722" t="str">
            <v>Estefanía</v>
          </cell>
          <cell r="D722" t="str">
            <v>Mónaco Gerónimo, Estefanía</v>
          </cell>
          <cell r="E722" t="str">
            <v>emonacog@professional.universidadviu.com</v>
          </cell>
          <cell r="F722" t="str">
            <v>emonacog@professional.universidadviu.com</v>
          </cell>
          <cell r="G722" t="str">
            <v>Yes</v>
          </cell>
          <cell r="H722" t="str">
            <v>Yes</v>
          </cell>
          <cell r="I722" t="str">
            <v>Doctorado Investigación en Psicología</v>
          </cell>
          <cell r="J722" t="str">
            <v>Máster General Sanitario</v>
          </cell>
          <cell r="K722" t="str">
            <v>Grado en Psicología</v>
          </cell>
          <cell r="L722" t="str">
            <v/>
          </cell>
          <cell r="M722" t="str">
            <v>Professional</v>
          </cell>
          <cell r="N722" t="str">
            <v/>
          </cell>
          <cell r="O722" t="str">
            <v>CSS</v>
          </cell>
          <cell r="P722">
            <v>0</v>
          </cell>
          <cell r="Q722" t="str">
            <v xml:space="preserve"> </v>
          </cell>
          <cell r="R722"/>
          <cell r="S722"/>
          <cell r="T722" t="str">
            <v>Sin reducción</v>
          </cell>
          <cell r="U722">
            <v>0</v>
          </cell>
          <cell r="V722"/>
          <cell r="W722"/>
          <cell r="X722">
            <v>0</v>
          </cell>
          <cell r="Y722">
            <v>0</v>
          </cell>
          <cell r="Z722">
            <v>0</v>
          </cell>
          <cell r="AA722"/>
          <cell r="AB722" t="str">
            <v>Active - signed</v>
          </cell>
          <cell r="AC722" t="str">
            <v>ACTIVO</v>
          </cell>
          <cell r="AD722"/>
          <cell r="AE722"/>
          <cell r="AF722"/>
          <cell r="AG722"/>
          <cell r="AH722"/>
          <cell r="AI722" t="str">
            <v>49354970Y</v>
          </cell>
        </row>
        <row r="723">
          <cell r="A723" t="str">
            <v>53219210Q</v>
          </cell>
          <cell r="B723" t="str">
            <v>Monfort Torres</v>
          </cell>
          <cell r="C723" t="str">
            <v>Gonzalo</v>
          </cell>
          <cell r="D723" t="str">
            <v>Monfort Torres, Gonzalo</v>
          </cell>
          <cell r="E723" t="str">
            <v>gonzalo.monfort</v>
          </cell>
          <cell r="F723" t="str">
            <v>gonzalo.monfort@professional.universidadviu.com</v>
          </cell>
          <cell r="G723" t="str">
            <v>Yes</v>
          </cell>
          <cell r="H723" t="str">
            <v>Yes</v>
          </cell>
          <cell r="I723" t="str">
            <v>Programa de Doctorado en Actividad Física y Deporte</v>
          </cell>
          <cell r="J723" t="str">
            <v>Licenciado en Ciencias de la Actividad Física y del Deporte</v>
          </cell>
          <cell r="K723" t="str">
            <v>Máster Universitario en Profesor/a de Educación Secundaria</v>
          </cell>
          <cell r="L723" t="str">
            <v>Máster Universitario en Investigación e Intervención en Ciencias de la Actividad Física y el Deporte</v>
          </cell>
          <cell r="M723" t="str">
            <v>Professional</v>
          </cell>
          <cell r="N723" t="str">
            <v/>
          </cell>
          <cell r="O723" t="str">
            <v>CSS</v>
          </cell>
          <cell r="P723">
            <v>0</v>
          </cell>
          <cell r="Q723" t="str">
            <v xml:space="preserve"> </v>
          </cell>
          <cell r="R723"/>
          <cell r="S723"/>
          <cell r="T723" t="str">
            <v>Sin reducción</v>
          </cell>
          <cell r="U723">
            <v>0</v>
          </cell>
          <cell r="V723"/>
          <cell r="W723"/>
          <cell r="X723">
            <v>0</v>
          </cell>
          <cell r="Y723">
            <v>0</v>
          </cell>
          <cell r="Z723">
            <v>0</v>
          </cell>
          <cell r="AA723"/>
          <cell r="AB723" t="str">
            <v>Active - signed</v>
          </cell>
          <cell r="AC723" t="str">
            <v>ACTIVO</v>
          </cell>
          <cell r="AD723"/>
          <cell r="AE723"/>
          <cell r="AF723"/>
          <cell r="AG723"/>
          <cell r="AH723"/>
          <cell r="AI723" t="str">
            <v>53219210Q</v>
          </cell>
        </row>
        <row r="724">
          <cell r="A724" t="str">
            <v>29136460Z</v>
          </cell>
          <cell r="B724" t="str">
            <v>Monge Ochoa</v>
          </cell>
          <cell r="C724" t="str">
            <v>Belén</v>
          </cell>
          <cell r="D724" t="str">
            <v>Monge Ochoa, Belén</v>
          </cell>
          <cell r="E724" t="str">
            <v>belen.monge</v>
          </cell>
          <cell r="F724" t="str">
            <v>belen.monge@professional.universidadviu.com</v>
          </cell>
          <cell r="G724" t="str">
            <v>Yes</v>
          </cell>
          <cell r="H724" t="str">
            <v>NO</v>
          </cell>
          <cell r="I724" t="str">
            <v>Bioquímica</v>
          </cell>
          <cell r="J724" t="str">
            <v>Doctorado en Bioquímica y biología molecular</v>
          </cell>
          <cell r="K724" t="str">
            <v>Postgrado sobre la base teórica y procedimientos de laboratorio de reproducción asistida</v>
          </cell>
          <cell r="L724" t="str">
            <v>Licenciada en Bioquímica</v>
          </cell>
          <cell r="M724" t="str">
            <v>Professional</v>
          </cell>
          <cell r="N724" t="str">
            <v/>
          </cell>
          <cell r="O724" t="str">
            <v>CBS</v>
          </cell>
          <cell r="P724">
            <v>0</v>
          </cell>
          <cell r="Q724" t="str">
            <v xml:space="preserve"> </v>
          </cell>
          <cell r="R724"/>
          <cell r="S724"/>
          <cell r="T724" t="str">
            <v>Sin reducción</v>
          </cell>
          <cell r="U724">
            <v>0</v>
          </cell>
          <cell r="V724"/>
          <cell r="W724"/>
          <cell r="X724">
            <v>0</v>
          </cell>
          <cell r="Y724">
            <v>0</v>
          </cell>
          <cell r="Z724">
            <v>0</v>
          </cell>
          <cell r="AA724"/>
          <cell r="AB724" t="str">
            <v>Active - signed</v>
          </cell>
          <cell r="AC724" t="str">
            <v>ACTIVO</v>
          </cell>
          <cell r="AD724"/>
          <cell r="AE724"/>
          <cell r="AF724"/>
          <cell r="AG724"/>
          <cell r="AH724"/>
          <cell r="AI724" t="str">
            <v>29136460Z</v>
          </cell>
        </row>
        <row r="725">
          <cell r="A725" t="str">
            <v>17771329B</v>
          </cell>
          <cell r="B725" t="str">
            <v>Monreal Bartolomé</v>
          </cell>
          <cell r="C725" t="str">
            <v>Alicia</v>
          </cell>
          <cell r="D725" t="str">
            <v>Monreal Bartolomé, Alicia</v>
          </cell>
          <cell r="E725" t="str">
            <v>alicia.monreal</v>
          </cell>
          <cell r="F725" t="str">
            <v>alicia.monreal@professional.universidadviu.com</v>
          </cell>
          <cell r="G725" t="str">
            <v>Yes</v>
          </cell>
          <cell r="H725" t="str">
            <v>NO</v>
          </cell>
          <cell r="I725" t="str">
            <v>Doctorado en Medicina</v>
          </cell>
          <cell r="J725" t="str">
            <v>Máster Universitario en Neuropsicología</v>
          </cell>
          <cell r="K725" t="str">
            <v>Grado en Psicología</v>
          </cell>
          <cell r="L725" t="str">
            <v/>
          </cell>
          <cell r="M725" t="str">
            <v>Professional</v>
          </cell>
          <cell r="N725" t="str">
            <v/>
          </cell>
          <cell r="O725" t="str">
            <v>CSS</v>
          </cell>
          <cell r="P725">
            <v>0</v>
          </cell>
          <cell r="Q725" t="str">
            <v xml:space="preserve"> </v>
          </cell>
          <cell r="R725"/>
          <cell r="S725"/>
          <cell r="T725" t="str">
            <v>Sin reducción</v>
          </cell>
          <cell r="U725">
            <v>0</v>
          </cell>
          <cell r="V725"/>
          <cell r="W725"/>
          <cell r="X725">
            <v>0</v>
          </cell>
          <cell r="Y725">
            <v>0</v>
          </cell>
          <cell r="Z725">
            <v>0</v>
          </cell>
          <cell r="AA725"/>
          <cell r="AB725" t="str">
            <v>Active - signed</v>
          </cell>
          <cell r="AC725" t="str">
            <v>ACTIVO</v>
          </cell>
          <cell r="AD725"/>
          <cell r="AE725"/>
          <cell r="AF725"/>
          <cell r="AG725"/>
          <cell r="AH725"/>
          <cell r="AI725" t="str">
            <v>17771329B</v>
          </cell>
        </row>
        <row r="726">
          <cell r="A726" t="str">
            <v>20447959Q</v>
          </cell>
          <cell r="B726" t="str">
            <v>Montagud Fogués</v>
          </cell>
          <cell r="C726" t="str">
            <v>José Vicente</v>
          </cell>
          <cell r="D726" t="str">
            <v>Montagud Fogués, José Vicente</v>
          </cell>
          <cell r="E726" t="str">
            <v>josevicente.montagud</v>
          </cell>
          <cell r="F726" t="str">
            <v>josevicente.montagud@professor.universidadviu.com</v>
          </cell>
          <cell r="G726" t="str">
            <v>Yes</v>
          </cell>
          <cell r="H726" t="str">
            <v>NO</v>
          </cell>
          <cell r="I726" t="str">
            <v>Doctorado</v>
          </cell>
          <cell r="J726" t="str">
            <v>Doctorado</v>
          </cell>
          <cell r="K726" t="str">
            <v>Licenciado en Psicología</v>
          </cell>
          <cell r="L726" t="str">
            <v/>
          </cell>
          <cell r="M726" t="str">
            <v>Labour</v>
          </cell>
          <cell r="N726" t="str">
            <v>Gómez Martínez, Sandra</v>
          </cell>
          <cell r="O726" t="str">
            <v>CSS</v>
          </cell>
          <cell r="P726">
            <v>100</v>
          </cell>
          <cell r="Q726" t="str">
            <v>50</v>
          </cell>
          <cell r="R726"/>
          <cell r="S726"/>
          <cell r="T726" t="str">
            <v>Sin reducción</v>
          </cell>
          <cell r="U726">
            <v>0</v>
          </cell>
          <cell r="V726">
            <v>26</v>
          </cell>
          <cell r="W726" t="str">
            <v>EDUCACIÓN</v>
          </cell>
          <cell r="X726">
            <v>20.5</v>
          </cell>
          <cell r="Y726">
            <v>0</v>
          </cell>
          <cell r="Z726">
            <v>0</v>
          </cell>
          <cell r="AA726"/>
          <cell r="AB726" t="str">
            <v>Active - signed</v>
          </cell>
          <cell r="AC726" t="str">
            <v>ACTIVO</v>
          </cell>
          <cell r="AD726"/>
          <cell r="AE726"/>
          <cell r="AF726"/>
          <cell r="AG726"/>
          <cell r="AH726"/>
          <cell r="AI726" t="str">
            <v>20447959Q</v>
          </cell>
        </row>
        <row r="727">
          <cell r="A727" t="str">
            <v>52006090P</v>
          </cell>
          <cell r="B727" t="str">
            <v>Montero García</v>
          </cell>
          <cell r="C727" t="str">
            <v>Lídia</v>
          </cell>
          <cell r="D727" t="str">
            <v>Montero García, Lídia</v>
          </cell>
          <cell r="E727" t="str">
            <v>lidia.montero</v>
          </cell>
          <cell r="F727" t="str">
            <v>lidia.montero@professional.universidadviu.com</v>
          </cell>
          <cell r="G727" t="str">
            <v>Yes</v>
          </cell>
          <cell r="H727" t="str">
            <v>NO</v>
          </cell>
          <cell r="I727" t="str">
            <v>Programa Oficial de Doctorado en Biología y Ciencias de la Alimentación</v>
          </cell>
          <cell r="J727" t="str">
            <v>Diplomada en Nutrición humana y dietética</v>
          </cell>
          <cell r="K727" t="str">
            <v>Licenciada en Ciencia y Tecnología de los alimentos</v>
          </cell>
          <cell r="L727" t="str">
            <v>Máster en química agrícola y nuevos alimentos</v>
          </cell>
          <cell r="M727" t="str">
            <v>Professional</v>
          </cell>
          <cell r="N727" t="str">
            <v/>
          </cell>
          <cell r="O727" t="str">
            <v>CBS</v>
          </cell>
          <cell r="P727">
            <v>0</v>
          </cell>
          <cell r="Q727" t="str">
            <v xml:space="preserve"> </v>
          </cell>
          <cell r="R727"/>
          <cell r="S727"/>
          <cell r="T727" t="str">
            <v>Sin reducción</v>
          </cell>
          <cell r="U727">
            <v>0</v>
          </cell>
          <cell r="V727"/>
          <cell r="W727"/>
          <cell r="X727">
            <v>0</v>
          </cell>
          <cell r="Y727">
            <v>0</v>
          </cell>
          <cell r="Z727">
            <v>0</v>
          </cell>
          <cell r="AA727"/>
          <cell r="AB727" t="str">
            <v>Active - signed</v>
          </cell>
          <cell r="AC727" t="str">
            <v>ACTIVO</v>
          </cell>
          <cell r="AD727"/>
          <cell r="AE727"/>
          <cell r="AF727"/>
          <cell r="AG727"/>
          <cell r="AH727"/>
          <cell r="AI727" t="str">
            <v>52006090P</v>
          </cell>
        </row>
        <row r="728">
          <cell r="A728" t="str">
            <v>15418159V</v>
          </cell>
          <cell r="B728" t="str">
            <v>Montesinos Selfa</v>
          </cell>
          <cell r="C728" t="str">
            <v>Jorge</v>
          </cell>
          <cell r="D728" t="str">
            <v>Montesinos Selfa, Jorge</v>
          </cell>
          <cell r="E728" t="str">
            <v>jorge.montesinos</v>
          </cell>
          <cell r="F728" t="str">
            <v>jorge.montesinos@professional.universidadviu.com</v>
          </cell>
          <cell r="G728" t="str">
            <v>Yes</v>
          </cell>
          <cell r="H728" t="str">
            <v>NO</v>
          </cell>
          <cell r="I728" t="str">
            <v>Biotecnología</v>
          </cell>
          <cell r="J728" t="str">
            <v>Programa Oficial de Doctorado en Neurociencias</v>
          </cell>
          <cell r="K728" t="str">
            <v/>
          </cell>
          <cell r="L728" t="str">
            <v/>
          </cell>
          <cell r="M728" t="str">
            <v>Professional</v>
          </cell>
          <cell r="N728" t="str">
            <v/>
          </cell>
          <cell r="O728" t="str">
            <v>CBS/CSS</v>
          </cell>
          <cell r="P728">
            <v>0</v>
          </cell>
          <cell r="Q728" t="str">
            <v xml:space="preserve"> </v>
          </cell>
          <cell r="R728"/>
          <cell r="S728"/>
          <cell r="T728" t="str">
            <v>Sin reducción</v>
          </cell>
          <cell r="U728">
            <v>0</v>
          </cell>
          <cell r="V728"/>
          <cell r="W728"/>
          <cell r="X728">
            <v>0</v>
          </cell>
          <cell r="Y728">
            <v>0</v>
          </cell>
          <cell r="Z728">
            <v>0</v>
          </cell>
          <cell r="AA728"/>
          <cell r="AB728" t="str">
            <v>Active - signed</v>
          </cell>
          <cell r="AC728" t="str">
            <v>ACTIVO</v>
          </cell>
          <cell r="AD728"/>
          <cell r="AE728"/>
          <cell r="AF728"/>
          <cell r="AG728"/>
          <cell r="AH728"/>
          <cell r="AI728" t="str">
            <v>15418159V</v>
          </cell>
        </row>
        <row r="729">
          <cell r="A729" t="str">
            <v>53256256D</v>
          </cell>
          <cell r="B729" t="str">
            <v>Monzó Cataluña</v>
          </cell>
          <cell r="C729" t="str">
            <v>Carolina</v>
          </cell>
          <cell r="D729" t="str">
            <v>Monzó Cataluña, Carolina</v>
          </cell>
          <cell r="E729" t="str">
            <v>carolina.monzo</v>
          </cell>
          <cell r="F729" t="str">
            <v>carolina.monzo@professional.universidadviu.com</v>
          </cell>
          <cell r="G729" t="str">
            <v>Yes</v>
          </cell>
          <cell r="H729" t="str">
            <v>NO</v>
          </cell>
          <cell r="I729" t="str">
            <v>Biología y Genética</v>
          </cell>
          <cell r="J729" t="str">
            <v>Master universitario en bioinformatica</v>
          </cell>
          <cell r="K729" t="str">
            <v>Postgrado en Genetica medica</v>
          </cell>
          <cell r="L729" t="str">
            <v>Graduada en Mención de Fundamentos de Biologia Sanitaria</v>
          </cell>
          <cell r="M729" t="str">
            <v>Professional</v>
          </cell>
          <cell r="N729" t="str">
            <v/>
          </cell>
          <cell r="O729" t="str">
            <v>CBS</v>
          </cell>
          <cell r="P729">
            <v>0</v>
          </cell>
          <cell r="Q729" t="str">
            <v xml:space="preserve"> </v>
          </cell>
          <cell r="R729"/>
          <cell r="S729"/>
          <cell r="T729" t="str">
            <v>Sin reducción</v>
          </cell>
          <cell r="U729">
            <v>0</v>
          </cell>
          <cell r="V729"/>
          <cell r="W729"/>
          <cell r="X729">
            <v>0</v>
          </cell>
          <cell r="Y729">
            <v>0</v>
          </cell>
          <cell r="Z729">
            <v>0</v>
          </cell>
          <cell r="AA729"/>
          <cell r="AB729" t="str">
            <v>Active - signed</v>
          </cell>
          <cell r="AC729" t="str">
            <v>ACTIVO</v>
          </cell>
          <cell r="AD729"/>
          <cell r="AE729"/>
          <cell r="AF729"/>
          <cell r="AG729"/>
          <cell r="AH729"/>
          <cell r="AI729" t="str">
            <v>53256256D</v>
          </cell>
        </row>
        <row r="730">
          <cell r="A730" t="str">
            <v>73398600B</v>
          </cell>
          <cell r="B730" t="str">
            <v>Mor Rodríguez</v>
          </cell>
          <cell r="C730" t="str">
            <v>Sonia</v>
          </cell>
          <cell r="D730" t="str">
            <v>Mor Rodríguez, Sonia</v>
          </cell>
          <cell r="E730" t="str">
            <v>sonia.mor</v>
          </cell>
          <cell r="F730" t="str">
            <v>sonia.mor@professional.universidadviu.com</v>
          </cell>
          <cell r="G730" t="str">
            <v>Yes</v>
          </cell>
          <cell r="H730" t="str">
            <v>NO</v>
          </cell>
          <cell r="I730" t="str">
            <v>Psicología</v>
          </cell>
          <cell r="J730" t="str">
            <v>Master universitario en psicologia general sanitaria</v>
          </cell>
          <cell r="K730" t="str">
            <v>Graduada en Psicologia</v>
          </cell>
          <cell r="L730" t="str">
            <v/>
          </cell>
          <cell r="M730" t="str">
            <v>Professional</v>
          </cell>
          <cell r="N730" t="str">
            <v/>
          </cell>
          <cell r="O730" t="str">
            <v>CSS</v>
          </cell>
          <cell r="P730">
            <v>0</v>
          </cell>
          <cell r="Q730" t="str">
            <v xml:space="preserve"> </v>
          </cell>
          <cell r="R730"/>
          <cell r="S730"/>
          <cell r="T730" t="str">
            <v>Sin reducción</v>
          </cell>
          <cell r="U730">
            <v>0</v>
          </cell>
          <cell r="V730"/>
          <cell r="W730"/>
          <cell r="X730">
            <v>0</v>
          </cell>
          <cell r="Y730">
            <v>0</v>
          </cell>
          <cell r="Z730">
            <v>0</v>
          </cell>
          <cell r="AA730"/>
          <cell r="AB730" t="str">
            <v>Active - signed</v>
          </cell>
          <cell r="AC730" t="str">
            <v>ACTIVO</v>
          </cell>
          <cell r="AD730"/>
          <cell r="AE730"/>
          <cell r="AF730"/>
          <cell r="AG730"/>
          <cell r="AH730"/>
          <cell r="AI730" t="str">
            <v>73398600B</v>
          </cell>
        </row>
        <row r="731">
          <cell r="A731" t="str">
            <v>21008226A</v>
          </cell>
          <cell r="B731" t="str">
            <v>Mora Martínez</v>
          </cell>
          <cell r="C731" t="str">
            <v>Carlos</v>
          </cell>
          <cell r="D731" t="str">
            <v>Mora Martínez, Carlos</v>
          </cell>
          <cell r="E731" t="str">
            <v>carlos.mora</v>
          </cell>
          <cell r="F731" t="str">
            <v>carlos.mora@professor.universidadviu.com</v>
          </cell>
          <cell r="G731" t="str">
            <v>Yes</v>
          </cell>
          <cell r="H731" t="str">
            <v>NO</v>
          </cell>
          <cell r="I731" t="str">
            <v>Doctorado en Física y Ciencias del Espacio</v>
          </cell>
          <cell r="J731" t="str">
            <v>Doctorado de Estudios Internacionales e interculturales</v>
          </cell>
          <cell r="K731" t="str">
            <v>Doctorado de Estudios Internacionales e interculturales</v>
          </cell>
          <cell r="L731" t="str">
            <v>Doctorado en Astrofísica</v>
          </cell>
          <cell r="M731" t="str">
            <v>Labour</v>
          </cell>
          <cell r="N731" t="str">
            <v/>
          </cell>
          <cell r="O731"/>
          <cell r="P731" t="str">
            <v>50,00</v>
          </cell>
          <cell r="Q731" t="b">
            <v>0</v>
          </cell>
          <cell r="R731"/>
          <cell r="S731"/>
          <cell r="T731" t="str">
            <v>Sin reducción</v>
          </cell>
          <cell r="U731">
            <v>0</v>
          </cell>
          <cell r="V731">
            <v>38</v>
          </cell>
          <cell r="W731" t="str">
            <v>EDUCACIÓN</v>
          </cell>
          <cell r="X731">
            <v>0</v>
          </cell>
          <cell r="Y731">
            <v>0</v>
          </cell>
          <cell r="Z731">
            <v>0</v>
          </cell>
          <cell r="AA731"/>
          <cell r="AB731" t="str">
            <v>Concluded</v>
          </cell>
          <cell r="AC731" t="str">
            <v>NO ACTIVO</v>
          </cell>
          <cell r="AD731"/>
          <cell r="AE731"/>
          <cell r="AF731">
            <v>45138</v>
          </cell>
          <cell r="AG731" t="str">
            <v>CESE DE CONTRATO</v>
          </cell>
          <cell r="AH731"/>
          <cell r="AI731" t="str">
            <v>21008226A</v>
          </cell>
        </row>
        <row r="732">
          <cell r="A732" t="str">
            <v>47161873M</v>
          </cell>
          <cell r="B732" t="str">
            <v>Mora Montserrat</v>
          </cell>
          <cell r="C732" t="str">
            <v>Sergio</v>
          </cell>
          <cell r="D732" t="str">
            <v>Mora Montserrat, Sergio</v>
          </cell>
          <cell r="E732" t="str">
            <v>sergio.mora</v>
          </cell>
          <cell r="F732"/>
          <cell r="G732" t="str">
            <v>NO</v>
          </cell>
          <cell r="H732" t="str">
            <v>NO</v>
          </cell>
          <cell r="I732" t="str">
            <v>Psicología</v>
          </cell>
          <cell r="J732" t="str">
            <v>Máster en Psicología jurídica y peritaje psicológico forense</v>
          </cell>
          <cell r="K732" t="str">
            <v>Experto en Psicología Forense</v>
          </cell>
          <cell r="L732" t="str">
            <v>Master universitario en Psicología de la Cognición y de la Comunicación</v>
          </cell>
          <cell r="M732" t="str">
            <v>Professional</v>
          </cell>
          <cell r="N732" t="str">
            <v/>
          </cell>
          <cell r="O732" t="str">
            <v>CSS</v>
          </cell>
          <cell r="P732">
            <v>0</v>
          </cell>
          <cell r="Q732" t="str">
            <v xml:space="preserve"> </v>
          </cell>
          <cell r="R732"/>
          <cell r="S732"/>
          <cell r="T732" t="str">
            <v>Sin reducción</v>
          </cell>
          <cell r="U732">
            <v>0</v>
          </cell>
          <cell r="V732"/>
          <cell r="W732"/>
          <cell r="X732">
            <v>0</v>
          </cell>
          <cell r="Y732">
            <v>0</v>
          </cell>
          <cell r="Z732">
            <v>0</v>
          </cell>
          <cell r="AA732"/>
          <cell r="AB732" t="str">
            <v>Concluded</v>
          </cell>
          <cell r="AC732" t="str">
            <v>NO ACTIVO</v>
          </cell>
          <cell r="AD732"/>
          <cell r="AE732"/>
          <cell r="AF732">
            <v>45002</v>
          </cell>
          <cell r="AG732" t="str">
            <v>CESE DE CONTRATO</v>
          </cell>
          <cell r="AH732"/>
          <cell r="AI732" t="str">
            <v>47161873M</v>
          </cell>
        </row>
        <row r="733">
          <cell r="A733" t="str">
            <v>39494095J</v>
          </cell>
          <cell r="B733" t="str">
            <v>Mora Salgueiro</v>
          </cell>
          <cell r="C733" t="str">
            <v>Javier</v>
          </cell>
          <cell r="D733" t="str">
            <v>Mora Salgueiro, Javier</v>
          </cell>
          <cell r="E733" t="str">
            <v>jmoras@professional.universidadviu.com</v>
          </cell>
          <cell r="F733" t="str">
            <v>jmoras@professional.universidadviu.com</v>
          </cell>
          <cell r="G733" t="str">
            <v>Yes</v>
          </cell>
          <cell r="H733" t="str">
            <v>NO</v>
          </cell>
          <cell r="I733" t="str">
            <v>Programa de Doutoramento en Psicoloxía do Traballo e as Organizacións, Xurídica-Forense e do Consumidor e Usuario</v>
          </cell>
          <cell r="J733" t="str">
            <v>Máster en psicología general sanitaria</v>
          </cell>
          <cell r="K733" t="str">
            <v>Grado en Psicología</v>
          </cell>
          <cell r="L733" t="str">
            <v/>
          </cell>
          <cell r="M733" t="str">
            <v>Professional</v>
          </cell>
          <cell r="N733"/>
          <cell r="O733" t="str">
            <v>CSS</v>
          </cell>
          <cell r="P733">
            <v>0</v>
          </cell>
          <cell r="Q733" t="str">
            <v xml:space="preserve"> </v>
          </cell>
          <cell r="R733"/>
          <cell r="S733"/>
          <cell r="T733" t="str">
            <v>Sin reducción</v>
          </cell>
          <cell r="U733">
            <v>0</v>
          </cell>
          <cell r="V733"/>
          <cell r="W733"/>
          <cell r="X733">
            <v>0</v>
          </cell>
          <cell r="Y733">
            <v>0</v>
          </cell>
          <cell r="Z733">
            <v>0</v>
          </cell>
          <cell r="AA733"/>
          <cell r="AB733" t="str">
            <v>Active - signed</v>
          </cell>
          <cell r="AC733" t="str">
            <v>ACTIVO</v>
          </cell>
          <cell r="AD733"/>
          <cell r="AE733"/>
          <cell r="AF733"/>
          <cell r="AG733"/>
          <cell r="AH733"/>
          <cell r="AI733" t="str">
            <v>39494095J</v>
          </cell>
        </row>
        <row r="734">
          <cell r="A734" t="str">
            <v>70580005C</v>
          </cell>
          <cell r="B734" t="str">
            <v>Moraleda Sepúlveda</v>
          </cell>
          <cell r="C734" t="str">
            <v>Esther</v>
          </cell>
          <cell r="D734" t="str">
            <v>Moraleda Sepúlveda, Esther</v>
          </cell>
          <cell r="E734" t="str">
            <v>esther.moraleda@professional.universidadviu.com</v>
          </cell>
          <cell r="F734" t="str">
            <v>esther.moraleda@professional.universidadviu.com</v>
          </cell>
          <cell r="G734" t="str">
            <v>Yes</v>
          </cell>
          <cell r="H734" t="str">
            <v>Yes</v>
          </cell>
          <cell r="I734" t="str">
            <v>Programa Oficial de Doctorado en Investigación en Psicología Aplicada</v>
          </cell>
          <cell r="J734" t="str">
            <v>Graduada en Psicología</v>
          </cell>
          <cell r="K734" t="str">
            <v/>
          </cell>
          <cell r="L734" t="str">
            <v/>
          </cell>
          <cell r="M734" t="str">
            <v>Professional</v>
          </cell>
          <cell r="N734"/>
          <cell r="O734" t="str">
            <v>CSS</v>
          </cell>
          <cell r="P734"/>
          <cell r="Q734" t="str">
            <v xml:space="preserve"> </v>
          </cell>
          <cell r="R734"/>
          <cell r="S734"/>
          <cell r="T734" t="str">
            <v>Sin reducción</v>
          </cell>
          <cell r="U734">
            <v>0</v>
          </cell>
          <cell r="V734"/>
          <cell r="W734"/>
          <cell r="X734">
            <v>0</v>
          </cell>
          <cell r="Y734">
            <v>0</v>
          </cell>
          <cell r="Z734">
            <v>0</v>
          </cell>
          <cell r="AA734"/>
          <cell r="AB734" t="str">
            <v>Active - signed</v>
          </cell>
          <cell r="AC734" t="str">
            <v>ACTIVO</v>
          </cell>
          <cell r="AD734"/>
          <cell r="AE734"/>
          <cell r="AF734"/>
          <cell r="AG734"/>
          <cell r="AH734"/>
          <cell r="AI734" t="str">
            <v>70580005C</v>
          </cell>
        </row>
        <row r="735">
          <cell r="A735" t="str">
            <v>51473752M</v>
          </cell>
          <cell r="B735" t="str">
            <v>Morales Alonso</v>
          </cell>
          <cell r="C735" t="str">
            <v>Sara</v>
          </cell>
          <cell r="D735" t="str">
            <v>Morales Alonso, Sara</v>
          </cell>
          <cell r="E735" t="str">
            <v>sara.morales.a</v>
          </cell>
          <cell r="F735" t="str">
            <v>sara.morales.a@professional.universidadviu.com</v>
          </cell>
          <cell r="G735" t="str">
            <v>Yes</v>
          </cell>
          <cell r="H735" t="str">
            <v>NO</v>
          </cell>
          <cell r="I735" t="str">
            <v>Psicología</v>
          </cell>
          <cell r="J735" t="str">
            <v>Doctorado en psicologia</v>
          </cell>
          <cell r="K735" t="str">
            <v>Máster Universitario en Psicología General Sanitaria</v>
          </cell>
          <cell r="L735" t="str">
            <v/>
          </cell>
          <cell r="M735" t="str">
            <v>Professional</v>
          </cell>
          <cell r="N735" t="str">
            <v/>
          </cell>
          <cell r="O735" t="str">
            <v>CSS</v>
          </cell>
          <cell r="P735">
            <v>0</v>
          </cell>
          <cell r="Q735" t="str">
            <v xml:space="preserve"> </v>
          </cell>
          <cell r="R735"/>
          <cell r="S735"/>
          <cell r="T735" t="str">
            <v>Sin reducción</v>
          </cell>
          <cell r="U735">
            <v>0</v>
          </cell>
          <cell r="V735"/>
          <cell r="W735"/>
          <cell r="X735">
            <v>0</v>
          </cell>
          <cell r="Y735">
            <v>0</v>
          </cell>
          <cell r="Z735">
            <v>0</v>
          </cell>
          <cell r="AA735"/>
          <cell r="AB735" t="str">
            <v>Active - signed</v>
          </cell>
          <cell r="AC735" t="str">
            <v>ACTIVO</v>
          </cell>
          <cell r="AD735"/>
          <cell r="AE735"/>
          <cell r="AF735"/>
          <cell r="AG735"/>
          <cell r="AH735"/>
          <cell r="AI735" t="str">
            <v>51473752M</v>
          </cell>
        </row>
        <row r="736">
          <cell r="A736" t="str">
            <v>X4359056G</v>
          </cell>
          <cell r="B736" t="str">
            <v>Morales Ballina</v>
          </cell>
          <cell r="C736" t="str">
            <v>Adriana Nachieli</v>
          </cell>
          <cell r="D736" t="str">
            <v>Morales Ballina, Adriana Nachieli</v>
          </cell>
          <cell r="E736" t="str">
            <v>amoralesb@professional.universidadviu.com</v>
          </cell>
          <cell r="F736" t="str">
            <v>amoralesb@professional.universidadviu.com</v>
          </cell>
          <cell r="G736" t="str">
            <v>Yes</v>
          </cell>
          <cell r="H736" t="str">
            <v>NO</v>
          </cell>
          <cell r="I736" t="str">
            <v>Doctorado en Creatividad Aplicada</v>
          </cell>
          <cell r="J736" t="str">
            <v>Master en antropologia personalista</v>
          </cell>
          <cell r="K736" t="str">
            <v>Master internacional en creatividad aplicada total</v>
          </cell>
          <cell r="L736" t="str">
            <v/>
          </cell>
          <cell r="M736" t="str">
            <v>Professional</v>
          </cell>
          <cell r="N736"/>
          <cell r="O736" t="str">
            <v>CSS</v>
          </cell>
          <cell r="P736">
            <v>0</v>
          </cell>
          <cell r="Q736" t="str">
            <v xml:space="preserve"> </v>
          </cell>
          <cell r="R736"/>
          <cell r="S736"/>
          <cell r="T736" t="str">
            <v>Sin reducción</v>
          </cell>
          <cell r="U736">
            <v>0</v>
          </cell>
          <cell r="V736"/>
          <cell r="W736"/>
          <cell r="X736">
            <v>0</v>
          </cell>
          <cell r="Y736">
            <v>0</v>
          </cell>
          <cell r="Z736">
            <v>0</v>
          </cell>
          <cell r="AA736"/>
          <cell r="AB736" t="str">
            <v>Active - signed</v>
          </cell>
          <cell r="AC736" t="str">
            <v>ACTIVO</v>
          </cell>
          <cell r="AD736"/>
          <cell r="AE736"/>
          <cell r="AF736"/>
          <cell r="AG736"/>
          <cell r="AH736"/>
          <cell r="AI736" t="str">
            <v>X4359056G</v>
          </cell>
        </row>
        <row r="737">
          <cell r="A737" t="str">
            <v>37276297J</v>
          </cell>
          <cell r="B737" t="str">
            <v>Morales Bejarano</v>
          </cell>
          <cell r="C737" t="str">
            <v>Antonio</v>
          </cell>
          <cell r="D737" t="str">
            <v>Morales Bejarano, Antonio</v>
          </cell>
          <cell r="E737" t="str">
            <v>antonio.morales.b</v>
          </cell>
          <cell r="F737" t="str">
            <v>antonio.morales.b@professional.universidadviu.com</v>
          </cell>
          <cell r="G737" t="str">
            <v>Yes</v>
          </cell>
          <cell r="H737" t="str">
            <v>NO</v>
          </cell>
          <cell r="I737" t="str">
            <v>Medicina</v>
          </cell>
          <cell r="J737" t="str">
            <v>Doctorado en Medicina y Cirugía</v>
          </cell>
          <cell r="K737" t="str">
            <v/>
          </cell>
          <cell r="L737" t="str">
            <v/>
          </cell>
          <cell r="M737" t="str">
            <v>Professional</v>
          </cell>
          <cell r="N737" t="str">
            <v/>
          </cell>
          <cell r="O737" t="str">
            <v>CBS</v>
          </cell>
          <cell r="P737">
            <v>0</v>
          </cell>
          <cell r="Q737" t="str">
            <v xml:space="preserve"> </v>
          </cell>
          <cell r="R737"/>
          <cell r="S737"/>
          <cell r="T737" t="str">
            <v>Sin reducción</v>
          </cell>
          <cell r="U737">
            <v>0</v>
          </cell>
          <cell r="V737"/>
          <cell r="W737"/>
          <cell r="X737">
            <v>0</v>
          </cell>
          <cell r="Y737">
            <v>0</v>
          </cell>
          <cell r="Z737">
            <v>0</v>
          </cell>
          <cell r="AA737"/>
          <cell r="AB737" t="str">
            <v>Active - signed</v>
          </cell>
          <cell r="AC737" t="str">
            <v>ACTIVO</v>
          </cell>
          <cell r="AD737"/>
          <cell r="AE737"/>
          <cell r="AF737"/>
          <cell r="AG737"/>
          <cell r="AH737"/>
          <cell r="AI737" t="str">
            <v>37276297J</v>
          </cell>
        </row>
        <row r="738">
          <cell r="A738" t="str">
            <v>03133042M</v>
          </cell>
          <cell r="B738" t="str">
            <v>Morales Gil</v>
          </cell>
          <cell r="C738" t="str">
            <v>Isabel</v>
          </cell>
          <cell r="D738" t="str">
            <v>Morales Gil, Isabel</v>
          </cell>
          <cell r="E738" t="str">
            <v>isabel.morales</v>
          </cell>
          <cell r="F738" t="str">
            <v>isabel.morales@professional.universidadviu.com</v>
          </cell>
          <cell r="G738" t="str">
            <v>Yes</v>
          </cell>
          <cell r="H738" t="str">
            <v>NO</v>
          </cell>
          <cell r="I738" t="str">
            <v>Psicología</v>
          </cell>
          <cell r="J738" t="str">
            <v>Programa Oficial de Doctorado en Ciencias Biomédicas</v>
          </cell>
          <cell r="K738" t="str">
            <v/>
          </cell>
          <cell r="L738" t="str">
            <v/>
          </cell>
          <cell r="M738" t="str">
            <v>Professional</v>
          </cell>
          <cell r="N738" t="str">
            <v/>
          </cell>
          <cell r="O738" t="str">
            <v>CSS</v>
          </cell>
          <cell r="P738">
            <v>0</v>
          </cell>
          <cell r="Q738" t="str">
            <v xml:space="preserve"> </v>
          </cell>
          <cell r="R738"/>
          <cell r="S738"/>
          <cell r="T738" t="str">
            <v>Sin reducción</v>
          </cell>
          <cell r="U738">
            <v>0</v>
          </cell>
          <cell r="V738"/>
          <cell r="W738"/>
          <cell r="X738">
            <v>0</v>
          </cell>
          <cell r="Y738">
            <v>0</v>
          </cell>
          <cell r="Z738">
            <v>0</v>
          </cell>
          <cell r="AA738"/>
          <cell r="AB738" t="str">
            <v>Active - signed</v>
          </cell>
          <cell r="AC738" t="str">
            <v>ACTIVO</v>
          </cell>
          <cell r="AD738"/>
          <cell r="AE738"/>
          <cell r="AF738"/>
          <cell r="AG738"/>
          <cell r="AH738"/>
          <cell r="AI738" t="str">
            <v>03133042M</v>
          </cell>
        </row>
        <row r="739">
          <cell r="A739" t="str">
            <v>75484271L</v>
          </cell>
          <cell r="B739" t="str">
            <v>Morales Giner</v>
          </cell>
          <cell r="C739" t="str">
            <v>Pilar</v>
          </cell>
          <cell r="D739" t="str">
            <v>Morales Giner, Pilar</v>
          </cell>
          <cell r="E739" t="str">
            <v>pilar.morales.gi</v>
          </cell>
          <cell r="F739" t="str">
            <v>pilar.morales.gi@professional.universidadviu.com</v>
          </cell>
          <cell r="G739" t="str">
            <v>Yes</v>
          </cell>
          <cell r="H739" t="str">
            <v>NO</v>
          </cell>
          <cell r="I739" t="str">
            <v>Doctor of Philosophy</v>
          </cell>
          <cell r="J739" t="str">
            <v>Master in Sustainable Development</v>
          </cell>
          <cell r="K739" t="str">
            <v>Licenciada en Ciencias políticas y de la administración</v>
          </cell>
          <cell r="L739" t="str">
            <v>Licenciada en Derecho</v>
          </cell>
          <cell r="M739" t="str">
            <v>Professional</v>
          </cell>
          <cell r="N739" t="str">
            <v/>
          </cell>
          <cell r="O739" t="str">
            <v>CSS</v>
          </cell>
          <cell r="P739">
            <v>0</v>
          </cell>
          <cell r="Q739" t="str">
            <v xml:space="preserve"> </v>
          </cell>
          <cell r="R739"/>
          <cell r="S739"/>
          <cell r="T739" t="str">
            <v>Sin reducción</v>
          </cell>
          <cell r="U739">
            <v>0</v>
          </cell>
          <cell r="V739"/>
          <cell r="W739"/>
          <cell r="X739">
            <v>0</v>
          </cell>
          <cell r="Y739">
            <v>0</v>
          </cell>
          <cell r="Z739">
            <v>0</v>
          </cell>
          <cell r="AA739"/>
          <cell r="AB739" t="str">
            <v>Concluded</v>
          </cell>
          <cell r="AC739" t="str">
            <v>NO ACTIVO</v>
          </cell>
          <cell r="AD739"/>
          <cell r="AE739"/>
          <cell r="AF739"/>
          <cell r="AG739" t="str">
            <v>CESE DE CONTRATO</v>
          </cell>
          <cell r="AH739"/>
          <cell r="AI739" t="str">
            <v>75484271L</v>
          </cell>
        </row>
        <row r="740">
          <cell r="A740" t="str">
            <v>44061235C</v>
          </cell>
          <cell r="B740" t="str">
            <v>Morales Sánchez</v>
          </cell>
          <cell r="C740" t="str">
            <v>Lucía</v>
          </cell>
          <cell r="D740" t="str">
            <v>Morales Sánchez, Lucía</v>
          </cell>
          <cell r="E740" t="str">
            <v>lmoraless@professional.universidadviu.com</v>
          </cell>
          <cell r="F740" t="str">
            <v>lmoraless@professional.universidadviu.com</v>
          </cell>
          <cell r="G740" t="str">
            <v>Yes</v>
          </cell>
          <cell r="H740" t="str">
            <v>Yes</v>
          </cell>
          <cell r="I740" t="str">
            <v>Doble Grado en Trabajo Social y Educación Social</v>
          </cell>
          <cell r="J740" t="str">
            <v>Máster Universitario en Profesorado de Educación Secundaria, Bachillerato, Formación Profesional e Idiomas en la especialidad de Orientación Educativa</v>
          </cell>
          <cell r="K740" t="str">
            <v>Programa de Doctorado en Ciencias de la Salud por la Universidad de Cádiz</v>
          </cell>
          <cell r="L740" t="str">
            <v/>
          </cell>
          <cell r="M740" t="str">
            <v>Professional</v>
          </cell>
          <cell r="N740" t="str">
            <v/>
          </cell>
          <cell r="O740" t="str">
            <v>CSS</v>
          </cell>
          <cell r="P740">
            <v>0</v>
          </cell>
          <cell r="Q740" t="str">
            <v xml:space="preserve"> </v>
          </cell>
          <cell r="R740"/>
          <cell r="S740"/>
          <cell r="T740" t="str">
            <v>Sin reducción</v>
          </cell>
          <cell r="U740">
            <v>0</v>
          </cell>
          <cell r="V740"/>
          <cell r="W740"/>
          <cell r="X740">
            <v>0</v>
          </cell>
          <cell r="Y740">
            <v>0</v>
          </cell>
          <cell r="Z740">
            <v>0</v>
          </cell>
          <cell r="AA740"/>
          <cell r="AB740" t="str">
            <v>Active - signed</v>
          </cell>
          <cell r="AC740" t="str">
            <v>ACTIVO</v>
          </cell>
          <cell r="AD740"/>
          <cell r="AE740"/>
          <cell r="AF740"/>
          <cell r="AG740"/>
          <cell r="AH740"/>
          <cell r="AI740" t="str">
            <v>44061235C</v>
          </cell>
        </row>
        <row r="741">
          <cell r="A741" t="str">
            <v>44891300S</v>
          </cell>
          <cell r="B741" t="str">
            <v>Morante Palacios</v>
          </cell>
          <cell r="C741" t="str">
            <v>Octavio</v>
          </cell>
          <cell r="D741" t="str">
            <v>Morante Palacios, Octavio</v>
          </cell>
          <cell r="E741" t="str">
            <v>omorantep@professional.universidadviu.com</v>
          </cell>
          <cell r="F741" t="str">
            <v>omorantep@professional.universidadviu.com</v>
          </cell>
          <cell r="G741" t="str">
            <v>NO</v>
          </cell>
          <cell r="H741" t="str">
            <v>NO</v>
          </cell>
          <cell r="I741" t="str">
            <v/>
          </cell>
          <cell r="J741" t="str">
            <v/>
          </cell>
          <cell r="K741" t="str">
            <v/>
          </cell>
          <cell r="L741" t="str">
            <v/>
          </cell>
          <cell r="M741" t="str">
            <v>Professional</v>
          </cell>
          <cell r="N741"/>
          <cell r="O741" t="str">
            <v>CBS</v>
          </cell>
          <cell r="P741"/>
          <cell r="Q741" t="str">
            <v xml:space="preserve"> </v>
          </cell>
          <cell r="R741"/>
          <cell r="S741"/>
          <cell r="T741" t="str">
            <v>Sin reducción</v>
          </cell>
          <cell r="U741">
            <v>0</v>
          </cell>
          <cell r="V741"/>
          <cell r="W741"/>
          <cell r="X741">
            <v>0</v>
          </cell>
          <cell r="Y741">
            <v>0</v>
          </cell>
          <cell r="Z741">
            <v>0</v>
          </cell>
          <cell r="AA741"/>
          <cell r="AB741" t="str">
            <v>Active - signed</v>
          </cell>
          <cell r="AC741" t="str">
            <v>ACTIVO</v>
          </cell>
          <cell r="AD741"/>
          <cell r="AE741"/>
          <cell r="AF741"/>
          <cell r="AG741"/>
          <cell r="AH741"/>
          <cell r="AI741" t="str">
            <v>44891300S</v>
          </cell>
        </row>
        <row r="742">
          <cell r="A742" t="str">
            <v>70587178V</v>
          </cell>
          <cell r="B742" t="str">
            <v>Morcillo Parra</v>
          </cell>
          <cell r="C742" t="str">
            <v>María Ángeles</v>
          </cell>
          <cell r="D742" t="str">
            <v>Morcillo Parra, María Ángeles</v>
          </cell>
          <cell r="E742" t="str">
            <v>mariaangeles.morcillo</v>
          </cell>
          <cell r="F742" t="str">
            <v>mariaangeles.morcillo@professional.universidadviu.com</v>
          </cell>
          <cell r="G742" t="str">
            <v>Yes</v>
          </cell>
          <cell r="H742" t="str">
            <v>Yes</v>
          </cell>
          <cell r="I742" t="str">
            <v>Biotecnología</v>
          </cell>
          <cell r="J742" t="str">
            <v>Doctorado en Enología y Biotecnología</v>
          </cell>
          <cell r="K742" t="str">
            <v>Máster en Investigación en Biología Molecular, Celular y Genética</v>
          </cell>
          <cell r="L742" t="str">
            <v/>
          </cell>
          <cell r="M742" t="str">
            <v>Professional</v>
          </cell>
          <cell r="N742" t="str">
            <v/>
          </cell>
          <cell r="O742" t="str">
            <v>CBS</v>
          </cell>
          <cell r="P742">
            <v>0</v>
          </cell>
          <cell r="Q742" t="str">
            <v xml:space="preserve"> </v>
          </cell>
          <cell r="R742"/>
          <cell r="S742"/>
          <cell r="T742" t="str">
            <v>Sin reducción</v>
          </cell>
          <cell r="U742">
            <v>0</v>
          </cell>
          <cell r="V742"/>
          <cell r="W742"/>
          <cell r="X742">
            <v>0</v>
          </cell>
          <cell r="Y742">
            <v>0</v>
          </cell>
          <cell r="Z742">
            <v>0</v>
          </cell>
          <cell r="AA742"/>
          <cell r="AB742" t="str">
            <v>Active - signed</v>
          </cell>
          <cell r="AC742" t="str">
            <v>ACTIVO</v>
          </cell>
          <cell r="AD742"/>
          <cell r="AE742"/>
          <cell r="AF742"/>
          <cell r="AG742"/>
          <cell r="AH742"/>
          <cell r="AI742" t="str">
            <v>70587178V</v>
          </cell>
        </row>
        <row r="743">
          <cell r="A743" t="str">
            <v>11475928D</v>
          </cell>
          <cell r="B743" t="str">
            <v>Morejón Rodríguez</v>
          </cell>
          <cell r="C743" t="str">
            <v>Leydis</v>
          </cell>
          <cell r="D743" t="str">
            <v>Morejón Rodríguez, Leydis</v>
          </cell>
          <cell r="E743" t="str">
            <v>leydis.morejon</v>
          </cell>
          <cell r="F743" t="str">
            <v>leydis.morejon@professor.universidadviu.com</v>
          </cell>
          <cell r="G743" t="str">
            <v>Yes</v>
          </cell>
          <cell r="H743" t="str">
            <v>NO</v>
          </cell>
          <cell r="I743" t="str">
            <v>Doctorado en Ciencias Pedagógicas</v>
          </cell>
          <cell r="J743" t="str">
            <v>Doctorado en Ciencias Pedagógicas</v>
          </cell>
          <cell r="K743" t="str">
            <v>Licenciado en Educación en la Especialidad de Educación Especial</v>
          </cell>
          <cell r="L743" t="str">
            <v/>
          </cell>
          <cell r="M743" t="str">
            <v>Labour</v>
          </cell>
          <cell r="N743" t="str">
            <v>Consultar a Facultad de Educación</v>
          </cell>
          <cell r="O743" t="str">
            <v>CSS</v>
          </cell>
          <cell r="P743">
            <v>100</v>
          </cell>
          <cell r="Q743" t="str">
            <v>50</v>
          </cell>
          <cell r="R743"/>
          <cell r="S743"/>
          <cell r="T743" t="str">
            <v>Sin reducción</v>
          </cell>
          <cell r="U743">
            <v>0</v>
          </cell>
          <cell r="V743">
            <v>47</v>
          </cell>
          <cell r="W743" t="str">
            <v>EDUCACIÓN</v>
          </cell>
          <cell r="X743">
            <v>0</v>
          </cell>
          <cell r="Y743">
            <v>0</v>
          </cell>
          <cell r="Z743">
            <v>0</v>
          </cell>
          <cell r="AA743"/>
          <cell r="AB743" t="str">
            <v>Active - signed</v>
          </cell>
          <cell r="AC743" t="str">
            <v>ACTIVO</v>
          </cell>
          <cell r="AD743"/>
          <cell r="AE743"/>
          <cell r="AF743"/>
          <cell r="AG743"/>
          <cell r="AH743"/>
          <cell r="AI743" t="str">
            <v>11475928D</v>
          </cell>
        </row>
        <row r="744">
          <cell r="A744" t="str">
            <v>20836276R</v>
          </cell>
          <cell r="B744" t="str">
            <v>Morell Esteve</v>
          </cell>
          <cell r="C744" t="str">
            <v>Pere</v>
          </cell>
          <cell r="D744" t="str">
            <v>Morell Esteve, Pere</v>
          </cell>
          <cell r="E744" t="str">
            <v>pere.morell</v>
          </cell>
          <cell r="F744" t="str">
            <v>pere.morell@professor.universidadviu.com</v>
          </cell>
          <cell r="G744" t="str">
            <v>Yes</v>
          </cell>
          <cell r="H744" t="str">
            <v>Yes</v>
          </cell>
          <cell r="I744" t="str">
            <v>Ciencia y tecnología de los alimentos</v>
          </cell>
          <cell r="J744" t="str">
            <v>Programa de Doctorado en Ciencia, Tecnología y Gestión Alimentaria</v>
          </cell>
          <cell r="K744" t="str">
            <v>Máster Universitario en Gestión y Seguridad Alimentaria</v>
          </cell>
          <cell r="L744" t="str">
            <v>Diplomada en Nutrición Humana y Dietética</v>
          </cell>
          <cell r="M744" t="str">
            <v>Labour</v>
          </cell>
          <cell r="N744" t="str">
            <v>García Tejedor, Aurora</v>
          </cell>
          <cell r="O744" t="str">
            <v>CBS</v>
          </cell>
          <cell r="P744">
            <v>100</v>
          </cell>
          <cell r="Q744" t="str">
            <v>50</v>
          </cell>
          <cell r="R744"/>
          <cell r="S744" t="str">
            <v>1er 2015-2022</v>
          </cell>
          <cell r="T744" t="str">
            <v>Director/a grado</v>
          </cell>
          <cell r="U744" t="str">
            <v>38</v>
          </cell>
          <cell r="V744"/>
          <cell r="W744"/>
          <cell r="X744">
            <v>0</v>
          </cell>
          <cell r="Y744">
            <v>4</v>
          </cell>
          <cell r="Z744">
            <v>0</v>
          </cell>
          <cell r="AA744"/>
          <cell r="AB744" t="str">
            <v>Active - IT leave</v>
          </cell>
          <cell r="AC744" t="str">
            <v>ACTIVO</v>
          </cell>
          <cell r="AD744"/>
          <cell r="AE744"/>
          <cell r="AF744"/>
          <cell r="AG744"/>
          <cell r="AH744"/>
          <cell r="AI744" t="str">
            <v>20836276R</v>
          </cell>
        </row>
        <row r="745">
          <cell r="A745" t="str">
            <v>52592809C</v>
          </cell>
          <cell r="B745" t="str">
            <v>Moreno Alcazar</v>
          </cell>
          <cell r="C745" t="str">
            <v>Ana</v>
          </cell>
          <cell r="D745" t="str">
            <v>Moreno Alcazar, Ana</v>
          </cell>
          <cell r="E745" t="str">
            <v>ana.moreno.a</v>
          </cell>
          <cell r="F745" t="str">
            <v>ana.moreno.a@professional.universidadviu.com</v>
          </cell>
          <cell r="G745" t="str">
            <v>Yes</v>
          </cell>
          <cell r="H745" t="str">
            <v>NO</v>
          </cell>
          <cell r="I745" t="str">
            <v>Psicología</v>
          </cell>
          <cell r="J745" t="str">
            <v>Programa de psiquiatría y psicología médica</v>
          </cell>
          <cell r="K745" t="str">
            <v/>
          </cell>
          <cell r="L745" t="str">
            <v/>
          </cell>
          <cell r="M745" t="str">
            <v>Professional</v>
          </cell>
          <cell r="N745" t="str">
            <v/>
          </cell>
          <cell r="O745" t="str">
            <v>CSS</v>
          </cell>
          <cell r="P745">
            <v>0</v>
          </cell>
          <cell r="Q745" t="str">
            <v xml:space="preserve"> </v>
          </cell>
          <cell r="R745"/>
          <cell r="S745"/>
          <cell r="T745" t="str">
            <v>Sin reducción</v>
          </cell>
          <cell r="U745">
            <v>0</v>
          </cell>
          <cell r="V745"/>
          <cell r="W745"/>
          <cell r="X745">
            <v>0</v>
          </cell>
          <cell r="Y745">
            <v>0</v>
          </cell>
          <cell r="Z745">
            <v>0</v>
          </cell>
          <cell r="AA745"/>
          <cell r="AB745" t="str">
            <v>Active - signed</v>
          </cell>
          <cell r="AC745" t="str">
            <v>ACTIVO</v>
          </cell>
          <cell r="AD745"/>
          <cell r="AE745"/>
          <cell r="AF745"/>
          <cell r="AG745"/>
          <cell r="AH745"/>
          <cell r="AI745" t="str">
            <v>52592809C</v>
          </cell>
        </row>
        <row r="746">
          <cell r="A746" t="str">
            <v>26582439M</v>
          </cell>
          <cell r="B746" t="str">
            <v>Moreno Garrido</v>
          </cell>
          <cell r="C746" t="str">
            <v>Belén</v>
          </cell>
          <cell r="D746" t="str">
            <v>Moreno Garrido, Belén</v>
          </cell>
          <cell r="E746" t="str">
            <v>bmorenog@professional.universidadviu.com</v>
          </cell>
          <cell r="F746" t="str">
            <v>bmorenog@professional.universidadviu.com</v>
          </cell>
          <cell r="G746" t="str">
            <v>NO</v>
          </cell>
          <cell r="H746" t="str">
            <v>NO</v>
          </cell>
          <cell r="I746" t="str">
            <v/>
          </cell>
          <cell r="J746" t="str">
            <v/>
          </cell>
          <cell r="K746" t="str">
            <v/>
          </cell>
          <cell r="L746" t="str">
            <v/>
          </cell>
          <cell r="M746" t="str">
            <v>Professional</v>
          </cell>
          <cell r="N746"/>
          <cell r="O746" t="str">
            <v>CSS</v>
          </cell>
          <cell r="P746">
            <v>0</v>
          </cell>
          <cell r="Q746" t="str">
            <v xml:space="preserve"> </v>
          </cell>
          <cell r="R746"/>
          <cell r="S746"/>
          <cell r="T746" t="str">
            <v>Sin reducción</v>
          </cell>
          <cell r="U746">
            <v>0</v>
          </cell>
          <cell r="V746"/>
          <cell r="W746"/>
          <cell r="X746">
            <v>0</v>
          </cell>
          <cell r="Y746">
            <v>0</v>
          </cell>
          <cell r="Z746">
            <v>0</v>
          </cell>
          <cell r="AA746"/>
          <cell r="AB746" t="str">
            <v>Active - signed</v>
          </cell>
          <cell r="AC746" t="str">
            <v>ACTIVO</v>
          </cell>
          <cell r="AD746"/>
          <cell r="AE746"/>
          <cell r="AF746"/>
          <cell r="AG746"/>
          <cell r="AH746"/>
          <cell r="AI746" t="str">
            <v>26582439M</v>
          </cell>
        </row>
        <row r="747">
          <cell r="A747" t="str">
            <v>74519630K</v>
          </cell>
          <cell r="B747" t="str">
            <v>Moreno Mansilla</v>
          </cell>
          <cell r="C747" t="str">
            <v>Sara</v>
          </cell>
          <cell r="D747" t="str">
            <v>Moreno Mansilla, Sara</v>
          </cell>
          <cell r="E747" t="str">
            <v>smorenom@professional.universidadviu.com</v>
          </cell>
          <cell r="F747" t="str">
            <v>smorenom@professional.universidadviu.com</v>
          </cell>
          <cell r="G747" t="str">
            <v>Yes</v>
          </cell>
          <cell r="H747" t="str">
            <v>NO</v>
          </cell>
          <cell r="I747" t="str">
            <v>DOCTORADO EN CIENCIAS DE LA SALUD</v>
          </cell>
          <cell r="J747" t="str">
            <v>LICENCIATURA EN PSICOLOGÍA</v>
          </cell>
          <cell r="K747" t="str">
            <v>MÁSTER EN PSICOLOGÍA GENERAL SANITARIA</v>
          </cell>
          <cell r="L747" t="str">
            <v/>
          </cell>
          <cell r="M747" t="str">
            <v>Professional</v>
          </cell>
          <cell r="N747" t="str">
            <v/>
          </cell>
          <cell r="O747" t="str">
            <v>CSS</v>
          </cell>
          <cell r="P747">
            <v>0</v>
          </cell>
          <cell r="Q747" t="str">
            <v xml:space="preserve"> </v>
          </cell>
          <cell r="R747"/>
          <cell r="S747"/>
          <cell r="T747" t="str">
            <v>Sin reducción</v>
          </cell>
          <cell r="U747">
            <v>0</v>
          </cell>
          <cell r="V747"/>
          <cell r="W747"/>
          <cell r="X747">
            <v>0</v>
          </cell>
          <cell r="Y747">
            <v>0</v>
          </cell>
          <cell r="Z747">
            <v>0</v>
          </cell>
          <cell r="AA747"/>
          <cell r="AB747" t="str">
            <v>Active - signed</v>
          </cell>
          <cell r="AC747" t="str">
            <v>ACTIVO</v>
          </cell>
          <cell r="AD747"/>
          <cell r="AE747"/>
          <cell r="AF747"/>
          <cell r="AG747"/>
          <cell r="AH747"/>
          <cell r="AI747" t="str">
            <v>74519630K</v>
          </cell>
        </row>
        <row r="748">
          <cell r="A748" t="str">
            <v>80067612N</v>
          </cell>
          <cell r="B748" t="str">
            <v>Moreno Marín</v>
          </cell>
          <cell r="C748" t="str">
            <v>Nuria</v>
          </cell>
          <cell r="D748" t="str">
            <v>Moreno Marín, Nuria</v>
          </cell>
          <cell r="E748" t="str">
            <v>nuria.morenom@professional.universidadviu.com</v>
          </cell>
          <cell r="F748" t="str">
            <v>nuria.morenom@professional.universidadviu.com</v>
          </cell>
          <cell r="G748" t="str">
            <v>Yes</v>
          </cell>
          <cell r="H748" t="str">
            <v>NO</v>
          </cell>
          <cell r="I748" t="str">
            <v>Doctorado en Biología Molecular y Celular, Biomedicina y Biotecnología</v>
          </cell>
          <cell r="J748" t="str">
            <v>Máster Universitario en Investigación en Ciencias (MUI)</v>
          </cell>
          <cell r="K748" t="str">
            <v>Licenciatura en Biología</v>
          </cell>
          <cell r="L748" t="str">
            <v/>
          </cell>
          <cell r="M748" t="str">
            <v>Professional</v>
          </cell>
          <cell r="N748" t="str">
            <v/>
          </cell>
          <cell r="O748" t="str">
            <v>CBS</v>
          </cell>
          <cell r="P748">
            <v>0</v>
          </cell>
          <cell r="Q748" t="str">
            <v xml:space="preserve"> </v>
          </cell>
          <cell r="R748"/>
          <cell r="S748"/>
          <cell r="T748" t="str">
            <v>Sin reducción</v>
          </cell>
          <cell r="U748">
            <v>0</v>
          </cell>
          <cell r="V748"/>
          <cell r="W748"/>
          <cell r="X748">
            <v>0</v>
          </cell>
          <cell r="Y748">
            <v>0</v>
          </cell>
          <cell r="Z748">
            <v>0</v>
          </cell>
          <cell r="AA748"/>
          <cell r="AB748" t="str">
            <v>Active - signed</v>
          </cell>
          <cell r="AC748" t="str">
            <v>ACTIVO</v>
          </cell>
          <cell r="AD748"/>
          <cell r="AE748"/>
          <cell r="AF748"/>
          <cell r="AG748"/>
          <cell r="AH748"/>
          <cell r="AI748" t="str">
            <v>80067612N</v>
          </cell>
        </row>
        <row r="749">
          <cell r="A749" t="str">
            <v>39388829H</v>
          </cell>
          <cell r="B749" t="str">
            <v>Moreno Martínez</v>
          </cell>
          <cell r="C749" t="str">
            <v>Marina</v>
          </cell>
          <cell r="D749" t="str">
            <v>Moreno Martínez, Marina</v>
          </cell>
          <cell r="E749" t="str">
            <v>mmorenom@professional.universidadviu.com</v>
          </cell>
          <cell r="F749" t="str">
            <v>mmorenom@professional.universidadviu.com</v>
          </cell>
          <cell r="G749" t="str">
            <v>Yes</v>
          </cell>
          <cell r="H749" t="str">
            <v>NO</v>
          </cell>
          <cell r="I749" t="str">
            <v>Doctorado en Medicina</v>
          </cell>
          <cell r="J749" t="str">
            <v>Máster Universitario en Metodología de la Investigación Aplicada a las Curas Enfermeras</v>
          </cell>
          <cell r="K749" t="str">
            <v>Grado en Enfermería</v>
          </cell>
          <cell r="L749" t="str">
            <v/>
          </cell>
          <cell r="M749" t="str">
            <v>Professional</v>
          </cell>
          <cell r="N749" t="str">
            <v/>
          </cell>
          <cell r="O749" t="str">
            <v>CSS</v>
          </cell>
          <cell r="P749">
            <v>0</v>
          </cell>
          <cell r="Q749" t="str">
            <v xml:space="preserve"> </v>
          </cell>
          <cell r="R749"/>
          <cell r="S749"/>
          <cell r="T749" t="str">
            <v>Sin reducción</v>
          </cell>
          <cell r="U749">
            <v>0</v>
          </cell>
          <cell r="V749"/>
          <cell r="W749"/>
          <cell r="X749">
            <v>0</v>
          </cell>
          <cell r="Y749">
            <v>0</v>
          </cell>
          <cell r="Z749">
            <v>0</v>
          </cell>
          <cell r="AA749"/>
          <cell r="AB749" t="str">
            <v>Active - signed</v>
          </cell>
          <cell r="AC749" t="str">
            <v>ACTIVO</v>
          </cell>
          <cell r="AD749"/>
          <cell r="AE749"/>
          <cell r="AF749"/>
          <cell r="AG749"/>
          <cell r="AH749"/>
          <cell r="AI749" t="str">
            <v>39388829H</v>
          </cell>
        </row>
        <row r="750">
          <cell r="A750" t="str">
            <v>25416155M</v>
          </cell>
          <cell r="B750" t="str">
            <v>Moreno Murciano</v>
          </cell>
          <cell r="C750" t="str">
            <v>Paz</v>
          </cell>
          <cell r="D750" t="str">
            <v>Moreno Murciano, Paz</v>
          </cell>
          <cell r="E750" t="str">
            <v>paz.moreno</v>
          </cell>
          <cell r="F750" t="str">
            <v>paz.moreno@professional.universidadviu.com</v>
          </cell>
          <cell r="G750" t="str">
            <v>Yes</v>
          </cell>
          <cell r="H750" t="str">
            <v>NO</v>
          </cell>
          <cell r="I750" t="str">
            <v>Biología y Genética</v>
          </cell>
          <cell r="J750" t="str">
            <v>Dotor en Ciencias Biológicas</v>
          </cell>
          <cell r="K750" t="str">
            <v/>
          </cell>
          <cell r="L750" t="str">
            <v/>
          </cell>
          <cell r="M750" t="str">
            <v>Professional</v>
          </cell>
          <cell r="N750" t="str">
            <v/>
          </cell>
          <cell r="O750" t="str">
            <v>CBS</v>
          </cell>
          <cell r="P750">
            <v>0</v>
          </cell>
          <cell r="Q750" t="str">
            <v xml:space="preserve"> </v>
          </cell>
          <cell r="R750"/>
          <cell r="S750"/>
          <cell r="T750" t="str">
            <v>Sin reducción</v>
          </cell>
          <cell r="U750">
            <v>0</v>
          </cell>
          <cell r="V750"/>
          <cell r="W750"/>
          <cell r="X750">
            <v>0</v>
          </cell>
          <cell r="Y750">
            <v>0</v>
          </cell>
          <cell r="Z750">
            <v>0</v>
          </cell>
          <cell r="AA750"/>
          <cell r="AB750" t="str">
            <v>Active - signed</v>
          </cell>
          <cell r="AC750" t="str">
            <v>ACTIVO</v>
          </cell>
          <cell r="AD750"/>
          <cell r="AE750"/>
          <cell r="AF750"/>
          <cell r="AG750"/>
          <cell r="AH750"/>
          <cell r="AI750" t="str">
            <v>25416155M</v>
          </cell>
        </row>
        <row r="751">
          <cell r="A751" t="str">
            <v>40446436Q</v>
          </cell>
          <cell r="B751" t="str">
            <v>Moreno Oliveras</v>
          </cell>
          <cell r="C751" t="str">
            <v>Luis</v>
          </cell>
          <cell r="D751" t="str">
            <v>Moreno Oliveras, Luis</v>
          </cell>
          <cell r="E751" t="str">
            <v>luis.moreno</v>
          </cell>
          <cell r="F751" t="str">
            <v>luis.moreno@professional.universidadviu.com</v>
          </cell>
          <cell r="G751" t="str">
            <v>Yes</v>
          </cell>
          <cell r="H751" t="str">
            <v>NO</v>
          </cell>
          <cell r="I751" t="str">
            <v>Enfermería</v>
          </cell>
          <cell r="J751" t="str">
            <v>Doctorado Medicina Traslacional</v>
          </cell>
          <cell r="K751" t="str">
            <v>Máster Universitario en Especialización y Cuidados de Enfermería</v>
          </cell>
          <cell r="L751" t="str">
            <v/>
          </cell>
          <cell r="M751" t="str">
            <v>Professional</v>
          </cell>
          <cell r="N751" t="str">
            <v/>
          </cell>
          <cell r="O751" t="str">
            <v>CBS</v>
          </cell>
          <cell r="P751">
            <v>0</v>
          </cell>
          <cell r="Q751" t="str">
            <v xml:space="preserve"> </v>
          </cell>
          <cell r="R751"/>
          <cell r="S751"/>
          <cell r="T751" t="str">
            <v>Sin reducción</v>
          </cell>
          <cell r="U751">
            <v>0</v>
          </cell>
          <cell r="V751"/>
          <cell r="W751"/>
          <cell r="X751">
            <v>0</v>
          </cell>
          <cell r="Y751">
            <v>0</v>
          </cell>
          <cell r="Z751">
            <v>0</v>
          </cell>
          <cell r="AA751"/>
          <cell r="AB751" t="str">
            <v>Active - signed</v>
          </cell>
          <cell r="AC751" t="str">
            <v>ACTIVO</v>
          </cell>
          <cell r="AD751"/>
          <cell r="AE751"/>
          <cell r="AF751"/>
          <cell r="AG751"/>
          <cell r="AH751"/>
          <cell r="AI751" t="str">
            <v>40446436Q</v>
          </cell>
        </row>
        <row r="752">
          <cell r="A752" t="str">
            <v>77359772P</v>
          </cell>
          <cell r="B752" t="str">
            <v>Moreno Padilla</v>
          </cell>
          <cell r="C752" t="str">
            <v>María</v>
          </cell>
          <cell r="D752" t="str">
            <v>Moreno Padilla, María</v>
          </cell>
          <cell r="E752" t="str">
            <v>maria.moreno.p</v>
          </cell>
          <cell r="F752" t="str">
            <v>maria.moreno.p@professional.universidadviu.com</v>
          </cell>
          <cell r="G752" t="str">
            <v>Yes</v>
          </cell>
          <cell r="H752" t="str">
            <v>Yes</v>
          </cell>
          <cell r="I752" t="str">
            <v>Psicología</v>
          </cell>
          <cell r="J752" t="str">
            <v>Programa de Doctorado en Psicología</v>
          </cell>
          <cell r="K752" t="str">
            <v/>
          </cell>
          <cell r="L752" t="str">
            <v/>
          </cell>
          <cell r="M752" t="str">
            <v>Professional</v>
          </cell>
          <cell r="N752" t="str">
            <v/>
          </cell>
          <cell r="O752" t="str">
            <v>CSS</v>
          </cell>
          <cell r="P752">
            <v>0</v>
          </cell>
          <cell r="Q752" t="str">
            <v xml:space="preserve"> </v>
          </cell>
          <cell r="R752"/>
          <cell r="S752"/>
          <cell r="T752" t="str">
            <v>Sin reducción</v>
          </cell>
          <cell r="U752">
            <v>0</v>
          </cell>
          <cell r="V752"/>
          <cell r="W752"/>
          <cell r="X752">
            <v>0</v>
          </cell>
          <cell r="Y752">
            <v>0</v>
          </cell>
          <cell r="Z752">
            <v>0</v>
          </cell>
          <cell r="AA752"/>
          <cell r="AB752" t="str">
            <v>Active - signed</v>
          </cell>
          <cell r="AC752" t="str">
            <v>ACTIVO</v>
          </cell>
          <cell r="AD752"/>
          <cell r="AE752"/>
          <cell r="AF752"/>
          <cell r="AG752"/>
          <cell r="AH752"/>
          <cell r="AI752" t="str">
            <v>77359772P</v>
          </cell>
        </row>
        <row r="753">
          <cell r="A753" t="str">
            <v>22598350E</v>
          </cell>
          <cell r="B753" t="str">
            <v>Moreno Segura</v>
          </cell>
          <cell r="C753" t="str">
            <v>Noemí</v>
          </cell>
          <cell r="D753" t="str">
            <v>Moreno Segura, Noemí</v>
          </cell>
          <cell r="E753" t="e">
            <v>#VALUE!</v>
          </cell>
          <cell r="F753" t="str">
            <v>noemi.moreno.s@professional.universidadviu.com</v>
          </cell>
          <cell r="G753" t="e">
            <v>#VALUE!</v>
          </cell>
          <cell r="H753" t="e">
            <v>#VALUE!</v>
          </cell>
          <cell r="I753" t="str">
            <v>Fisioterapia</v>
          </cell>
          <cell r="J753" t="str">
            <v>Máster Universitario en Fisioterapia de los Procesos del Envejecimiento: Estrategias Sociosanitarias</v>
          </cell>
          <cell r="K753" t="str">
            <v>Doctorado en Procesos del Envejecimiento: Estrategias Sociosanitarias</v>
          </cell>
          <cell r="L753" t="str">
            <v/>
          </cell>
          <cell r="M753" t="e">
            <v>#VALUE!</v>
          </cell>
          <cell r="N753" t="str">
            <v/>
          </cell>
          <cell r="O753" t="str">
            <v>CBS</v>
          </cell>
          <cell r="P753" t="str">
            <v xml:space="preserve"> </v>
          </cell>
          <cell r="Q753" t="b">
            <v>0</v>
          </cell>
          <cell r="R753"/>
          <cell r="S753"/>
          <cell r="T753" t="str">
            <v>Sin reducción</v>
          </cell>
          <cell r="U753">
            <v>0</v>
          </cell>
          <cell r="V753"/>
          <cell r="W753"/>
          <cell r="X753">
            <v>0</v>
          </cell>
          <cell r="Y753">
            <v>0</v>
          </cell>
          <cell r="Z753">
            <v>0</v>
          </cell>
          <cell r="AA753"/>
          <cell r="AB753" t="e">
            <v>#VALUE!</v>
          </cell>
          <cell r="AC753" t="str">
            <v>NO ACTIVO</v>
          </cell>
          <cell r="AD753"/>
          <cell r="AE753"/>
          <cell r="AF753">
            <v>45637</v>
          </cell>
          <cell r="AG753" t="str">
            <v>CESE DE CONTRATO</v>
          </cell>
          <cell r="AH753"/>
          <cell r="AI753" t="str">
            <v>22598350E</v>
          </cell>
        </row>
        <row r="754">
          <cell r="A754" t="str">
            <v>23863624C</v>
          </cell>
          <cell r="B754" t="str">
            <v>Moret Alcázar</v>
          </cell>
          <cell r="C754" t="str">
            <v>Rosa María</v>
          </cell>
          <cell r="D754" t="str">
            <v>Moret Alcázar, Rosa María</v>
          </cell>
          <cell r="E754" t="str">
            <v>rmoreta1@professor.universidadviu.com</v>
          </cell>
          <cell r="F754" t="str">
            <v>rmoreta1@professor.universidadviu.com</v>
          </cell>
          <cell r="G754" t="str">
            <v>NO</v>
          </cell>
          <cell r="H754" t="str">
            <v>NO</v>
          </cell>
          <cell r="I754" t="str">
            <v>Master universitario en neurociencias básicas y aplicadas</v>
          </cell>
          <cell r="J754" t="str">
            <v>Graduada en Psicologia</v>
          </cell>
          <cell r="K754" t="str">
            <v/>
          </cell>
          <cell r="L754" t="str">
            <v/>
          </cell>
          <cell r="M754" t="str">
            <v>Labour</v>
          </cell>
          <cell r="N754" t="str">
            <v>Aliño Costa, Marta</v>
          </cell>
          <cell r="O754" t="str">
            <v>CSS</v>
          </cell>
          <cell r="P754">
            <v>100</v>
          </cell>
          <cell r="Q754" t="str">
            <v>50</v>
          </cell>
          <cell r="R754"/>
          <cell r="S754"/>
          <cell r="T754" t="str">
            <v>Sin reducción</v>
          </cell>
          <cell r="U754">
            <v>0</v>
          </cell>
          <cell r="V754"/>
          <cell r="W754"/>
          <cell r="X754">
            <v>48</v>
          </cell>
          <cell r="Y754">
            <v>0</v>
          </cell>
          <cell r="Z754">
            <v>2</v>
          </cell>
          <cell r="AA754"/>
          <cell r="AB754" t="str">
            <v>Active - signed</v>
          </cell>
          <cell r="AC754" t="str">
            <v>ACTIVO</v>
          </cell>
          <cell r="AD754"/>
          <cell r="AE754"/>
          <cell r="AF754"/>
          <cell r="AG754"/>
          <cell r="AH754"/>
          <cell r="AI754" t="str">
            <v>23863624C</v>
          </cell>
        </row>
        <row r="755">
          <cell r="A755" t="str">
            <v>22586928P</v>
          </cell>
          <cell r="B755" t="str">
            <v>Moret Tatay</v>
          </cell>
          <cell r="C755" t="str">
            <v>Maria del Carmen</v>
          </cell>
          <cell r="D755" t="str">
            <v>Moret Tatay, Maria del Carmen</v>
          </cell>
          <cell r="E755" t="str">
            <v>mariadelcarmen.moret</v>
          </cell>
          <cell r="F755" t="str">
            <v>mariadelcarmen.moret@professional.universidadviu.com</v>
          </cell>
          <cell r="G755" t="str">
            <v>Yes</v>
          </cell>
          <cell r="H755" t="str">
            <v>Yes</v>
          </cell>
          <cell r="I755" t="str">
            <v>Psicología</v>
          </cell>
          <cell r="J755" t="str">
            <v>Programa Oficial de Doctorado en Matemáticas</v>
          </cell>
          <cell r="K755" t="str">
            <v/>
          </cell>
          <cell r="L755" t="str">
            <v/>
          </cell>
          <cell r="M755" t="str">
            <v>Professional</v>
          </cell>
          <cell r="N755" t="str">
            <v/>
          </cell>
          <cell r="O755" t="str">
            <v>CSS</v>
          </cell>
          <cell r="P755">
            <v>0</v>
          </cell>
          <cell r="Q755" t="str">
            <v xml:space="preserve"> </v>
          </cell>
          <cell r="R755"/>
          <cell r="S755"/>
          <cell r="T755" t="str">
            <v>Sin reducción</v>
          </cell>
          <cell r="U755">
            <v>0</v>
          </cell>
          <cell r="V755"/>
          <cell r="W755"/>
          <cell r="X755">
            <v>0</v>
          </cell>
          <cell r="Y755">
            <v>0</v>
          </cell>
          <cell r="Z755">
            <v>0</v>
          </cell>
          <cell r="AA755"/>
          <cell r="AB755" t="str">
            <v>Active - signed</v>
          </cell>
          <cell r="AC755" t="str">
            <v>ACTIVO</v>
          </cell>
          <cell r="AD755"/>
          <cell r="AE755"/>
          <cell r="AF755"/>
          <cell r="AG755"/>
          <cell r="AH755"/>
          <cell r="AI755" t="str">
            <v>22586928P</v>
          </cell>
        </row>
        <row r="756">
          <cell r="A756" t="str">
            <v>Y5731797G</v>
          </cell>
          <cell r="B756" t="str">
            <v>Morilla Rivero</v>
          </cell>
          <cell r="C756" t="str">
            <v>Loida Elizabeth</v>
          </cell>
          <cell r="D756" t="str">
            <v>Morilla Rivero, Loida Elizabeth</v>
          </cell>
          <cell r="E756" t="str">
            <v>loida.morilla@professional.universidadviu.com</v>
          </cell>
          <cell r="F756" t="str">
            <v>loida.morilla@professional.universidadviu.com</v>
          </cell>
          <cell r="G756" t="str">
            <v>Yes</v>
          </cell>
          <cell r="H756" t="str">
            <v>NO</v>
          </cell>
          <cell r="I756" t="str">
            <v>Psicología</v>
          </cell>
          <cell r="J756" t="str">
            <v>Magister Scientiarum en Psicología Clínica</v>
          </cell>
          <cell r="K756" t="str">
            <v>Doctorado en Psicología</v>
          </cell>
          <cell r="L756" t="str">
            <v/>
          </cell>
          <cell r="M756" t="str">
            <v>Professional</v>
          </cell>
          <cell r="N756" t="str">
            <v/>
          </cell>
          <cell r="O756" t="str">
            <v>CSS</v>
          </cell>
          <cell r="P756">
            <v>0</v>
          </cell>
          <cell r="Q756" t="str">
            <v xml:space="preserve"> </v>
          </cell>
          <cell r="R756"/>
          <cell r="S756"/>
          <cell r="T756" t="str">
            <v>Sin reducción</v>
          </cell>
          <cell r="U756">
            <v>0</v>
          </cell>
          <cell r="V756"/>
          <cell r="W756"/>
          <cell r="X756">
            <v>0</v>
          </cell>
          <cell r="Y756">
            <v>0</v>
          </cell>
          <cell r="Z756">
            <v>0</v>
          </cell>
          <cell r="AA756"/>
          <cell r="AB756" t="str">
            <v>Active - signed</v>
          </cell>
          <cell r="AC756" t="str">
            <v>ACTIVO</v>
          </cell>
          <cell r="AD756"/>
          <cell r="AE756"/>
          <cell r="AF756"/>
          <cell r="AG756"/>
          <cell r="AH756"/>
          <cell r="AI756" t="str">
            <v>Y5731797G</v>
          </cell>
        </row>
        <row r="757">
          <cell r="A757" t="str">
            <v>21514783P</v>
          </cell>
          <cell r="B757" t="str">
            <v>Moyano Gómez</v>
          </cell>
          <cell r="C757" t="str">
            <v>Ana</v>
          </cell>
          <cell r="D757" t="str">
            <v>Moyano Gómez, Ana</v>
          </cell>
          <cell r="E757" t="str">
            <v>amoyanog@professor.universidadviu.com</v>
          </cell>
          <cell r="F757" t="str">
            <v>amoyanog@professor.universidadviu.com</v>
          </cell>
          <cell r="G757" t="str">
            <v>NO</v>
          </cell>
          <cell r="H757" t="str">
            <v>NO</v>
          </cell>
          <cell r="I757" t="str">
            <v>Máster Universitario en Formación del Profesorado de Educación Secundaria Obligatoria y Bachillerato, FP y Enseñanza de Idiomas (Orientación Educativa)</v>
          </cell>
          <cell r="J757" t="str">
            <v>Máster Universitario en Dirección y Gestión de Centros Educativos</v>
          </cell>
          <cell r="K757" t="str">
            <v>Máster Universitario en Neuropsicología y Educación</v>
          </cell>
          <cell r="L757" t="str">
            <v>Licenciatura en Psicología</v>
          </cell>
          <cell r="M757" t="str">
            <v>Labour</v>
          </cell>
          <cell r="N757" t="str">
            <v>Consultar a Educación</v>
          </cell>
          <cell r="O757" t="str">
            <v>CSS</v>
          </cell>
          <cell r="P757">
            <v>100</v>
          </cell>
          <cell r="Q757" t="str">
            <v>50</v>
          </cell>
          <cell r="R757"/>
          <cell r="S757"/>
          <cell r="T757" t="str">
            <v>Sin reducción</v>
          </cell>
          <cell r="U757">
            <v>0</v>
          </cell>
          <cell r="V757">
            <v>38</v>
          </cell>
          <cell r="W757" t="str">
            <v>EDUCACIÓN</v>
          </cell>
          <cell r="X757">
            <v>12</v>
          </cell>
          <cell r="Y757">
            <v>0</v>
          </cell>
          <cell r="Z757">
            <v>0</v>
          </cell>
          <cell r="AA757"/>
          <cell r="AB757" t="str">
            <v>Active - signed</v>
          </cell>
          <cell r="AC757" t="str">
            <v>ACTIVO</v>
          </cell>
          <cell r="AD757"/>
          <cell r="AE757"/>
          <cell r="AF757"/>
          <cell r="AG757"/>
          <cell r="AH757"/>
          <cell r="AI757" t="str">
            <v>21514783P</v>
          </cell>
        </row>
        <row r="758">
          <cell r="A758" t="str">
            <v>18993905E</v>
          </cell>
          <cell r="B758" t="str">
            <v>Muiños Durán</v>
          </cell>
          <cell r="C758" t="str">
            <v>Mónica</v>
          </cell>
          <cell r="D758" t="str">
            <v>Muiños Durán, Mónica</v>
          </cell>
          <cell r="E758" t="str">
            <v>monica.muinos</v>
          </cell>
          <cell r="F758" t="str">
            <v>monica.muinos@professor.universidadviu.com</v>
          </cell>
          <cell r="G758" t="str">
            <v>Yes</v>
          </cell>
          <cell r="H758" t="str">
            <v>Yes</v>
          </cell>
          <cell r="I758" t="str">
            <v>Doctorado en Psicología</v>
          </cell>
          <cell r="J758" t="str">
            <v>Doctorado en Psicología</v>
          </cell>
          <cell r="K758" t="str">
            <v>Licenciado en Psicología</v>
          </cell>
          <cell r="L758" t="str">
            <v>Máster Universitario en Investigación en Psicología</v>
          </cell>
          <cell r="M758" t="str">
            <v>Labour</v>
          </cell>
          <cell r="N758" t="str">
            <v>Aliño Costa, Marta</v>
          </cell>
          <cell r="O758" t="str">
            <v>CSS</v>
          </cell>
          <cell r="P758">
            <v>100</v>
          </cell>
          <cell r="Q758" t="str">
            <v>50</v>
          </cell>
          <cell r="R758"/>
          <cell r="S758"/>
          <cell r="T758" t="str">
            <v>Sin reducción</v>
          </cell>
          <cell r="U758">
            <v>0</v>
          </cell>
          <cell r="V758">
            <v>20</v>
          </cell>
          <cell r="W758" t="str">
            <v>EDUCACIÓN</v>
          </cell>
          <cell r="X758">
            <v>1.8</v>
          </cell>
          <cell r="Y758">
            <v>0</v>
          </cell>
          <cell r="Z758">
            <v>0</v>
          </cell>
          <cell r="AA758"/>
          <cell r="AB758" t="str">
            <v>Active - signed</v>
          </cell>
          <cell r="AC758" t="str">
            <v>ACTIVO</v>
          </cell>
          <cell r="AD758"/>
          <cell r="AE758"/>
          <cell r="AF758"/>
          <cell r="AG758"/>
          <cell r="AH758"/>
          <cell r="AI758" t="str">
            <v>18993905E</v>
          </cell>
        </row>
        <row r="759">
          <cell r="A759" t="str">
            <v>47547086Z</v>
          </cell>
          <cell r="B759" t="str">
            <v>Mula Falcón</v>
          </cell>
          <cell r="C759" t="str">
            <v>Javier</v>
          </cell>
          <cell r="D759" t="str">
            <v>Mula Falcón, Javier</v>
          </cell>
          <cell r="E759" t="str">
            <v>jmulaf@professional.universidadviu.com</v>
          </cell>
          <cell r="F759" t="str">
            <v>jmulaf@professional.universidadviu.com</v>
          </cell>
          <cell r="G759" t="str">
            <v>Yes</v>
          </cell>
          <cell r="H759" t="str">
            <v>Yes</v>
          </cell>
          <cell r="I759" t="str">
            <v/>
          </cell>
          <cell r="J759" t="str">
            <v/>
          </cell>
          <cell r="K759" t="str">
            <v/>
          </cell>
          <cell r="L759" t="str">
            <v/>
          </cell>
          <cell r="M759" t="str">
            <v>Professional</v>
          </cell>
          <cell r="N759"/>
          <cell r="O759" t="str">
            <v>CSS</v>
          </cell>
          <cell r="P759">
            <v>0</v>
          </cell>
          <cell r="Q759" t="str">
            <v xml:space="preserve"> </v>
          </cell>
          <cell r="R759"/>
          <cell r="S759"/>
          <cell r="T759" t="str">
            <v>Sin reducción</v>
          </cell>
          <cell r="U759">
            <v>0</v>
          </cell>
          <cell r="V759"/>
          <cell r="W759"/>
          <cell r="X759">
            <v>0</v>
          </cell>
          <cell r="Y759">
            <v>0</v>
          </cell>
          <cell r="Z759">
            <v>0</v>
          </cell>
          <cell r="AA759"/>
          <cell r="AB759" t="str">
            <v>Active - signed</v>
          </cell>
          <cell r="AC759" t="str">
            <v>ACTIVO</v>
          </cell>
          <cell r="AD759"/>
          <cell r="AE759"/>
          <cell r="AF759"/>
          <cell r="AG759"/>
          <cell r="AH759"/>
          <cell r="AI759" t="str">
            <v>47547086Z</v>
          </cell>
        </row>
        <row r="760">
          <cell r="A760" t="str">
            <v>75714400X</v>
          </cell>
          <cell r="B760" t="str">
            <v>Mullor Ponce</v>
          </cell>
          <cell r="C760" t="str">
            <v>David</v>
          </cell>
          <cell r="D760" t="str">
            <v>Mullor Ponce, David</v>
          </cell>
          <cell r="E760" t="str">
            <v>david.mullor</v>
          </cell>
          <cell r="F760" t="str">
            <v>david.mullor@professor.universidadviu.com</v>
          </cell>
          <cell r="G760" t="str">
            <v>Yes</v>
          </cell>
          <cell r="H760" t="str">
            <v>NO</v>
          </cell>
          <cell r="I760" t="str">
            <v>Psicología</v>
          </cell>
          <cell r="J760" t="str">
            <v>Doctor en Psicología</v>
          </cell>
          <cell r="K760" t="str">
            <v>Experto en Terapias Contextuales o Tercera Generación</v>
          </cell>
          <cell r="L760" t="str">
            <v>Licenciado en Psicología</v>
          </cell>
          <cell r="M760" t="str">
            <v>Labour</v>
          </cell>
          <cell r="N760" t="str">
            <v>Hernández Saguar, Aida Esther</v>
          </cell>
          <cell r="O760" t="str">
            <v>CSS</v>
          </cell>
          <cell r="P760">
            <v>100</v>
          </cell>
          <cell r="Q760" t="str">
            <v>50</v>
          </cell>
          <cell r="R760"/>
          <cell r="S760"/>
          <cell r="T760" t="str">
            <v>Sin reducción</v>
          </cell>
          <cell r="U760">
            <v>0</v>
          </cell>
          <cell r="V760">
            <v>6</v>
          </cell>
          <cell r="W760" t="str">
            <v>EMPRESA</v>
          </cell>
          <cell r="X760">
            <v>46</v>
          </cell>
          <cell r="Y760">
            <v>0</v>
          </cell>
          <cell r="Z760">
            <v>0</v>
          </cell>
          <cell r="AA760"/>
          <cell r="AB760" t="str">
            <v>Active - signed</v>
          </cell>
          <cell r="AC760" t="str">
            <v>ACTIVO</v>
          </cell>
          <cell r="AD760"/>
          <cell r="AE760"/>
          <cell r="AF760"/>
          <cell r="AG760"/>
          <cell r="AH760"/>
          <cell r="AI760" t="str">
            <v>75714400X</v>
          </cell>
        </row>
        <row r="761">
          <cell r="A761" t="str">
            <v>31013944P</v>
          </cell>
          <cell r="B761" t="str">
            <v>Muñoz Castillejo</v>
          </cell>
          <cell r="C761" t="str">
            <v>Ángela</v>
          </cell>
          <cell r="D761" t="str">
            <v>Muñoz Castillejo, Ángela</v>
          </cell>
          <cell r="E761" t="str">
            <v>angela.munoz.c</v>
          </cell>
          <cell r="F761" t="str">
            <v>angela.munoz.c@professional.universidadviu.com</v>
          </cell>
          <cell r="G761" t="str">
            <v>NO</v>
          </cell>
          <cell r="H761" t="str">
            <v>NO</v>
          </cell>
          <cell r="I761" t="str">
            <v>MÁSTER EN PSICOLOGÍA GENERAL SANITARIA</v>
          </cell>
          <cell r="J761" t="str">
            <v>MÁSTER EN CIENCIAS DEL SISTEMA NERVIOSO: NEURORREH</v>
          </cell>
          <cell r="K761" t="str">
            <v/>
          </cell>
          <cell r="L761" t="str">
            <v/>
          </cell>
          <cell r="M761" t="str">
            <v>Professional</v>
          </cell>
          <cell r="N761" t="str">
            <v/>
          </cell>
          <cell r="O761" t="str">
            <v>CSS</v>
          </cell>
          <cell r="P761">
            <v>0</v>
          </cell>
          <cell r="Q761" t="str">
            <v xml:space="preserve"> </v>
          </cell>
          <cell r="R761"/>
          <cell r="S761"/>
          <cell r="T761" t="str">
            <v>Sin reducción</v>
          </cell>
          <cell r="U761">
            <v>0</v>
          </cell>
          <cell r="V761"/>
          <cell r="W761"/>
          <cell r="X761">
            <v>0</v>
          </cell>
          <cell r="Y761">
            <v>0</v>
          </cell>
          <cell r="Z761">
            <v>0</v>
          </cell>
          <cell r="AA761"/>
          <cell r="AB761" t="str">
            <v>Active - signed</v>
          </cell>
          <cell r="AC761" t="str">
            <v>ACTIVO</v>
          </cell>
          <cell r="AD761"/>
          <cell r="AE761"/>
          <cell r="AF761"/>
          <cell r="AG761"/>
          <cell r="AH761"/>
          <cell r="AI761" t="str">
            <v>31013944P</v>
          </cell>
        </row>
        <row r="762">
          <cell r="A762" t="str">
            <v>44864003L</v>
          </cell>
          <cell r="B762" t="str">
            <v>Muñoz Cortés</v>
          </cell>
          <cell r="C762" t="str">
            <v>Rubén</v>
          </cell>
          <cell r="D762" t="str">
            <v>Muñoz Cortés, Rubén</v>
          </cell>
          <cell r="E762" t="str">
            <v>ruben.munoz0</v>
          </cell>
          <cell r="F762" t="str">
            <v>ruben.munoz0@professional.universidadviu.com</v>
          </cell>
          <cell r="G762" t="str">
            <v>Yes</v>
          </cell>
          <cell r="H762" t="str">
            <v>NO</v>
          </cell>
          <cell r="I762" t="str">
            <v>Psicología</v>
          </cell>
          <cell r="J762" t="str">
            <v>Máster universitario en neuropsicologia</v>
          </cell>
          <cell r="K762" t="str">
            <v>Master en Psicologia Analítica</v>
          </cell>
          <cell r="L762" t="str">
            <v>Master en Psicologia Clinica</v>
          </cell>
          <cell r="M762" t="str">
            <v>Professional</v>
          </cell>
          <cell r="N762" t="str">
            <v/>
          </cell>
          <cell r="O762" t="str">
            <v>CSS</v>
          </cell>
          <cell r="P762">
            <v>0</v>
          </cell>
          <cell r="Q762" t="str">
            <v xml:space="preserve"> </v>
          </cell>
          <cell r="R762"/>
          <cell r="S762"/>
          <cell r="T762" t="str">
            <v>Sin reducción</v>
          </cell>
          <cell r="U762">
            <v>0</v>
          </cell>
          <cell r="V762"/>
          <cell r="W762"/>
          <cell r="X762">
            <v>0</v>
          </cell>
          <cell r="Y762">
            <v>0</v>
          </cell>
          <cell r="Z762">
            <v>0</v>
          </cell>
          <cell r="AA762"/>
          <cell r="AB762" t="str">
            <v>Concluded</v>
          </cell>
          <cell r="AC762" t="str">
            <v>NO ACTIVO</v>
          </cell>
          <cell r="AD762"/>
          <cell r="AE762"/>
          <cell r="AF762">
            <v>45254</v>
          </cell>
          <cell r="AG762" t="str">
            <v>CESE DE CONTRATO</v>
          </cell>
          <cell r="AH762"/>
          <cell r="AI762" t="str">
            <v>44864003L</v>
          </cell>
        </row>
        <row r="763">
          <cell r="A763" t="str">
            <v>44044199G</v>
          </cell>
          <cell r="B763" t="str">
            <v>Muñoz González</v>
          </cell>
          <cell r="C763" t="str">
            <v>María Dolores</v>
          </cell>
          <cell r="D763" t="str">
            <v>Muñoz González, María Dolores</v>
          </cell>
          <cell r="E763" t="str">
            <v>mmunozg@professional.universidadviu.com</v>
          </cell>
          <cell r="F763" t="str">
            <v>mmunozg@professional.universidadviu.com</v>
          </cell>
          <cell r="G763" t="str">
            <v>NO</v>
          </cell>
          <cell r="H763" t="str">
            <v>NO</v>
          </cell>
          <cell r="I763" t="str">
            <v>Magister Universitario Psicología Clínica y de la Salud</v>
          </cell>
          <cell r="J763" t="str">
            <v>Licenciada en Psicología</v>
          </cell>
          <cell r="K763" t="str">
            <v/>
          </cell>
          <cell r="L763" t="str">
            <v/>
          </cell>
          <cell r="M763" t="str">
            <v>Professional</v>
          </cell>
          <cell r="N763" t="str">
            <v/>
          </cell>
          <cell r="O763" t="str">
            <v>CSS</v>
          </cell>
          <cell r="P763">
            <v>0</v>
          </cell>
          <cell r="Q763" t="str">
            <v xml:space="preserve"> </v>
          </cell>
          <cell r="R763"/>
          <cell r="S763"/>
          <cell r="T763" t="str">
            <v>Sin reducción</v>
          </cell>
          <cell r="U763">
            <v>0</v>
          </cell>
          <cell r="V763"/>
          <cell r="W763"/>
          <cell r="X763">
            <v>0</v>
          </cell>
          <cell r="Y763">
            <v>0</v>
          </cell>
          <cell r="Z763">
            <v>0</v>
          </cell>
          <cell r="AA763"/>
          <cell r="AB763" t="str">
            <v>Active - signed</v>
          </cell>
          <cell r="AC763" t="str">
            <v>ACTIVO</v>
          </cell>
          <cell r="AD763"/>
          <cell r="AE763"/>
          <cell r="AF763"/>
          <cell r="AG763"/>
          <cell r="AH763"/>
          <cell r="AI763" t="str">
            <v>44044199G</v>
          </cell>
        </row>
        <row r="764">
          <cell r="A764" t="str">
            <v>75121184X</v>
          </cell>
          <cell r="B764" t="str">
            <v>Muñoz Ladrón de Guevara</v>
          </cell>
          <cell r="C764" t="str">
            <v>Cristina</v>
          </cell>
          <cell r="D764" t="str">
            <v>Muñoz Ladrón de Guevara, Cristina</v>
          </cell>
          <cell r="E764" t="str">
            <v>cristina.munoz.la</v>
          </cell>
          <cell r="F764" t="str">
            <v>cristina.munoz.la@professional.universidadviu.com</v>
          </cell>
          <cell r="G764" t="str">
            <v>Yes</v>
          </cell>
          <cell r="H764" t="str">
            <v>Yes</v>
          </cell>
          <cell r="I764" t="str">
            <v>Programa de Doctorado en Psicología</v>
          </cell>
          <cell r="J764" t="str">
            <v/>
          </cell>
          <cell r="K764" t="str">
            <v/>
          </cell>
          <cell r="L764" t="str">
            <v/>
          </cell>
          <cell r="M764" t="str">
            <v>Professional</v>
          </cell>
          <cell r="N764" t="str">
            <v/>
          </cell>
          <cell r="O764" t="str">
            <v>CSS</v>
          </cell>
          <cell r="P764">
            <v>0</v>
          </cell>
          <cell r="Q764" t="str">
            <v xml:space="preserve"> </v>
          </cell>
          <cell r="R764"/>
          <cell r="S764"/>
          <cell r="T764" t="str">
            <v>Sin reducción</v>
          </cell>
          <cell r="U764">
            <v>0</v>
          </cell>
          <cell r="V764"/>
          <cell r="W764"/>
          <cell r="X764">
            <v>0</v>
          </cell>
          <cell r="Y764">
            <v>0</v>
          </cell>
          <cell r="Z764">
            <v>0</v>
          </cell>
          <cell r="AA764"/>
          <cell r="AB764" t="str">
            <v>Active - signed</v>
          </cell>
          <cell r="AC764" t="str">
            <v>ACTIVO</v>
          </cell>
          <cell r="AD764"/>
          <cell r="AE764"/>
          <cell r="AF764"/>
          <cell r="AG764"/>
          <cell r="AH764"/>
          <cell r="AI764" t="str">
            <v>75121184X</v>
          </cell>
        </row>
        <row r="765">
          <cell r="A765" t="str">
            <v>22590555R</v>
          </cell>
          <cell r="B765" t="str">
            <v>Muñoz Miguel</v>
          </cell>
          <cell r="C765" t="str">
            <v>Julio</v>
          </cell>
          <cell r="D765" t="str">
            <v>Muñoz Miguel, Julio</v>
          </cell>
          <cell r="E765" t="str">
            <v>julio.munoz</v>
          </cell>
          <cell r="F765" t="str">
            <v>julio.munoz@professor.universidadviu.com</v>
          </cell>
          <cell r="G765" t="str">
            <v>NO</v>
          </cell>
          <cell r="H765" t="str">
            <v>NO</v>
          </cell>
          <cell r="I765" t="str">
            <v>Medicina</v>
          </cell>
          <cell r="J765" t="str">
            <v/>
          </cell>
          <cell r="K765" t="str">
            <v/>
          </cell>
          <cell r="L765" t="str">
            <v/>
          </cell>
          <cell r="M765" t="str">
            <v>Labour</v>
          </cell>
          <cell r="N765" t="str">
            <v/>
          </cell>
          <cell r="O765" t="str">
            <v>CBS</v>
          </cell>
          <cell r="P765" t="str">
            <v>30,00</v>
          </cell>
          <cell r="Q765" t="b">
            <v>0</v>
          </cell>
          <cell r="R765"/>
          <cell r="S765"/>
          <cell r="T765" t="str">
            <v>Sin reducción</v>
          </cell>
          <cell r="U765">
            <v>0</v>
          </cell>
          <cell r="V765"/>
          <cell r="W765"/>
          <cell r="X765">
            <v>0</v>
          </cell>
          <cell r="Y765">
            <v>0</v>
          </cell>
          <cell r="Z765">
            <v>0</v>
          </cell>
          <cell r="AA765"/>
          <cell r="AB765" t="str">
            <v>Concluded</v>
          </cell>
          <cell r="AC765" t="str">
            <v>ACTIVO</v>
          </cell>
          <cell r="AD765">
            <v>45184</v>
          </cell>
          <cell r="AE765">
            <v>45915</v>
          </cell>
          <cell r="AF765"/>
          <cell r="AG765" t="str">
            <v>EXCEDENCIA</v>
          </cell>
          <cell r="AH765"/>
          <cell r="AI765" t="str">
            <v>22590555R</v>
          </cell>
        </row>
        <row r="766">
          <cell r="A766" t="str">
            <v>53701269H</v>
          </cell>
          <cell r="B766" t="str">
            <v>Muñoz Pozo</v>
          </cell>
          <cell r="C766" t="str">
            <v>Adrián</v>
          </cell>
          <cell r="D766" t="str">
            <v>Muñoz Pozo, Adrián</v>
          </cell>
          <cell r="E766" t="str">
            <v>adrian.munoz</v>
          </cell>
          <cell r="F766" t="str">
            <v>adrian.munoz@professional.universidadviu.com</v>
          </cell>
          <cell r="G766" t="str">
            <v>NO</v>
          </cell>
          <cell r="H766" t="str">
            <v>NO</v>
          </cell>
          <cell r="I766" t="str">
            <v>Psicología</v>
          </cell>
          <cell r="J766" t="str">
            <v>Máster universitario en Investigación en Actividad Física y Deporte</v>
          </cell>
          <cell r="K766" t="str">
            <v/>
          </cell>
          <cell r="L766" t="str">
            <v/>
          </cell>
          <cell r="M766" t="str">
            <v>Professional</v>
          </cell>
          <cell r="N766" t="str">
            <v/>
          </cell>
          <cell r="O766" t="str">
            <v>CSS</v>
          </cell>
          <cell r="P766">
            <v>0</v>
          </cell>
          <cell r="Q766" t="str">
            <v xml:space="preserve"> </v>
          </cell>
          <cell r="R766"/>
          <cell r="S766"/>
          <cell r="T766" t="str">
            <v>Sin reducción</v>
          </cell>
          <cell r="U766">
            <v>0</v>
          </cell>
          <cell r="V766"/>
          <cell r="W766"/>
          <cell r="X766">
            <v>0</v>
          </cell>
          <cell r="Y766">
            <v>0</v>
          </cell>
          <cell r="Z766">
            <v>0</v>
          </cell>
          <cell r="AA766"/>
          <cell r="AB766" t="str">
            <v>Active - signed</v>
          </cell>
          <cell r="AC766" t="str">
            <v>ACTIVO</v>
          </cell>
          <cell r="AD766"/>
          <cell r="AE766"/>
          <cell r="AF766"/>
          <cell r="AG766"/>
          <cell r="AH766"/>
          <cell r="AI766" t="str">
            <v>53701269H</v>
          </cell>
        </row>
        <row r="767">
          <cell r="A767" t="str">
            <v>76042816D</v>
          </cell>
          <cell r="B767" t="str">
            <v>Muñoz Rodríguez</v>
          </cell>
          <cell r="C767" t="str">
            <v>Paula</v>
          </cell>
          <cell r="D767" t="str">
            <v>Muñoz Rodríguez, Paula</v>
          </cell>
          <cell r="E767" t="str">
            <v>pmunozr@professor.universidadviu.com</v>
          </cell>
          <cell r="F767" t="str">
            <v>pmunozr@professor.universidadviu.com</v>
          </cell>
          <cell r="G767" t="str">
            <v>Yes</v>
          </cell>
          <cell r="H767" t="str">
            <v>No</v>
          </cell>
          <cell r="I767" t="str">
            <v/>
          </cell>
          <cell r="J767" t="str">
            <v/>
          </cell>
          <cell r="K767" t="str">
            <v/>
          </cell>
          <cell r="L767" t="str">
            <v/>
          </cell>
          <cell r="M767" t="str">
            <v>Labour</v>
          </cell>
          <cell r="N767"/>
          <cell r="O767" t="str">
            <v>CSS</v>
          </cell>
          <cell r="P767">
            <v>50</v>
          </cell>
          <cell r="Q767" t="str">
            <v>38</v>
          </cell>
          <cell r="R767"/>
          <cell r="S767"/>
          <cell r="T767" t="str">
            <v>Sin reducción</v>
          </cell>
          <cell r="U767">
            <v>0</v>
          </cell>
          <cell r="V767">
            <v>6</v>
          </cell>
          <cell r="W767" t="str">
            <v>EMPRESA</v>
          </cell>
          <cell r="X767">
            <v>37.5</v>
          </cell>
          <cell r="Y767">
            <v>0</v>
          </cell>
          <cell r="Z767">
            <v>0</v>
          </cell>
          <cell r="AA767"/>
          <cell r="AB767" t="str">
            <v>Active - signed</v>
          </cell>
          <cell r="AC767" t="str">
            <v>ACTIVO</v>
          </cell>
          <cell r="AD767"/>
          <cell r="AE767"/>
          <cell r="AF767"/>
          <cell r="AG767"/>
          <cell r="AH767"/>
          <cell r="AI767" t="str">
            <v>76042816D</v>
          </cell>
        </row>
        <row r="768">
          <cell r="A768" t="str">
            <v>44118059B</v>
          </cell>
          <cell r="B768" t="str">
            <v>Muresan Oltean</v>
          </cell>
          <cell r="C768" t="str">
            <v>Bianca Tabita</v>
          </cell>
          <cell r="D768" t="str">
            <v>Muresan Oltean, Bianca Tabita</v>
          </cell>
          <cell r="E768" t="str">
            <v>bmuresan@professor.universidadviu.com</v>
          </cell>
          <cell r="F768" t="str">
            <v>bmuresan@professor.universidadviu.com</v>
          </cell>
          <cell r="G768" t="str">
            <v>Yes</v>
          </cell>
          <cell r="H768" t="str">
            <v>NO</v>
          </cell>
          <cell r="I768" t="str">
            <v>Nutrición y Dietética</v>
          </cell>
          <cell r="J768" t="str">
            <v>Programa de Doctorado en Medicina</v>
          </cell>
          <cell r="K768" t="str">
            <v>Máster Universitario en Nutrición Personalizada y Comunitaria</v>
          </cell>
          <cell r="L768" t="str">
            <v/>
          </cell>
          <cell r="M768" t="str">
            <v>Professional</v>
          </cell>
          <cell r="N768" t="str">
            <v>Morell Esteve, Pere</v>
          </cell>
          <cell r="O768" t="str">
            <v>CBS</v>
          </cell>
          <cell r="P768">
            <v>0</v>
          </cell>
          <cell r="Q768" t="str">
            <v xml:space="preserve"> </v>
          </cell>
          <cell r="R768"/>
          <cell r="S768"/>
          <cell r="T768" t="str">
            <v>Sin reducción</v>
          </cell>
          <cell r="U768">
            <v>0</v>
          </cell>
          <cell r="V768"/>
          <cell r="W768"/>
          <cell r="X768">
            <v>0</v>
          </cell>
          <cell r="Y768">
            <v>0</v>
          </cell>
          <cell r="Z768">
            <v>0</v>
          </cell>
          <cell r="AA768"/>
          <cell r="AB768" t="str">
            <v>Concluded</v>
          </cell>
          <cell r="AC768" t="str">
            <v>ACTIVO</v>
          </cell>
          <cell r="AD768"/>
          <cell r="AE768"/>
          <cell r="AF768"/>
          <cell r="AG768"/>
          <cell r="AH768"/>
          <cell r="AI768" t="str">
            <v>44118059B</v>
          </cell>
        </row>
        <row r="769">
          <cell r="A769" t="str">
            <v>72933900A</v>
          </cell>
          <cell r="B769" t="str">
            <v>Murillo García</v>
          </cell>
          <cell r="C769" t="str">
            <v>Nancy</v>
          </cell>
          <cell r="D769" t="str">
            <v>Murillo García, Nancy</v>
          </cell>
          <cell r="E769" t="str">
            <v>nmurillog@professor.universidadviu.com</v>
          </cell>
          <cell r="F769" t="str">
            <v>nmurillog@professor.universidadviu.com</v>
          </cell>
          <cell r="G769" t="str">
            <v>Yes</v>
          </cell>
          <cell r="H769" t="str">
            <v>NO</v>
          </cell>
          <cell r="I769" t="str">
            <v>Programa de doctorado en Biología Molecular y biomedicina</v>
          </cell>
          <cell r="J769" t="str">
            <v>Programa de doctorado en Biología Molecular y biomedicina</v>
          </cell>
          <cell r="K769" t="str">
            <v>Máster en Neuropsicología</v>
          </cell>
          <cell r="L769" t="str">
            <v>Grado en Psicología</v>
          </cell>
          <cell r="M769" t="str">
            <v>Labour</v>
          </cell>
          <cell r="N769" t="str">
            <v>Aliño Costa, Marta</v>
          </cell>
          <cell r="O769" t="str">
            <v>CSS</v>
          </cell>
          <cell r="P769">
            <v>100</v>
          </cell>
          <cell r="Q769" t="str">
            <v>50</v>
          </cell>
          <cell r="R769"/>
          <cell r="S769"/>
          <cell r="T769" t="str">
            <v>Sin reducción</v>
          </cell>
          <cell r="U769">
            <v>0</v>
          </cell>
          <cell r="V769"/>
          <cell r="W769"/>
          <cell r="X769">
            <v>43.8</v>
          </cell>
          <cell r="Y769">
            <v>0</v>
          </cell>
          <cell r="Z769">
            <v>0</v>
          </cell>
          <cell r="AA769"/>
          <cell r="AB769" t="str">
            <v>Active - signed</v>
          </cell>
          <cell r="AC769" t="str">
            <v>ACTIVO</v>
          </cell>
          <cell r="AD769"/>
          <cell r="AE769"/>
          <cell r="AF769"/>
          <cell r="AG769"/>
          <cell r="AH769"/>
          <cell r="AI769" t="str">
            <v>72933900A</v>
          </cell>
        </row>
        <row r="770">
          <cell r="A770" t="str">
            <v>16616667H</v>
          </cell>
          <cell r="B770" t="str">
            <v>Muro Pérez Aradros</v>
          </cell>
          <cell r="C770" t="str">
            <v>Cecilia</v>
          </cell>
          <cell r="D770" t="str">
            <v>Muro Pérez Aradros, Cecilia</v>
          </cell>
          <cell r="E770" t="str">
            <v>cecilia.muro@professor.universidadviu.com</v>
          </cell>
          <cell r="F770" t="str">
            <v>cecilia.muro@professor.universidadviu.com</v>
          </cell>
          <cell r="G770" t="str">
            <v>Yes</v>
          </cell>
          <cell r="H770" t="str">
            <v>NO</v>
          </cell>
          <cell r="I770" t="str">
            <v>Doctorado en psicogerontologia</v>
          </cell>
          <cell r="J770" t="str">
            <v>Master universitario en psicogerontologia</v>
          </cell>
          <cell r="K770" t="str">
            <v/>
          </cell>
          <cell r="L770" t="str">
            <v/>
          </cell>
          <cell r="M770" t="str">
            <v>Labour</v>
          </cell>
          <cell r="N770" t="str">
            <v/>
          </cell>
          <cell r="O770" t="str">
            <v>CSS</v>
          </cell>
          <cell r="P770">
            <v>100</v>
          </cell>
          <cell r="Q770" t="str">
            <v>50</v>
          </cell>
          <cell r="R770" t="str">
            <v>Ampliación febrero</v>
          </cell>
          <cell r="S770"/>
          <cell r="T770" t="str">
            <v>Sin reducción</v>
          </cell>
          <cell r="U770">
            <v>0</v>
          </cell>
          <cell r="V770"/>
          <cell r="W770"/>
          <cell r="X770">
            <v>38.799999999999997</v>
          </cell>
          <cell r="Y770">
            <v>0</v>
          </cell>
          <cell r="Z770">
            <v>10.1</v>
          </cell>
          <cell r="AA770"/>
          <cell r="AB770" t="str">
            <v>Active - signed</v>
          </cell>
          <cell r="AC770" t="str">
            <v>ACTIVO</v>
          </cell>
          <cell r="AD770"/>
          <cell r="AE770"/>
          <cell r="AF770"/>
          <cell r="AG770"/>
          <cell r="AH770"/>
          <cell r="AI770" t="str">
            <v>16616667H</v>
          </cell>
        </row>
        <row r="771">
          <cell r="A771" t="str">
            <v>X7912578A</v>
          </cell>
          <cell r="B771" t="str">
            <v>Murray</v>
          </cell>
          <cell r="C771" t="str">
            <v>Johari</v>
          </cell>
          <cell r="D771" t="str">
            <v>Murray, Johari</v>
          </cell>
          <cell r="E771" t="str">
            <v>jmurray@professional.universidadviu.com</v>
          </cell>
          <cell r="F771" t="str">
            <v>jmurray@professional.universidadviu.com</v>
          </cell>
          <cell r="G771" t="str">
            <v>Yes</v>
          </cell>
          <cell r="H771" t="str">
            <v>NO</v>
          </cell>
          <cell r="I771" t="str">
            <v>DIVERSIDAD, SUBJETIVIDAD Y SOCIALIZACIÓN. ESTUDIOS EN ANTROPOLOGÍA SOCIAL, HISTORIA DE LA PSICOLOGÍA Y DE LA EDUCACIÓN</v>
          </cell>
          <cell r="J771" t="str">
            <v>MASTER OF ARTS</v>
          </cell>
          <cell r="K771" t="str">
            <v>BACHELOR OF ARTS</v>
          </cell>
          <cell r="L771" t="str">
            <v/>
          </cell>
          <cell r="M771" t="str">
            <v>Labour</v>
          </cell>
          <cell r="N771" t="str">
            <v>Consultar a Educación</v>
          </cell>
          <cell r="O771" t="str">
            <v>CSS</v>
          </cell>
          <cell r="P771">
            <v>100</v>
          </cell>
          <cell r="Q771" t="str">
            <v>50</v>
          </cell>
          <cell r="R771" t="str">
            <v>Laboralización educación</v>
          </cell>
          <cell r="S771"/>
          <cell r="T771" t="str">
            <v>Sin reducción</v>
          </cell>
          <cell r="U771">
            <v>0</v>
          </cell>
          <cell r="V771">
            <v>39</v>
          </cell>
          <cell r="W771" t="str">
            <v>EDUCACIÓN</v>
          </cell>
          <cell r="X771">
            <v>12</v>
          </cell>
          <cell r="Y771">
            <v>0</v>
          </cell>
          <cell r="Z771">
            <v>0</v>
          </cell>
          <cell r="AA771"/>
          <cell r="AB771" t="str">
            <v>Active - signed</v>
          </cell>
          <cell r="AC771" t="str">
            <v>ACTIVO</v>
          </cell>
          <cell r="AD771"/>
          <cell r="AE771"/>
          <cell r="AF771"/>
          <cell r="AG771"/>
          <cell r="AH771" t="str">
            <v>PTE. LABORALIZACIÓN/ PROPUESTA LABORAL</v>
          </cell>
          <cell r="AI771" t="str">
            <v>X7912578A</v>
          </cell>
        </row>
        <row r="772">
          <cell r="A772" t="str">
            <v>Y7508382T</v>
          </cell>
          <cell r="B772" t="str">
            <v>Musullulu -</v>
          </cell>
          <cell r="C772" t="str">
            <v>Hande</v>
          </cell>
          <cell r="D772" t="str">
            <v>Musullulu -, Hande</v>
          </cell>
          <cell r="E772" t="str">
            <v>hmusullulu@professional.universidadviu.com</v>
          </cell>
          <cell r="F772" t="str">
            <v>hmusullulu@professional.universidadviu.com</v>
          </cell>
          <cell r="G772" t="str">
            <v>Yes</v>
          </cell>
          <cell r="H772" t="str">
            <v>NO</v>
          </cell>
          <cell r="I772" t="str">
            <v>Doctorado en Educación y Psicología</v>
          </cell>
          <cell r="J772" t="str">
            <v>Master en Ciencias de mente y cerebro</v>
          </cell>
          <cell r="K772" t="str">
            <v>Licenciada en Psciología</v>
          </cell>
          <cell r="L772" t="str">
            <v/>
          </cell>
          <cell r="M772" t="str">
            <v>Professional</v>
          </cell>
          <cell r="N772" t="str">
            <v/>
          </cell>
          <cell r="O772" t="str">
            <v>CSS</v>
          </cell>
          <cell r="P772">
            <v>0</v>
          </cell>
          <cell r="Q772" t="str">
            <v xml:space="preserve"> </v>
          </cell>
          <cell r="R772"/>
          <cell r="S772"/>
          <cell r="T772" t="str">
            <v>Sin reducción</v>
          </cell>
          <cell r="U772">
            <v>0</v>
          </cell>
          <cell r="V772"/>
          <cell r="W772"/>
          <cell r="X772">
            <v>0</v>
          </cell>
          <cell r="Y772">
            <v>0</v>
          </cell>
          <cell r="Z772">
            <v>0</v>
          </cell>
          <cell r="AA772"/>
          <cell r="AB772" t="str">
            <v>Active - signed</v>
          </cell>
          <cell r="AC772" t="str">
            <v>ACTIVO</v>
          </cell>
          <cell r="AD772"/>
          <cell r="AE772"/>
          <cell r="AF772"/>
          <cell r="AG772"/>
          <cell r="AH772"/>
          <cell r="AI772" t="str">
            <v>Y7508382T</v>
          </cell>
        </row>
        <row r="773">
          <cell r="A773" t="str">
            <v>19895171X</v>
          </cell>
          <cell r="B773" t="str">
            <v>Mut Ronda</v>
          </cell>
          <cell r="C773" t="str">
            <v>Salvador</v>
          </cell>
          <cell r="D773" t="str">
            <v>Mut Ronda, Salvador</v>
          </cell>
          <cell r="E773" t="str">
            <v>salvador.mut</v>
          </cell>
          <cell r="F773" t="str">
            <v>salvador.mut@professor.universidadviu.com</v>
          </cell>
          <cell r="G773" t="str">
            <v>Yes</v>
          </cell>
          <cell r="H773" t="str">
            <v>NO</v>
          </cell>
          <cell r="I773" t="str">
            <v>Doctorado</v>
          </cell>
          <cell r="J773" t="str">
            <v>Doctorado</v>
          </cell>
          <cell r="K773" t="str">
            <v>Licenciado en Farmacia</v>
          </cell>
          <cell r="L773" t="str">
            <v/>
          </cell>
          <cell r="M773" t="str">
            <v>Labour</v>
          </cell>
          <cell r="N773" t="str">
            <v>García Tejedor, Aurora</v>
          </cell>
          <cell r="O773" t="str">
            <v>CBS</v>
          </cell>
          <cell r="P773">
            <v>100</v>
          </cell>
          <cell r="Q773" t="str">
            <v>50</v>
          </cell>
          <cell r="R773"/>
          <cell r="S773"/>
          <cell r="T773" t="str">
            <v>Dirección de título Máster Universitario - 2 ediciones</v>
          </cell>
          <cell r="U773">
            <v>38</v>
          </cell>
          <cell r="V773"/>
          <cell r="W773"/>
          <cell r="X773">
            <v>0</v>
          </cell>
          <cell r="Y773">
            <v>11.6</v>
          </cell>
          <cell r="Z773">
            <v>11.6</v>
          </cell>
          <cell r="AA773"/>
          <cell r="AB773" t="str">
            <v>Active - signed</v>
          </cell>
          <cell r="AC773" t="str">
            <v>ACTIVO</v>
          </cell>
          <cell r="AD773"/>
          <cell r="AE773"/>
          <cell r="AF773"/>
          <cell r="AG773"/>
          <cell r="AH773"/>
          <cell r="AI773" t="str">
            <v>19895171X</v>
          </cell>
        </row>
        <row r="774">
          <cell r="A774" t="str">
            <v>79043298a</v>
          </cell>
          <cell r="B774" t="str">
            <v>Múzquiz Arias</v>
          </cell>
          <cell r="C774" t="str">
            <v>Mónica</v>
          </cell>
          <cell r="D774" t="str">
            <v>Múzquiz Arias, Mónica</v>
          </cell>
          <cell r="E774" t="str">
            <v>mmuzquiza@professor.universidadviu.com</v>
          </cell>
          <cell r="F774" t="str">
            <v>mmuzquiza@professor.universidadviu.com</v>
          </cell>
          <cell r="G774" t="str">
            <v>Yes</v>
          </cell>
          <cell r="H774" t="str">
            <v>NO</v>
          </cell>
          <cell r="I774" t="str">
            <v>Doctorado en Psicología</v>
          </cell>
          <cell r="J774" t="str">
            <v>Máster en Psicoterapia Sistémica</v>
          </cell>
          <cell r="K774" t="str">
            <v>Licenciatura en Psicología</v>
          </cell>
          <cell r="L774" t="str">
            <v/>
          </cell>
          <cell r="M774" t="str">
            <v>Labour</v>
          </cell>
          <cell r="N774"/>
          <cell r="O774" t="str">
            <v>CSS</v>
          </cell>
          <cell r="P774" t="str">
            <v>40,00</v>
          </cell>
          <cell r="Q774" t="b">
            <v>0</v>
          </cell>
          <cell r="R774"/>
          <cell r="S774"/>
          <cell r="T774" t="str">
            <v>Sin reducción</v>
          </cell>
          <cell r="U774">
            <v>0</v>
          </cell>
          <cell r="V774"/>
          <cell r="W774"/>
          <cell r="X774">
            <v>0</v>
          </cell>
          <cell r="Y774">
            <v>0</v>
          </cell>
          <cell r="Z774">
            <v>0</v>
          </cell>
          <cell r="AA774"/>
          <cell r="AB774" t="str">
            <v>Decoupling</v>
          </cell>
          <cell r="AC774" t="str">
            <v>NO ACTIVO</v>
          </cell>
          <cell r="AD774"/>
          <cell r="AE774"/>
          <cell r="AF774">
            <v>45477</v>
          </cell>
          <cell r="AG774" t="str">
            <v>CESE DE CONTRATO</v>
          </cell>
          <cell r="AH774"/>
          <cell r="AI774" t="str">
            <v>79043298a</v>
          </cell>
        </row>
        <row r="775">
          <cell r="A775" t="str">
            <v>44312653w</v>
          </cell>
          <cell r="B775" t="str">
            <v>Nadal Delgado</v>
          </cell>
          <cell r="C775" t="str">
            <v>Marta</v>
          </cell>
          <cell r="D775" t="str">
            <v>Nadal Delgado, Marta</v>
          </cell>
          <cell r="E775" t="str">
            <v>mnadald@professional.universidadviu.com</v>
          </cell>
          <cell r="F775" t="str">
            <v>mnadald@professional.universidadviu.com</v>
          </cell>
          <cell r="G775" t="str">
            <v>Yes</v>
          </cell>
          <cell r="H775" t="str">
            <v>NO</v>
          </cell>
          <cell r="I775" t="str">
            <v>Biomarcadores de Salud y estados Psicológicos</v>
          </cell>
          <cell r="J775" t="str">
            <v>Licenciatura de Psicologia</v>
          </cell>
          <cell r="K775" t="str">
            <v/>
          </cell>
          <cell r="L775" t="str">
            <v/>
          </cell>
          <cell r="M775" t="str">
            <v>Professional</v>
          </cell>
          <cell r="N775" t="str">
            <v/>
          </cell>
          <cell r="O775" t="str">
            <v>CBS/CSS</v>
          </cell>
          <cell r="P775">
            <v>0</v>
          </cell>
          <cell r="Q775" t="str">
            <v xml:space="preserve"> </v>
          </cell>
          <cell r="R775"/>
          <cell r="S775"/>
          <cell r="T775" t="str">
            <v>Sin reducción</v>
          </cell>
          <cell r="U775">
            <v>0</v>
          </cell>
          <cell r="V775"/>
          <cell r="W775"/>
          <cell r="X775">
            <v>0</v>
          </cell>
          <cell r="Y775">
            <v>0</v>
          </cell>
          <cell r="Z775">
            <v>0</v>
          </cell>
          <cell r="AA775"/>
          <cell r="AB775" t="str">
            <v>Active - signed</v>
          </cell>
          <cell r="AC775" t="str">
            <v>ACTIVO</v>
          </cell>
          <cell r="AD775"/>
          <cell r="AE775"/>
          <cell r="AF775"/>
          <cell r="AG775"/>
          <cell r="AH775"/>
          <cell r="AI775" t="str">
            <v>44312653w</v>
          </cell>
        </row>
        <row r="776">
          <cell r="A776" t="str">
            <v>77925958A</v>
          </cell>
          <cell r="B776" t="str">
            <v>Naranjo Cobo</v>
          </cell>
          <cell r="C776" t="str">
            <v>Pedro</v>
          </cell>
          <cell r="D776" t="str">
            <v>Naranjo Cobo, Pedro</v>
          </cell>
          <cell r="E776" t="str">
            <v>pnaranjoc@professional.universidadviu.com</v>
          </cell>
          <cell r="F776" t="str">
            <v>pnaranjoc@professional.universidadviu.com</v>
          </cell>
          <cell r="G776" t="str">
            <v>Yes</v>
          </cell>
          <cell r="H776" t="str">
            <v>NO</v>
          </cell>
          <cell r="I776" t="str">
            <v>Doctorado en Filosofía</v>
          </cell>
          <cell r="J776" t="str">
            <v>Máster en Filosofía Teórica y Práctica</v>
          </cell>
          <cell r="K776" t="str">
            <v>Grado en Psicología</v>
          </cell>
          <cell r="L776" t="str">
            <v/>
          </cell>
          <cell r="M776" t="str">
            <v>Professional</v>
          </cell>
          <cell r="N776"/>
          <cell r="O776" t="str">
            <v>CSS</v>
          </cell>
          <cell r="P776">
            <v>0</v>
          </cell>
          <cell r="Q776" t="str">
            <v xml:space="preserve"> </v>
          </cell>
          <cell r="R776"/>
          <cell r="S776"/>
          <cell r="T776" t="str">
            <v>Sin reducción</v>
          </cell>
          <cell r="U776">
            <v>0</v>
          </cell>
          <cell r="V776"/>
          <cell r="W776"/>
          <cell r="X776">
            <v>0</v>
          </cell>
          <cell r="Y776">
            <v>0</v>
          </cell>
          <cell r="Z776">
            <v>0</v>
          </cell>
          <cell r="AA776"/>
          <cell r="AB776" t="str">
            <v>Concluded</v>
          </cell>
          <cell r="AC776" t="str">
            <v>NO ACTIVO</v>
          </cell>
          <cell r="AD776"/>
          <cell r="AE776"/>
          <cell r="AF776"/>
          <cell r="AG776" t="str">
            <v>CESE DE CONTRATO</v>
          </cell>
          <cell r="AH776"/>
          <cell r="AI776" t="str">
            <v>77925958A</v>
          </cell>
        </row>
        <row r="777">
          <cell r="A777" t="str">
            <v>48823368A</v>
          </cell>
          <cell r="B777" t="str">
            <v>Narbona González</v>
          </cell>
          <cell r="C777" t="str">
            <v>Natividad</v>
          </cell>
          <cell r="D777" t="str">
            <v>Narbona González, Natividad</v>
          </cell>
          <cell r="E777" t="str">
            <v>natividad.narbona</v>
          </cell>
          <cell r="F777" t="str">
            <v>natividad.narbona@professional.universidadviu.com</v>
          </cell>
          <cell r="G777" t="str">
            <v>Yes</v>
          </cell>
          <cell r="H777" t="str">
            <v>NO</v>
          </cell>
          <cell r="I777" t="str">
            <v>Programa de Doctorado en Neurociencias</v>
          </cell>
          <cell r="J777" t="str">
            <v>Experto Universitario en Apoyo Psicosocial al Paciente</v>
          </cell>
          <cell r="K777" t="str">
            <v>Máster Universitario en Estudios Avanzados en Cerebro y Conducta</v>
          </cell>
          <cell r="L777" t="str">
            <v>Máster en Neuropsicología clínica</v>
          </cell>
          <cell r="M777" t="str">
            <v>Professional</v>
          </cell>
          <cell r="N777" t="str">
            <v/>
          </cell>
          <cell r="O777" t="str">
            <v>CSS</v>
          </cell>
          <cell r="P777">
            <v>0</v>
          </cell>
          <cell r="Q777" t="str">
            <v xml:space="preserve"> </v>
          </cell>
          <cell r="R777"/>
          <cell r="S777"/>
          <cell r="T777" t="str">
            <v>Sin reducción</v>
          </cell>
          <cell r="U777">
            <v>0</v>
          </cell>
          <cell r="V777"/>
          <cell r="W777"/>
          <cell r="X777">
            <v>0</v>
          </cell>
          <cell r="Y777">
            <v>0</v>
          </cell>
          <cell r="Z777">
            <v>0</v>
          </cell>
          <cell r="AA777"/>
          <cell r="AB777" t="str">
            <v>Active - signed</v>
          </cell>
          <cell r="AC777" t="str">
            <v>ACTIVO</v>
          </cell>
          <cell r="AD777"/>
          <cell r="AE777"/>
          <cell r="AF777"/>
          <cell r="AG777"/>
          <cell r="AH777"/>
          <cell r="AI777" t="str">
            <v>48823368A</v>
          </cell>
        </row>
        <row r="778">
          <cell r="A778" t="str">
            <v>Y7759468H</v>
          </cell>
          <cell r="B778" t="str">
            <v>Nava Chirinos</v>
          </cell>
          <cell r="C778" t="str">
            <v>Ángel</v>
          </cell>
          <cell r="D778" t="str">
            <v>Nava Chirinos, Ángel</v>
          </cell>
          <cell r="E778" t="str">
            <v>anavac@professional.universidadviu.com</v>
          </cell>
          <cell r="F778" t="str">
            <v>anavac@professional.universidadviu.com</v>
          </cell>
          <cell r="G778" t="str">
            <v>NO</v>
          </cell>
          <cell r="H778" t="str">
            <v>NO</v>
          </cell>
          <cell r="I778" t="str">
            <v>Doctor en Ciencias Gerenciales</v>
          </cell>
          <cell r="J778" t="str">
            <v>MAESTRÍA EN GERENCIA DE RECURSOS HUMANOS</v>
          </cell>
          <cell r="K778" t="str">
            <v>licenciado en Administración. Especialeidad: Gerencia Industrial</v>
          </cell>
          <cell r="L778" t="str">
            <v/>
          </cell>
          <cell r="M778" t="str">
            <v>Professional</v>
          </cell>
          <cell r="N778"/>
          <cell r="O778" t="str">
            <v>CSS</v>
          </cell>
          <cell r="P778">
            <v>0</v>
          </cell>
          <cell r="Q778" t="str">
            <v xml:space="preserve"> </v>
          </cell>
          <cell r="R778"/>
          <cell r="S778"/>
          <cell r="T778" t="str">
            <v>Sin reducción</v>
          </cell>
          <cell r="U778">
            <v>0</v>
          </cell>
          <cell r="V778"/>
          <cell r="W778"/>
          <cell r="X778">
            <v>0</v>
          </cell>
          <cell r="Y778">
            <v>0</v>
          </cell>
          <cell r="Z778">
            <v>0</v>
          </cell>
          <cell r="AA778"/>
          <cell r="AB778" t="str">
            <v>Active - signed</v>
          </cell>
          <cell r="AC778" t="str">
            <v>ACTIVO</v>
          </cell>
          <cell r="AD778"/>
          <cell r="AE778"/>
          <cell r="AF778"/>
          <cell r="AG778"/>
          <cell r="AH778"/>
          <cell r="AI778" t="str">
            <v>Y7759468H</v>
          </cell>
        </row>
        <row r="779">
          <cell r="A779" t="str">
            <v>43987851Y</v>
          </cell>
          <cell r="B779" t="str">
            <v>Naval</v>
          </cell>
          <cell r="C779" t="str">
            <v>Julieta</v>
          </cell>
          <cell r="D779" t="str">
            <v>Naval, Julieta</v>
          </cell>
          <cell r="E779" t="str">
            <v>jnaval@professor.universidadviu.com</v>
          </cell>
          <cell r="F779" t="str">
            <v>jnaval@professor.universidadviu.com</v>
          </cell>
          <cell r="G779" t="str">
            <v>NO</v>
          </cell>
          <cell r="H779" t="str">
            <v>NO</v>
          </cell>
          <cell r="I779" t="str">
            <v/>
          </cell>
          <cell r="J779" t="str">
            <v/>
          </cell>
          <cell r="K779" t="str">
            <v/>
          </cell>
          <cell r="L779" t="str">
            <v/>
          </cell>
          <cell r="M779" t="str">
            <v>Labour</v>
          </cell>
          <cell r="N779" t="str">
            <v>Rama Galdón, Encarnación</v>
          </cell>
          <cell r="O779" t="str">
            <v>CSS</v>
          </cell>
          <cell r="P779">
            <v>100</v>
          </cell>
          <cell r="Q779" t="str">
            <v>50</v>
          </cell>
          <cell r="R779"/>
          <cell r="S779"/>
          <cell r="T779" t="str">
            <v>Sin reducción</v>
          </cell>
          <cell r="U779">
            <v>0</v>
          </cell>
          <cell r="V779"/>
          <cell r="W779"/>
          <cell r="X779">
            <v>41</v>
          </cell>
          <cell r="Y779">
            <v>0</v>
          </cell>
          <cell r="Z779">
            <v>0</v>
          </cell>
          <cell r="AA779"/>
          <cell r="AB779" t="str">
            <v>Active - signed</v>
          </cell>
          <cell r="AC779" t="str">
            <v>ACTIVO</v>
          </cell>
          <cell r="AD779"/>
          <cell r="AE779"/>
          <cell r="AF779"/>
          <cell r="AG779"/>
          <cell r="AH779"/>
          <cell r="AI779" t="str">
            <v>43987851Y</v>
          </cell>
        </row>
        <row r="780">
          <cell r="A780" t="str">
            <v>53685859H</v>
          </cell>
          <cell r="B780" t="str">
            <v>Navarro Ariza</v>
          </cell>
          <cell r="C780" t="str">
            <v>Maria Teresa</v>
          </cell>
          <cell r="D780" t="str">
            <v>Navarro Ariza, Maria Teresa</v>
          </cell>
          <cell r="E780" t="str">
            <v>mnavarroa@professional.universidadviu.com</v>
          </cell>
          <cell r="F780" t="str">
            <v>mnavarroa@professional.universidadviu.com</v>
          </cell>
          <cell r="G780" t="str">
            <v>NO</v>
          </cell>
          <cell r="H780" t="str">
            <v>NO</v>
          </cell>
          <cell r="I780" t="str">
            <v>Master universitario en Atención Temprana</v>
          </cell>
          <cell r="J780" t="str">
            <v>Licenciada en Filosofía y letras</v>
          </cell>
          <cell r="K780" t="str">
            <v/>
          </cell>
          <cell r="L780" t="str">
            <v/>
          </cell>
          <cell r="M780" t="str">
            <v>Professional</v>
          </cell>
          <cell r="N780" t="str">
            <v/>
          </cell>
          <cell r="O780" t="str">
            <v>CSS</v>
          </cell>
          <cell r="P780">
            <v>0</v>
          </cell>
          <cell r="Q780" t="str">
            <v xml:space="preserve"> </v>
          </cell>
          <cell r="R780"/>
          <cell r="S780"/>
          <cell r="T780" t="str">
            <v>Sin reducción</v>
          </cell>
          <cell r="U780">
            <v>0</v>
          </cell>
          <cell r="V780"/>
          <cell r="W780"/>
          <cell r="X780">
            <v>0</v>
          </cell>
          <cell r="Y780">
            <v>0</v>
          </cell>
          <cell r="Z780">
            <v>0</v>
          </cell>
          <cell r="AA780"/>
          <cell r="AB780" t="str">
            <v>Active - signed</v>
          </cell>
          <cell r="AC780" t="str">
            <v>ACTIVO</v>
          </cell>
          <cell r="AD780"/>
          <cell r="AE780"/>
          <cell r="AF780"/>
          <cell r="AG780"/>
          <cell r="AH780"/>
          <cell r="AI780" t="str">
            <v>53685859H</v>
          </cell>
        </row>
        <row r="781">
          <cell r="A781" t="str">
            <v>53256945P</v>
          </cell>
          <cell r="B781" t="str">
            <v>Navarro Garrido</v>
          </cell>
          <cell r="C781" t="str">
            <v>Jessica</v>
          </cell>
          <cell r="D781" t="str">
            <v>Navarro Garrido, Jessica</v>
          </cell>
          <cell r="E781" t="str">
            <v>jessica.navarro.g</v>
          </cell>
          <cell r="F781" t="str">
            <v>jessica.navarro.g@professional.universidadviu.com</v>
          </cell>
          <cell r="G781" t="str">
            <v>NO</v>
          </cell>
          <cell r="H781" t="str">
            <v>NO</v>
          </cell>
          <cell r="I781" t="str">
            <v/>
          </cell>
          <cell r="J781" t="str">
            <v/>
          </cell>
          <cell r="K781" t="str">
            <v/>
          </cell>
          <cell r="L781" t="str">
            <v/>
          </cell>
          <cell r="M781" t="str">
            <v>Professional</v>
          </cell>
          <cell r="N781" t="str">
            <v/>
          </cell>
          <cell r="O781" t="str">
            <v>CSS</v>
          </cell>
          <cell r="P781">
            <v>0</v>
          </cell>
          <cell r="Q781" t="str">
            <v xml:space="preserve"> </v>
          </cell>
          <cell r="R781"/>
          <cell r="S781"/>
          <cell r="T781" t="str">
            <v>Sin reducción</v>
          </cell>
          <cell r="U781">
            <v>0</v>
          </cell>
          <cell r="V781"/>
          <cell r="W781"/>
          <cell r="X781">
            <v>0</v>
          </cell>
          <cell r="Y781">
            <v>0</v>
          </cell>
          <cell r="Z781">
            <v>0</v>
          </cell>
          <cell r="AA781"/>
          <cell r="AB781" t="str">
            <v>Active - signed</v>
          </cell>
          <cell r="AC781" t="str">
            <v>ACTIVO</v>
          </cell>
          <cell r="AD781"/>
          <cell r="AE781"/>
          <cell r="AF781"/>
          <cell r="AG781"/>
          <cell r="AH781"/>
          <cell r="AI781" t="str">
            <v>53256945P</v>
          </cell>
        </row>
        <row r="782">
          <cell r="A782" t="str">
            <v>73544285Z</v>
          </cell>
          <cell r="B782" t="str">
            <v>Navarro Martínez</v>
          </cell>
          <cell r="C782" t="str">
            <v>María Jesús</v>
          </cell>
          <cell r="D782" t="str">
            <v>Navarro Martínez, María Jesús</v>
          </cell>
          <cell r="E782" t="str">
            <v>mariajesus.navarro</v>
          </cell>
          <cell r="F782" t="str">
            <v>mariajesus.navarro@professor.universidadviu.com</v>
          </cell>
          <cell r="G782" t="str">
            <v>NO</v>
          </cell>
          <cell r="H782" t="str">
            <v>NO</v>
          </cell>
          <cell r="I782" t="str">
            <v>Licenciatura en Derecho</v>
          </cell>
          <cell r="J782" t="str">
            <v/>
          </cell>
          <cell r="K782" t="str">
            <v/>
          </cell>
          <cell r="L782" t="str">
            <v/>
          </cell>
          <cell r="M782" t="str">
            <v>Labour</v>
          </cell>
          <cell r="N782" t="str">
            <v>Vázquez Orellana, Nuria</v>
          </cell>
          <cell r="O782" t="str">
            <v>CSS</v>
          </cell>
          <cell r="P782">
            <v>100</v>
          </cell>
          <cell r="Q782" t="str">
            <v>50</v>
          </cell>
          <cell r="R782"/>
          <cell r="S782"/>
          <cell r="T782" t="str">
            <v>Sin reducción</v>
          </cell>
          <cell r="U782">
            <v>0</v>
          </cell>
          <cell r="V782">
            <v>44</v>
          </cell>
          <cell r="W782" t="str">
            <v>JURÍDICO</v>
          </cell>
          <cell r="X782">
            <v>6</v>
          </cell>
          <cell r="Y782">
            <v>0</v>
          </cell>
          <cell r="Z782">
            <v>0</v>
          </cell>
          <cell r="AA782"/>
          <cell r="AB782" t="str">
            <v>Active - signed</v>
          </cell>
          <cell r="AC782" t="str">
            <v>ACTIVO</v>
          </cell>
          <cell r="AD782"/>
          <cell r="AE782"/>
          <cell r="AF782"/>
          <cell r="AG782"/>
          <cell r="AH782"/>
          <cell r="AI782" t="str">
            <v>73544285Z</v>
          </cell>
        </row>
        <row r="783">
          <cell r="A783" t="str">
            <v>74677667W</v>
          </cell>
          <cell r="B783" t="str">
            <v>Navarro Murcia</v>
          </cell>
          <cell r="C783" t="str">
            <v>Silvia Victoria</v>
          </cell>
          <cell r="D783" t="str">
            <v>Navarro Murcia, Silvia Victoria</v>
          </cell>
          <cell r="E783" t="str">
            <v>silvia.victoria</v>
          </cell>
          <cell r="F783" t="str">
            <v>silvia.victoria@professional.universidadviu.com</v>
          </cell>
          <cell r="G783" t="str">
            <v>Yes</v>
          </cell>
          <cell r="H783" t="str">
            <v>NO</v>
          </cell>
          <cell r="I783" t="str">
            <v>Licenciatura en Psicología</v>
          </cell>
          <cell r="J783" t="str">
            <v>Máster universitario en Salud Mental: Investigación en psiquiatría, neurotoxicologia y psicofarmacología</v>
          </cell>
          <cell r="K783" t="str">
            <v>Doctora</v>
          </cell>
          <cell r="L783" t="str">
            <v/>
          </cell>
          <cell r="M783" t="str">
            <v>Professional</v>
          </cell>
          <cell r="N783" t="str">
            <v/>
          </cell>
          <cell r="O783" t="str">
            <v>CSS</v>
          </cell>
          <cell r="P783">
            <v>0</v>
          </cell>
          <cell r="Q783" t="str">
            <v xml:space="preserve"> </v>
          </cell>
          <cell r="R783"/>
          <cell r="S783"/>
          <cell r="T783" t="str">
            <v>Sin reducción</v>
          </cell>
          <cell r="U783">
            <v>0</v>
          </cell>
          <cell r="V783"/>
          <cell r="W783"/>
          <cell r="X783">
            <v>0</v>
          </cell>
          <cell r="Y783">
            <v>0</v>
          </cell>
          <cell r="Z783">
            <v>0</v>
          </cell>
          <cell r="AA783"/>
          <cell r="AB783" t="str">
            <v>Active - signed</v>
          </cell>
          <cell r="AC783" t="str">
            <v>ACTIVO</v>
          </cell>
          <cell r="AD783"/>
          <cell r="AE783"/>
          <cell r="AF783"/>
          <cell r="AG783"/>
          <cell r="AH783"/>
          <cell r="AI783" t="str">
            <v>74677667W</v>
          </cell>
        </row>
        <row r="784">
          <cell r="A784" t="str">
            <v>53750700E</v>
          </cell>
          <cell r="B784" t="str">
            <v>Navarro Ortega</v>
          </cell>
          <cell r="C784" t="str">
            <v>Eva María</v>
          </cell>
          <cell r="D784" t="str">
            <v>Navarro Ortega, Eva María</v>
          </cell>
          <cell r="E784" t="str">
            <v>evamaria.navarro</v>
          </cell>
          <cell r="F784" t="str">
            <v>evamaria.navarro@professional.universidadviu.com</v>
          </cell>
          <cell r="G784" t="str">
            <v>NO</v>
          </cell>
          <cell r="H784" t="str">
            <v>NO</v>
          </cell>
          <cell r="I784" t="str">
            <v>Master universitario en optometria avanzada y ciencias de la vision</v>
          </cell>
          <cell r="J784" t="str">
            <v>Graduada en optica y optometria</v>
          </cell>
          <cell r="K784" t="str">
            <v/>
          </cell>
          <cell r="L784" t="str">
            <v/>
          </cell>
          <cell r="M784" t="str">
            <v>Professional</v>
          </cell>
          <cell r="N784" t="str">
            <v/>
          </cell>
          <cell r="O784" t="str">
            <v>CBS</v>
          </cell>
          <cell r="P784">
            <v>0</v>
          </cell>
          <cell r="Q784" t="str">
            <v xml:space="preserve"> </v>
          </cell>
          <cell r="R784"/>
          <cell r="S784"/>
          <cell r="T784" t="str">
            <v>Sin reducción</v>
          </cell>
          <cell r="U784">
            <v>0</v>
          </cell>
          <cell r="V784"/>
          <cell r="W784"/>
          <cell r="X784">
            <v>0</v>
          </cell>
          <cell r="Y784">
            <v>0</v>
          </cell>
          <cell r="Z784">
            <v>0</v>
          </cell>
          <cell r="AA784"/>
          <cell r="AB784" t="str">
            <v>Active - signed</v>
          </cell>
          <cell r="AC784" t="str">
            <v>ACTIVO</v>
          </cell>
          <cell r="AD784"/>
          <cell r="AE784"/>
          <cell r="AF784"/>
          <cell r="AG784"/>
          <cell r="AH784"/>
          <cell r="AI784" t="str">
            <v>53750700E</v>
          </cell>
        </row>
        <row r="785">
          <cell r="A785" t="str">
            <v>73572839W</v>
          </cell>
          <cell r="B785" t="str">
            <v>Navarro Pérez</v>
          </cell>
          <cell r="C785" t="str">
            <v>María Dolores</v>
          </cell>
          <cell r="D785" t="str">
            <v>Navarro Pérez, María Dolores</v>
          </cell>
          <cell r="E785" t="str">
            <v>mnavarrop@professional.universidadviu.com</v>
          </cell>
          <cell r="F785" t="str">
            <v>mnavarrop@professional.universidadviu.com</v>
          </cell>
          <cell r="G785" t="str">
            <v>Yes</v>
          </cell>
          <cell r="H785" t="str">
            <v>NO</v>
          </cell>
          <cell r="I785" t="str">
            <v>Doctorado en investigación en Psicología</v>
          </cell>
          <cell r="J785" t="str">
            <v>LICENCIADA EN PSICOLOGIA</v>
          </cell>
          <cell r="K785" t="str">
            <v/>
          </cell>
          <cell r="L785" t="str">
            <v/>
          </cell>
          <cell r="M785" t="str">
            <v>Professional</v>
          </cell>
          <cell r="N785"/>
          <cell r="O785" t="str">
            <v>CSS</v>
          </cell>
          <cell r="P785"/>
          <cell r="Q785" t="str">
            <v xml:space="preserve"> </v>
          </cell>
          <cell r="R785"/>
          <cell r="S785"/>
          <cell r="T785" t="str">
            <v>Sin reducción</v>
          </cell>
          <cell r="U785">
            <v>0</v>
          </cell>
          <cell r="V785"/>
          <cell r="W785"/>
          <cell r="X785">
            <v>0</v>
          </cell>
          <cell r="Y785">
            <v>0</v>
          </cell>
          <cell r="Z785">
            <v>0</v>
          </cell>
          <cell r="AA785"/>
          <cell r="AB785" t="str">
            <v>Active - signed</v>
          </cell>
          <cell r="AC785" t="str">
            <v>ACTIVO</v>
          </cell>
          <cell r="AD785"/>
          <cell r="AE785"/>
          <cell r="AF785"/>
          <cell r="AG785"/>
          <cell r="AH785"/>
          <cell r="AI785" t="str">
            <v>73572839W</v>
          </cell>
        </row>
        <row r="786">
          <cell r="A786" t="str">
            <v>40982138W</v>
          </cell>
          <cell r="B786" t="str">
            <v>Navarro Rubio</v>
          </cell>
          <cell r="C786" t="str">
            <v>Gemma</v>
          </cell>
          <cell r="D786" t="str">
            <v>Navarro Rubio, Gemma</v>
          </cell>
          <cell r="E786" t="str">
            <v>gemma.navarro</v>
          </cell>
          <cell r="F786" t="str">
            <v>gemma.navarro@professor.universidadviu.com</v>
          </cell>
          <cell r="G786" t="str">
            <v>Yes</v>
          </cell>
          <cell r="H786" t="str">
            <v>NO</v>
          </cell>
          <cell r="I786" t="str">
            <v>Doctora en Medicina y Cirugía</v>
          </cell>
          <cell r="J786" t="str">
            <v>Doctora en Medicina y Cirugía</v>
          </cell>
          <cell r="K786" t="str">
            <v>Licenciada en Mecidina</v>
          </cell>
          <cell r="L786" t="str">
            <v/>
          </cell>
          <cell r="M786" t="str">
            <v>Labour</v>
          </cell>
          <cell r="N786" t="str">
            <v>Pedelini Gassmann, Leda</v>
          </cell>
          <cell r="O786" t="str">
            <v>CBS</v>
          </cell>
          <cell r="P786">
            <v>30</v>
          </cell>
          <cell r="Q786" t="str">
            <v>24</v>
          </cell>
          <cell r="R786"/>
          <cell r="S786"/>
          <cell r="T786" t="str">
            <v>Sin reducción</v>
          </cell>
          <cell r="U786">
            <v>0</v>
          </cell>
          <cell r="V786"/>
          <cell r="W786"/>
          <cell r="X786">
            <v>0</v>
          </cell>
          <cell r="Y786">
            <v>23.8</v>
          </cell>
          <cell r="Z786">
            <v>0</v>
          </cell>
          <cell r="AA786"/>
          <cell r="AB786" t="str">
            <v>Active - signed</v>
          </cell>
          <cell r="AC786" t="str">
            <v>ACTIVO</v>
          </cell>
          <cell r="AD786"/>
          <cell r="AE786"/>
          <cell r="AF786"/>
          <cell r="AG786"/>
          <cell r="AH786"/>
          <cell r="AI786" t="str">
            <v>40982138W</v>
          </cell>
        </row>
        <row r="787">
          <cell r="A787" t="str">
            <v>49449512H</v>
          </cell>
          <cell r="B787" t="str">
            <v>Navarro Sánchez</v>
          </cell>
          <cell r="C787" t="str">
            <v>Ainoha Fuensanta</v>
          </cell>
          <cell r="D787" t="str">
            <v>Navarro Sánchez, Ainoha Fuensanta</v>
          </cell>
          <cell r="E787" t="str">
            <v>anavarros@professional.universidadviu.com</v>
          </cell>
          <cell r="F787" t="str">
            <v>anavarros@professional.universidadviu.com</v>
          </cell>
          <cell r="G787" t="str">
            <v>NO</v>
          </cell>
          <cell r="H787" t="str">
            <v>NO</v>
          </cell>
          <cell r="I787" t="str">
            <v>Máster en Psicología Jurídica y Forense</v>
          </cell>
          <cell r="J787" t="str">
            <v>Máster en Psicología General Sanitaria</v>
          </cell>
          <cell r="K787" t="str">
            <v/>
          </cell>
          <cell r="L787" t="str">
            <v/>
          </cell>
          <cell r="M787" t="str">
            <v>Professional</v>
          </cell>
          <cell r="N787" t="str">
            <v/>
          </cell>
          <cell r="O787" t="str">
            <v>CSS</v>
          </cell>
          <cell r="P787">
            <v>0</v>
          </cell>
          <cell r="Q787" t="str">
            <v xml:space="preserve"> </v>
          </cell>
          <cell r="R787"/>
          <cell r="S787"/>
          <cell r="T787" t="str">
            <v>Sin reducción</v>
          </cell>
          <cell r="U787">
            <v>0</v>
          </cell>
          <cell r="V787"/>
          <cell r="W787"/>
          <cell r="X787">
            <v>0</v>
          </cell>
          <cell r="Y787">
            <v>0</v>
          </cell>
          <cell r="Z787">
            <v>0</v>
          </cell>
          <cell r="AA787"/>
          <cell r="AB787" t="str">
            <v>Active - signed</v>
          </cell>
          <cell r="AC787" t="str">
            <v>ACTIVO</v>
          </cell>
          <cell r="AD787"/>
          <cell r="AE787"/>
          <cell r="AF787"/>
          <cell r="AG787"/>
          <cell r="AH787"/>
          <cell r="AI787" t="str">
            <v>49449512H</v>
          </cell>
        </row>
        <row r="788">
          <cell r="A788" t="str">
            <v>45560312A</v>
          </cell>
          <cell r="B788" t="str">
            <v>Navarro Serna</v>
          </cell>
          <cell r="C788" t="str">
            <v>Celia</v>
          </cell>
          <cell r="D788" t="str">
            <v>Navarro Serna, Celia</v>
          </cell>
          <cell r="E788" t="str">
            <v>celia.navarros</v>
          </cell>
          <cell r="F788" t="str">
            <v>celia.navarros@professional.universidadviu.com</v>
          </cell>
          <cell r="G788" t="str">
            <v>NO</v>
          </cell>
          <cell r="H788" t="str">
            <v>NO</v>
          </cell>
          <cell r="I788" t="str">
            <v/>
          </cell>
          <cell r="J788" t="str">
            <v/>
          </cell>
          <cell r="K788" t="str">
            <v/>
          </cell>
          <cell r="L788" t="str">
            <v/>
          </cell>
          <cell r="M788" t="str">
            <v>Professional</v>
          </cell>
          <cell r="N788" t="str">
            <v/>
          </cell>
          <cell r="O788"/>
          <cell r="P788">
            <v>0</v>
          </cell>
          <cell r="Q788" t="str">
            <v xml:space="preserve"> </v>
          </cell>
          <cell r="R788"/>
          <cell r="S788"/>
          <cell r="T788" t="str">
            <v>Sin reducción</v>
          </cell>
          <cell r="U788">
            <v>0</v>
          </cell>
          <cell r="V788"/>
          <cell r="W788"/>
          <cell r="X788">
            <v>0</v>
          </cell>
          <cell r="Y788">
            <v>0</v>
          </cell>
          <cell r="Z788">
            <v>0</v>
          </cell>
          <cell r="AA788"/>
          <cell r="AB788" t="str">
            <v>Active - signed</v>
          </cell>
          <cell r="AC788" t="str">
            <v>ACTIVO</v>
          </cell>
          <cell r="AD788"/>
          <cell r="AE788"/>
          <cell r="AF788"/>
          <cell r="AG788"/>
          <cell r="AH788"/>
          <cell r="AI788" t="str">
            <v>45560312A</v>
          </cell>
        </row>
        <row r="789">
          <cell r="A789" t="str">
            <v>22569732Q</v>
          </cell>
          <cell r="B789" t="str">
            <v>Navarro Soriano</v>
          </cell>
          <cell r="C789" t="str">
            <v>Silvia</v>
          </cell>
          <cell r="D789" t="str">
            <v>Navarro Soriano, Silvia</v>
          </cell>
          <cell r="E789" t="str">
            <v>silvia.navarro0</v>
          </cell>
          <cell r="F789" t="str">
            <v>silvia.navarro0@professional.universidadviu.com</v>
          </cell>
          <cell r="G789" t="str">
            <v>NO</v>
          </cell>
          <cell r="H789" t="str">
            <v>NO</v>
          </cell>
          <cell r="I789" t="str">
            <v>Enfermería</v>
          </cell>
          <cell r="J789" t="str">
            <v>Farmacoterapia para enfermeria</v>
          </cell>
          <cell r="K789" t="str">
            <v>Diplomado/a en Enfermeria</v>
          </cell>
          <cell r="L789" t="str">
            <v>Máster Universitario en enfermeria de urgencias y emergencias</v>
          </cell>
          <cell r="M789" t="str">
            <v>Professional</v>
          </cell>
          <cell r="N789" t="str">
            <v/>
          </cell>
          <cell r="O789" t="str">
            <v>CBS</v>
          </cell>
          <cell r="P789">
            <v>0</v>
          </cell>
          <cell r="Q789" t="str">
            <v xml:space="preserve"> </v>
          </cell>
          <cell r="R789"/>
          <cell r="S789"/>
          <cell r="T789" t="str">
            <v>Sin reducción</v>
          </cell>
          <cell r="U789">
            <v>0</v>
          </cell>
          <cell r="V789"/>
          <cell r="W789"/>
          <cell r="X789">
            <v>0</v>
          </cell>
          <cell r="Y789">
            <v>0</v>
          </cell>
          <cell r="Z789">
            <v>0</v>
          </cell>
          <cell r="AA789"/>
          <cell r="AB789" t="str">
            <v>Active - signed</v>
          </cell>
          <cell r="AC789" t="str">
            <v>ACTIVO</v>
          </cell>
          <cell r="AD789"/>
          <cell r="AE789"/>
          <cell r="AF789"/>
          <cell r="AG789"/>
          <cell r="AH789"/>
          <cell r="AI789" t="str">
            <v>22569732Q</v>
          </cell>
        </row>
        <row r="790">
          <cell r="A790" t="str">
            <v>20447194X</v>
          </cell>
          <cell r="B790" t="str">
            <v>Navarro Tapia</v>
          </cell>
          <cell r="C790" t="str">
            <v>Elisabet</v>
          </cell>
          <cell r="D790" t="str">
            <v>Navarro Tapia, Elisabet</v>
          </cell>
          <cell r="E790" t="str">
            <v>elisabet.navarro</v>
          </cell>
          <cell r="F790" t="str">
            <v>elisabet.navarro@professor.universidadviu.com</v>
          </cell>
          <cell r="G790" t="str">
            <v>Yes</v>
          </cell>
          <cell r="H790" t="str">
            <v>Yes</v>
          </cell>
          <cell r="I790" t="str">
            <v>Programa Oficial de Doctorado en Biotecnología</v>
          </cell>
          <cell r="J790" t="str">
            <v>Programa Oficial de Doctorado en Biotecnología</v>
          </cell>
          <cell r="K790" t="str">
            <v>Licenciada en Biología</v>
          </cell>
          <cell r="L790" t="str">
            <v/>
          </cell>
          <cell r="M790" t="str">
            <v>Labour</v>
          </cell>
          <cell r="N790" t="str">
            <v>Pedelini Gassmann, Leda</v>
          </cell>
          <cell r="O790" t="str">
            <v>CBS</v>
          </cell>
          <cell r="P790">
            <v>100</v>
          </cell>
          <cell r="Q790" t="str">
            <v>50</v>
          </cell>
          <cell r="R790"/>
          <cell r="S790" t="str">
            <v>2013-2023</v>
          </cell>
          <cell r="T790" t="str">
            <v>Dirección de título Máster Universitario &lt;60 - 1 edición</v>
          </cell>
          <cell r="U790">
            <v>26</v>
          </cell>
          <cell r="V790"/>
          <cell r="W790"/>
          <cell r="X790">
            <v>0</v>
          </cell>
          <cell r="Y790">
            <v>21.1</v>
          </cell>
          <cell r="Z790">
            <v>2</v>
          </cell>
          <cell r="AA790"/>
          <cell r="AB790" t="str">
            <v>Active - signed</v>
          </cell>
          <cell r="AC790" t="str">
            <v>ACTIVO</v>
          </cell>
          <cell r="AD790"/>
          <cell r="AE790"/>
          <cell r="AF790"/>
          <cell r="AG790"/>
          <cell r="AH790"/>
          <cell r="AI790" t="str">
            <v>20447194X</v>
          </cell>
        </row>
        <row r="791">
          <cell r="A791" t="str">
            <v>31007196E</v>
          </cell>
          <cell r="B791" t="str">
            <v>Navas Martínez</v>
          </cell>
          <cell r="C791" t="str">
            <v>María José</v>
          </cell>
          <cell r="D791" t="str">
            <v>Navas Martínez, María José</v>
          </cell>
          <cell r="E791" t="str">
            <v>mariajose.navas</v>
          </cell>
          <cell r="F791"/>
          <cell r="G791" t="str">
            <v>NO</v>
          </cell>
          <cell r="H791" t="str">
            <v>NO</v>
          </cell>
          <cell r="I791" t="str">
            <v>Psicología</v>
          </cell>
          <cell r="J791" t="str">
            <v>Máster Universitario en Psicología Jurídica y Forense</v>
          </cell>
          <cell r="K791" t="str">
            <v/>
          </cell>
          <cell r="L791" t="str">
            <v/>
          </cell>
          <cell r="M791" t="str">
            <v>Labour</v>
          </cell>
          <cell r="N791"/>
          <cell r="O791" t="str">
            <v>CSS</v>
          </cell>
          <cell r="P791">
            <v>100</v>
          </cell>
          <cell r="Q791" t="str">
            <v>50</v>
          </cell>
          <cell r="R791"/>
          <cell r="S791"/>
          <cell r="T791" t="str">
            <v>Sin reducción</v>
          </cell>
          <cell r="U791">
            <v>0</v>
          </cell>
          <cell r="V791"/>
          <cell r="W791"/>
          <cell r="X791">
            <v>0</v>
          </cell>
          <cell r="Y791">
            <v>0</v>
          </cell>
          <cell r="Z791">
            <v>0</v>
          </cell>
          <cell r="AA791"/>
          <cell r="AB791" t="str">
            <v>Concluded</v>
          </cell>
          <cell r="AC791" t="str">
            <v>NO ACTIVO</v>
          </cell>
          <cell r="AD791"/>
          <cell r="AE791"/>
          <cell r="AF791">
            <v>45237</v>
          </cell>
          <cell r="AG791" t="str">
            <v>CESE DE CONTRATO</v>
          </cell>
          <cell r="AH791"/>
          <cell r="AI791" t="str">
            <v>31007196E</v>
          </cell>
        </row>
        <row r="792">
          <cell r="A792" t="str">
            <v>26218972F</v>
          </cell>
          <cell r="B792" t="str">
            <v>Navío Serrano</v>
          </cell>
          <cell r="C792" t="str">
            <v>Luis Francisco</v>
          </cell>
          <cell r="D792" t="str">
            <v>Navío Serrano, Luis Francisco</v>
          </cell>
          <cell r="E792" t="str">
            <v>luisfrancisco.navio</v>
          </cell>
          <cell r="F792" t="str">
            <v>luisfrancisco.navio@professional.universidadviu.com</v>
          </cell>
          <cell r="G792" t="str">
            <v>NO</v>
          </cell>
          <cell r="H792" t="str">
            <v>NO</v>
          </cell>
          <cell r="I792" t="str">
            <v/>
          </cell>
          <cell r="J792" t="str">
            <v/>
          </cell>
          <cell r="K792" t="str">
            <v/>
          </cell>
          <cell r="L792" t="str">
            <v/>
          </cell>
          <cell r="M792" t="str">
            <v>Professional</v>
          </cell>
          <cell r="N792" t="str">
            <v/>
          </cell>
          <cell r="O792" t="str">
            <v>CSS</v>
          </cell>
          <cell r="P792">
            <v>0</v>
          </cell>
          <cell r="Q792" t="str">
            <v xml:space="preserve"> </v>
          </cell>
          <cell r="R792"/>
          <cell r="S792"/>
          <cell r="T792" t="str">
            <v>Sin reducción</v>
          </cell>
          <cell r="U792">
            <v>0</v>
          </cell>
          <cell r="V792"/>
          <cell r="W792"/>
          <cell r="X792">
            <v>0</v>
          </cell>
          <cell r="Y792">
            <v>0</v>
          </cell>
          <cell r="Z792">
            <v>0</v>
          </cell>
          <cell r="AA792"/>
          <cell r="AB792" t="str">
            <v>Active - signed</v>
          </cell>
          <cell r="AC792" t="str">
            <v>ACTIVO</v>
          </cell>
          <cell r="AD792"/>
          <cell r="AE792"/>
          <cell r="AF792"/>
          <cell r="AG792"/>
          <cell r="AH792"/>
          <cell r="AI792" t="str">
            <v>26218972F</v>
          </cell>
        </row>
        <row r="793">
          <cell r="A793" t="str">
            <v>53383192P</v>
          </cell>
          <cell r="B793" t="str">
            <v>Nebot Ibáñez</v>
          </cell>
          <cell r="C793" t="str">
            <v>Sara</v>
          </cell>
          <cell r="D793" t="str">
            <v>Nebot Ibáñez, Sara</v>
          </cell>
          <cell r="E793" t="str">
            <v>sara.nebot</v>
          </cell>
          <cell r="F793" t="str">
            <v>sara.nebot@professor.universidadviu.com</v>
          </cell>
          <cell r="G793" t="str">
            <v>Yes</v>
          </cell>
          <cell r="H793" t="str">
            <v>NO</v>
          </cell>
          <cell r="I793" t="str">
            <v>Psicología</v>
          </cell>
          <cell r="J793" t="str">
            <v>Programa de Doctorado en Psicopatología, Salud y Neuropsicología</v>
          </cell>
          <cell r="K793" t="str">
            <v>Máster universitario en Psicopatología, Salud y Neuropsicología</v>
          </cell>
          <cell r="L793" t="str">
            <v>Licenciatura en Psicología</v>
          </cell>
          <cell r="M793" t="str">
            <v>Labour</v>
          </cell>
          <cell r="N793" t="str">
            <v>Hernández Saguar, Aida Esther</v>
          </cell>
          <cell r="O793" t="str">
            <v>CSS</v>
          </cell>
          <cell r="P793">
            <v>100</v>
          </cell>
          <cell r="Q793" t="str">
            <v>50</v>
          </cell>
          <cell r="R793"/>
          <cell r="S793"/>
          <cell r="T793" t="str">
            <v>Sin reducción</v>
          </cell>
          <cell r="U793">
            <v>0</v>
          </cell>
          <cell r="V793"/>
          <cell r="W793"/>
          <cell r="X793">
            <v>48</v>
          </cell>
          <cell r="Y793">
            <v>0</v>
          </cell>
          <cell r="Z793">
            <v>0</v>
          </cell>
          <cell r="AA793"/>
          <cell r="AB793" t="str">
            <v>Active - signed</v>
          </cell>
          <cell r="AC793" t="str">
            <v>ACTIVO</v>
          </cell>
          <cell r="AD793">
            <v>45535</v>
          </cell>
          <cell r="AE793">
            <v>45900</v>
          </cell>
          <cell r="AF793"/>
          <cell r="AG793"/>
          <cell r="AH793"/>
          <cell r="AI793" t="str">
            <v>53383192P</v>
          </cell>
        </row>
        <row r="794">
          <cell r="A794" t="str">
            <v>X5510546E</v>
          </cell>
          <cell r="B794" t="str">
            <v>Neef</v>
          </cell>
          <cell r="C794" t="str">
            <v>Alexander</v>
          </cell>
          <cell r="D794" t="str">
            <v>Neef, Alexander</v>
          </cell>
          <cell r="E794" t="str">
            <v>alexander.neef</v>
          </cell>
          <cell r="F794" t="str">
            <v>alexander.neef@professional.universidadviu.com</v>
          </cell>
          <cell r="G794" t="str">
            <v>Yes</v>
          </cell>
          <cell r="H794" t="str">
            <v>Yes</v>
          </cell>
          <cell r="I794" t="str">
            <v>Bioinformática</v>
          </cell>
          <cell r="J794" t="str">
            <v>Máster universitario en Patología molecular humana</v>
          </cell>
          <cell r="K794" t="str">
            <v>Máster Universitario en Bioinformática</v>
          </cell>
          <cell r="L794">
            <v>0</v>
          </cell>
          <cell r="M794" t="str">
            <v>Professional</v>
          </cell>
          <cell r="N794" t="str">
            <v/>
          </cell>
          <cell r="O794" t="str">
            <v>CBS</v>
          </cell>
          <cell r="P794">
            <v>0</v>
          </cell>
          <cell r="Q794" t="str">
            <v xml:space="preserve"> </v>
          </cell>
          <cell r="R794"/>
          <cell r="S794"/>
          <cell r="T794" t="str">
            <v>Sin reducción</v>
          </cell>
          <cell r="U794">
            <v>0</v>
          </cell>
          <cell r="V794"/>
          <cell r="W794"/>
          <cell r="X794">
            <v>0</v>
          </cell>
          <cell r="Y794">
            <v>0</v>
          </cell>
          <cell r="Z794">
            <v>0</v>
          </cell>
          <cell r="AA794"/>
          <cell r="AB794" t="str">
            <v>Active - signed</v>
          </cell>
          <cell r="AC794" t="str">
            <v>ACTIVO</v>
          </cell>
          <cell r="AD794"/>
          <cell r="AE794"/>
          <cell r="AF794"/>
          <cell r="AG794"/>
          <cell r="AH794"/>
          <cell r="AI794" t="str">
            <v>X5510546E</v>
          </cell>
        </row>
        <row r="795">
          <cell r="A795" t="str">
            <v>29208105Z</v>
          </cell>
          <cell r="B795" t="str">
            <v>Niclós López</v>
          </cell>
          <cell r="C795" t="str">
            <v>Gracia</v>
          </cell>
          <cell r="D795" t="str">
            <v>Niclós López, Gracia</v>
          </cell>
          <cell r="E795" t="str">
            <v>gracia.niclos</v>
          </cell>
          <cell r="F795" t="str">
            <v>gracia.niclos@professional.universidadviu.com</v>
          </cell>
          <cell r="G795" t="str">
            <v>Yes</v>
          </cell>
          <cell r="H795" t="str">
            <v>NO</v>
          </cell>
          <cell r="I795" t="str">
            <v>Nutrición y Dietética</v>
          </cell>
          <cell r="J795" t="str">
            <v>Licenciada en Farmacia</v>
          </cell>
          <cell r="K795" t="str">
            <v>Doctorado en Atención Farmacéutica y Farmacia Asistencial</v>
          </cell>
          <cell r="L795" t="str">
            <v/>
          </cell>
          <cell r="M795" t="str">
            <v>Professional</v>
          </cell>
          <cell r="N795" t="str">
            <v/>
          </cell>
          <cell r="O795" t="str">
            <v>CBS</v>
          </cell>
          <cell r="P795">
            <v>0</v>
          </cell>
          <cell r="Q795" t="str">
            <v xml:space="preserve"> </v>
          </cell>
          <cell r="R795"/>
          <cell r="S795"/>
          <cell r="T795" t="str">
            <v>Sin reducción</v>
          </cell>
          <cell r="U795">
            <v>0</v>
          </cell>
          <cell r="V795"/>
          <cell r="W795"/>
          <cell r="X795">
            <v>0</v>
          </cell>
          <cell r="Y795">
            <v>0</v>
          </cell>
          <cell r="Z795">
            <v>0</v>
          </cell>
          <cell r="AA795"/>
          <cell r="AB795" t="str">
            <v>Active - signed</v>
          </cell>
          <cell r="AC795" t="str">
            <v>ACTIVO</v>
          </cell>
          <cell r="AD795"/>
          <cell r="AE795"/>
          <cell r="AF795"/>
          <cell r="AG795"/>
          <cell r="AH795"/>
          <cell r="AI795" t="str">
            <v>29208105Z</v>
          </cell>
        </row>
        <row r="796">
          <cell r="A796" t="str">
            <v>53406759T</v>
          </cell>
          <cell r="B796" t="str">
            <v>Nieto Fuentes</v>
          </cell>
          <cell r="C796" t="str">
            <v>Juan Antonio</v>
          </cell>
          <cell r="D796" t="str">
            <v>Nieto Fuentes, Juan Antonio</v>
          </cell>
          <cell r="E796" t="str">
            <v>juanantonio.nieto</v>
          </cell>
          <cell r="F796" t="str">
            <v>juanantonio.nieto@professor.universidadviu.com</v>
          </cell>
          <cell r="G796" t="str">
            <v>Yes</v>
          </cell>
          <cell r="H796" t="str">
            <v>Yes</v>
          </cell>
          <cell r="I796" t="str">
            <v>Máster en Análisis Bioquímico</v>
          </cell>
          <cell r="J796" t="str">
            <v>Programa de Doctorado en Ciencias y Tecnología de Alimentos e Ingeniería Química</v>
          </cell>
          <cell r="K796" t="str">
            <v>Licenciado en Ciencia y Tecnología de los Alimentos</v>
          </cell>
          <cell r="L796" t="str">
            <v/>
          </cell>
          <cell r="M796" t="str">
            <v>Labour</v>
          </cell>
          <cell r="N796" t="str">
            <v>Silva López, Mariana</v>
          </cell>
          <cell r="O796" t="str">
            <v>CBS</v>
          </cell>
          <cell r="P796">
            <v>100</v>
          </cell>
          <cell r="Q796" t="str">
            <v>50</v>
          </cell>
          <cell r="R796"/>
          <cell r="S796" t="str">
            <v>1er 2012-2021</v>
          </cell>
          <cell r="T796" t="str">
            <v>Reducción investigación</v>
          </cell>
          <cell r="U796"/>
          <cell r="V796"/>
          <cell r="W796"/>
          <cell r="X796">
            <v>0</v>
          </cell>
          <cell r="Y796">
            <v>47.6</v>
          </cell>
          <cell r="Z796">
            <v>0</v>
          </cell>
          <cell r="AA796"/>
          <cell r="AB796" t="str">
            <v>Active - signed</v>
          </cell>
          <cell r="AC796" t="str">
            <v>ACTIVO</v>
          </cell>
          <cell r="AD796"/>
          <cell r="AE796"/>
          <cell r="AF796"/>
          <cell r="AG796"/>
          <cell r="AH796"/>
          <cell r="AI796" t="str">
            <v>53406759T</v>
          </cell>
        </row>
        <row r="797">
          <cell r="A797" t="str">
            <v>70808432B</v>
          </cell>
          <cell r="B797" t="str">
            <v>Nieto Muñoz</v>
          </cell>
          <cell r="C797" t="str">
            <v>Covadonga</v>
          </cell>
          <cell r="D797" t="str">
            <v>Nieto Muñoz, Covadonga</v>
          </cell>
          <cell r="E797" t="str">
            <v>cnietom@professional.universidadviu.com</v>
          </cell>
          <cell r="F797" t="str">
            <v>cnietom@professional.universidadviu.com</v>
          </cell>
          <cell r="G797" t="str">
            <v>NO</v>
          </cell>
          <cell r="H797" t="str">
            <v>NO</v>
          </cell>
          <cell r="I797" t="str">
            <v/>
          </cell>
          <cell r="J797" t="str">
            <v/>
          </cell>
          <cell r="K797" t="str">
            <v/>
          </cell>
          <cell r="L797" t="str">
            <v/>
          </cell>
          <cell r="M797" t="str">
            <v>Professional</v>
          </cell>
          <cell r="N797"/>
          <cell r="O797" t="str">
            <v>CSS</v>
          </cell>
          <cell r="P797">
            <v>0</v>
          </cell>
          <cell r="Q797" t="str">
            <v xml:space="preserve"> </v>
          </cell>
          <cell r="R797"/>
          <cell r="S797"/>
          <cell r="T797" t="str">
            <v>Sin reducción</v>
          </cell>
          <cell r="U797">
            <v>0</v>
          </cell>
          <cell r="V797"/>
          <cell r="W797"/>
          <cell r="X797">
            <v>0</v>
          </cell>
          <cell r="Y797">
            <v>0</v>
          </cell>
          <cell r="Z797">
            <v>0</v>
          </cell>
          <cell r="AA797"/>
          <cell r="AB797" t="str">
            <v>Active - signed</v>
          </cell>
          <cell r="AC797" t="str">
            <v>ACTIVO</v>
          </cell>
          <cell r="AD797"/>
          <cell r="AE797"/>
          <cell r="AF797"/>
          <cell r="AG797"/>
          <cell r="AH797"/>
          <cell r="AI797" t="str">
            <v>70808432B</v>
          </cell>
        </row>
        <row r="798">
          <cell r="A798" t="str">
            <v>45736717K</v>
          </cell>
          <cell r="B798" t="str">
            <v>Nieto Ruiz</v>
          </cell>
          <cell r="C798" t="str">
            <v>Ana</v>
          </cell>
          <cell r="D798" t="str">
            <v>Nieto Ruiz, Ana</v>
          </cell>
          <cell r="E798" t="str">
            <v>ana.nieto0</v>
          </cell>
          <cell r="F798" t="str">
            <v>ana.nieto0@professional.universidadviu.com</v>
          </cell>
          <cell r="G798" t="str">
            <v>Yes</v>
          </cell>
          <cell r="H798" t="str">
            <v>Yes</v>
          </cell>
          <cell r="I798" t="str">
            <v>Máster universitario en neurociencia y dolor</v>
          </cell>
          <cell r="J798" t="str">
            <v>Máster universitario en tratamientos psicologicos y de la salud</v>
          </cell>
          <cell r="K798" t="str">
            <v>Licenciatura en Psicología</v>
          </cell>
          <cell r="L798" t="str">
            <v>Doctorado en medicina clínica y salud pública</v>
          </cell>
          <cell r="M798" t="str">
            <v>Professional</v>
          </cell>
          <cell r="N798" t="str">
            <v/>
          </cell>
          <cell r="O798" t="str">
            <v>CSS</v>
          </cell>
          <cell r="P798">
            <v>0</v>
          </cell>
          <cell r="Q798" t="str">
            <v xml:space="preserve"> </v>
          </cell>
          <cell r="R798"/>
          <cell r="S798"/>
          <cell r="T798" t="str">
            <v>Sin reducción</v>
          </cell>
          <cell r="U798">
            <v>0</v>
          </cell>
          <cell r="V798"/>
          <cell r="W798"/>
          <cell r="X798">
            <v>0</v>
          </cell>
          <cell r="Y798">
            <v>0</v>
          </cell>
          <cell r="Z798">
            <v>0</v>
          </cell>
          <cell r="AA798"/>
          <cell r="AB798" t="str">
            <v>Active - signed</v>
          </cell>
          <cell r="AC798" t="str">
            <v>ACTIVO</v>
          </cell>
          <cell r="AD798"/>
          <cell r="AE798"/>
          <cell r="AF798"/>
          <cell r="AG798"/>
          <cell r="AH798"/>
          <cell r="AI798" t="str">
            <v>45736717K</v>
          </cell>
        </row>
        <row r="799">
          <cell r="A799" t="str">
            <v>60032427N</v>
          </cell>
          <cell r="B799" t="str">
            <v>Nieto Sachica</v>
          </cell>
          <cell r="C799" t="str">
            <v>Juan</v>
          </cell>
          <cell r="D799" t="str">
            <v>Nieto Sachica, Juan</v>
          </cell>
          <cell r="E799" t="str">
            <v>jnietos@professor.universidadviu.com</v>
          </cell>
          <cell r="F799" t="str">
            <v>jnietos@professor.universidadviu.com</v>
          </cell>
          <cell r="G799" t="str">
            <v>Yes</v>
          </cell>
          <cell r="H799" t="str">
            <v>NO</v>
          </cell>
          <cell r="I799" t="str">
            <v>Inmunología Avanzada</v>
          </cell>
          <cell r="J799" t="str">
            <v>Odontologia</v>
          </cell>
          <cell r="K799" t="str">
            <v/>
          </cell>
          <cell r="L799" t="str">
            <v/>
          </cell>
          <cell r="M799" t="str">
            <v>Labour</v>
          </cell>
          <cell r="N799" t="str">
            <v>Navarro Tapia, Elisabet</v>
          </cell>
          <cell r="O799" t="str">
            <v>CBS</v>
          </cell>
          <cell r="P799">
            <v>12</v>
          </cell>
          <cell r="Q799" t="str">
            <v>12</v>
          </cell>
          <cell r="R799"/>
          <cell r="S799"/>
          <cell r="T799" t="str">
            <v>Sin reducción</v>
          </cell>
          <cell r="U799">
            <v>0</v>
          </cell>
          <cell r="V799"/>
          <cell r="W799"/>
          <cell r="X799">
            <v>0</v>
          </cell>
          <cell r="Y799">
            <v>12.4</v>
          </cell>
          <cell r="Z799">
            <v>9.6</v>
          </cell>
          <cell r="AA799"/>
          <cell r="AB799" t="str">
            <v>Active - signed</v>
          </cell>
          <cell r="AC799" t="str">
            <v>ACTIVO</v>
          </cell>
          <cell r="AD799"/>
          <cell r="AE799"/>
          <cell r="AF799"/>
          <cell r="AG799"/>
          <cell r="AH799"/>
          <cell r="AI799" t="str">
            <v>60032427N</v>
          </cell>
        </row>
        <row r="800">
          <cell r="A800" t="str">
            <v>X9319770D</v>
          </cell>
          <cell r="B800" t="str">
            <v>Nikolaeva Koleva</v>
          </cell>
          <cell r="C800" t="str">
            <v>Magdalena</v>
          </cell>
          <cell r="D800" t="str">
            <v>Nikolaeva Koleva, Magdalena</v>
          </cell>
          <cell r="E800" t="str">
            <v>magdalena.nikolaeva@professor.universidadviu.com</v>
          </cell>
          <cell r="F800" t="str">
            <v>magdalena.nikolaeva@professor.universidadviu.com</v>
          </cell>
          <cell r="G800" t="str">
            <v>Yes</v>
          </cell>
          <cell r="H800" t="str">
            <v>NO</v>
          </cell>
          <cell r="I800" t="str">
            <v>Doctorado en Biología Molecular y Celular</v>
          </cell>
          <cell r="J800" t="str">
            <v>Doctorado en Biología Molecular y Celular</v>
          </cell>
          <cell r="K800" t="str">
            <v>Máster en Biotecnología y Bioingeniería</v>
          </cell>
          <cell r="L800" t="str">
            <v>Grado en Biotecnología</v>
          </cell>
          <cell r="M800" t="str">
            <v>Labour</v>
          </cell>
          <cell r="N800"/>
          <cell r="O800" t="str">
            <v>CBS</v>
          </cell>
          <cell r="P800" t="str">
            <v>75,00</v>
          </cell>
          <cell r="Q800" t="b">
            <v>0</v>
          </cell>
          <cell r="R800"/>
          <cell r="S800"/>
          <cell r="T800" t="str">
            <v>Sin reducción</v>
          </cell>
          <cell r="U800">
            <v>0</v>
          </cell>
          <cell r="V800"/>
          <cell r="W800"/>
          <cell r="X800">
            <v>0</v>
          </cell>
          <cell r="Y800">
            <v>0</v>
          </cell>
          <cell r="Z800">
            <v>0</v>
          </cell>
          <cell r="AA800"/>
          <cell r="AB800" t="str">
            <v>Concluded</v>
          </cell>
          <cell r="AC800" t="str">
            <v>NO ACTIVO</v>
          </cell>
          <cell r="AD800"/>
          <cell r="AE800"/>
          <cell r="AF800">
            <v>45838</v>
          </cell>
          <cell r="AG800" t="str">
            <v>CESE DE CONTRATO</v>
          </cell>
          <cell r="AH800" t="str">
            <v>no es fecha exacta pero aprox</v>
          </cell>
          <cell r="AI800" t="str">
            <v>X9319770D</v>
          </cell>
        </row>
        <row r="801">
          <cell r="A801" t="str">
            <v>18441616D</v>
          </cell>
          <cell r="B801" t="str">
            <v>Nolasco Hernández</v>
          </cell>
          <cell r="C801" t="str">
            <v>Alberto</v>
          </cell>
          <cell r="D801" t="str">
            <v>Nolasco Hernández, Alberto</v>
          </cell>
          <cell r="E801" t="str">
            <v>alberto.nolasco</v>
          </cell>
          <cell r="F801" t="str">
            <v>alberto.nolasco@professional.universidadviu.com</v>
          </cell>
          <cell r="G801" t="str">
            <v>Yes</v>
          </cell>
          <cell r="H801" t="str">
            <v>NO</v>
          </cell>
          <cell r="I801" t="str">
            <v>Programa de Doctorado en Formación del Profesorado en la Didáctica y Organización de las Áreas del Curriculum y Evaluación de las Instituciones Educativas</v>
          </cell>
          <cell r="J801" t="str">
            <v xml:space="preserve">Licenciado </v>
          </cell>
          <cell r="K801" t="str">
            <v/>
          </cell>
          <cell r="L801" t="str">
            <v/>
          </cell>
          <cell r="M801" t="str">
            <v>Professional</v>
          </cell>
          <cell r="N801" t="str">
            <v/>
          </cell>
          <cell r="O801" t="str">
            <v>CSS</v>
          </cell>
          <cell r="P801">
            <v>0</v>
          </cell>
          <cell r="Q801" t="str">
            <v xml:space="preserve"> </v>
          </cell>
          <cell r="R801"/>
          <cell r="S801"/>
          <cell r="T801" t="str">
            <v>Sin reducción</v>
          </cell>
          <cell r="U801">
            <v>0</v>
          </cell>
          <cell r="V801"/>
          <cell r="W801"/>
          <cell r="X801">
            <v>0</v>
          </cell>
          <cell r="Y801">
            <v>0</v>
          </cell>
          <cell r="Z801">
            <v>0</v>
          </cell>
          <cell r="AA801"/>
          <cell r="AB801" t="str">
            <v>Active - signed</v>
          </cell>
          <cell r="AC801" t="str">
            <v>ACTIVO</v>
          </cell>
          <cell r="AD801"/>
          <cell r="AE801"/>
          <cell r="AF801"/>
          <cell r="AG801"/>
          <cell r="AH801"/>
          <cell r="AI801" t="str">
            <v>18441616D</v>
          </cell>
        </row>
        <row r="802">
          <cell r="A802" t="str">
            <v>32061229B</v>
          </cell>
          <cell r="B802" t="str">
            <v>Nolé Fajardo</v>
          </cell>
          <cell r="C802" t="str">
            <v>María Luisa</v>
          </cell>
          <cell r="D802" t="str">
            <v>Nolé Fajardo, María Luisa</v>
          </cell>
          <cell r="E802" t="str">
            <v>mnolef@professor.universidadviu.com</v>
          </cell>
          <cell r="F802" t="str">
            <v>mnolef@professor.universidadviu.com</v>
          </cell>
          <cell r="G802" t="str">
            <v>Yes</v>
          </cell>
          <cell r="H802" t="str">
            <v>Yes</v>
          </cell>
          <cell r="I802" t="str">
            <v>Programa de Doctorado en Arquitectura, Edificación, Urbanística y Paisaje</v>
          </cell>
          <cell r="J802" t="str">
            <v>Master en Fisiología y Neurociencia</v>
          </cell>
          <cell r="K802" t="str">
            <v>Grado en Psicologia</v>
          </cell>
          <cell r="L802" t="str">
            <v/>
          </cell>
          <cell r="M802" t="str">
            <v>Labour</v>
          </cell>
          <cell r="N802" t="str">
            <v>Vázquez Orellana, Nuria</v>
          </cell>
          <cell r="O802" t="str">
            <v>CSS</v>
          </cell>
          <cell r="P802">
            <v>100</v>
          </cell>
          <cell r="Q802" t="str">
            <v>50</v>
          </cell>
          <cell r="R802"/>
          <cell r="S802"/>
          <cell r="T802" t="str">
            <v>Responsable de TFT</v>
          </cell>
          <cell r="U802" t="str">
            <v>6</v>
          </cell>
          <cell r="V802"/>
          <cell r="W802"/>
          <cell r="X802">
            <v>41.1</v>
          </cell>
          <cell r="Y802">
            <v>0</v>
          </cell>
          <cell r="Z802">
            <v>0</v>
          </cell>
          <cell r="AA802"/>
          <cell r="AB802" t="str">
            <v>Active - signed</v>
          </cell>
          <cell r="AC802" t="str">
            <v>ACTIVO</v>
          </cell>
          <cell r="AD802"/>
          <cell r="AE802"/>
          <cell r="AF802"/>
          <cell r="AG802"/>
          <cell r="AH802"/>
          <cell r="AI802" t="str">
            <v>32061229B</v>
          </cell>
        </row>
        <row r="803">
          <cell r="A803" t="str">
            <v>76725024Z</v>
          </cell>
          <cell r="B803" t="str">
            <v>Núñez Arias</v>
          </cell>
          <cell r="C803" t="str">
            <v>Diego</v>
          </cell>
          <cell r="D803" t="str">
            <v>Núñez Arias, Diego</v>
          </cell>
          <cell r="E803" t="str">
            <v>diego.nunez.a</v>
          </cell>
          <cell r="F803" t="str">
            <v>diego.nunez.a@professional.universidadviu.com</v>
          </cell>
          <cell r="G803" t="str">
            <v>NO</v>
          </cell>
          <cell r="H803" t="str">
            <v>NO</v>
          </cell>
          <cell r="I803" t="str">
            <v>Máster universitario en Psicología del Trabajo y de las organizaciones, psicología jurídica-forense e intervención social</v>
          </cell>
          <cell r="J803" t="str">
            <v>Licenciado en Psicología</v>
          </cell>
          <cell r="K803" t="str">
            <v/>
          </cell>
          <cell r="L803" t="str">
            <v/>
          </cell>
          <cell r="M803" t="str">
            <v>Professional</v>
          </cell>
          <cell r="N803" t="str">
            <v/>
          </cell>
          <cell r="O803" t="str">
            <v>CSS</v>
          </cell>
          <cell r="P803">
            <v>0</v>
          </cell>
          <cell r="Q803" t="str">
            <v xml:space="preserve"> </v>
          </cell>
          <cell r="R803"/>
          <cell r="S803"/>
          <cell r="T803" t="str">
            <v>Sin reducción</v>
          </cell>
          <cell r="U803">
            <v>0</v>
          </cell>
          <cell r="V803"/>
          <cell r="W803"/>
          <cell r="X803">
            <v>0</v>
          </cell>
          <cell r="Y803">
            <v>0</v>
          </cell>
          <cell r="Z803">
            <v>0</v>
          </cell>
          <cell r="AA803"/>
          <cell r="AB803" t="str">
            <v>Active - signed</v>
          </cell>
          <cell r="AC803" t="str">
            <v>ACTIVO</v>
          </cell>
          <cell r="AD803"/>
          <cell r="AE803"/>
          <cell r="AF803"/>
          <cell r="AG803"/>
          <cell r="AH803"/>
          <cell r="AI803" t="str">
            <v>76725024Z</v>
          </cell>
        </row>
        <row r="804">
          <cell r="A804" t="str">
            <v>73401065S</v>
          </cell>
          <cell r="B804" t="str">
            <v>Núñez Sánchez</v>
          </cell>
          <cell r="C804" t="str">
            <v>Carolina</v>
          </cell>
          <cell r="D804" t="str">
            <v>Núñez Sánchez, Carolina</v>
          </cell>
          <cell r="E804" t="str">
            <v>carolina.nunez0</v>
          </cell>
          <cell r="F804" t="str">
            <v>carolina.nunez0@professor.universidadviu.com</v>
          </cell>
          <cell r="G804" t="str">
            <v>NO</v>
          </cell>
          <cell r="H804" t="str">
            <v>NO</v>
          </cell>
          <cell r="I804" t="str">
            <v>Master universitario en Psicologia General Sanitaria</v>
          </cell>
          <cell r="J804" t="str">
            <v>Graduada en Psicologia</v>
          </cell>
          <cell r="K804" t="str">
            <v/>
          </cell>
          <cell r="L804" t="str">
            <v/>
          </cell>
          <cell r="M804" t="str">
            <v>Labour</v>
          </cell>
          <cell r="N804" t="str">
            <v>Ródenas González, Francisco</v>
          </cell>
          <cell r="O804" t="str">
            <v>CSS</v>
          </cell>
          <cell r="P804">
            <v>100</v>
          </cell>
          <cell r="Q804" t="str">
            <v>50</v>
          </cell>
          <cell r="R804"/>
          <cell r="S804"/>
          <cell r="T804" t="str">
            <v>Sin reducción</v>
          </cell>
          <cell r="U804">
            <v>0</v>
          </cell>
          <cell r="V804">
            <v>23</v>
          </cell>
          <cell r="W804" t="str">
            <v>EDUCACIÓN</v>
          </cell>
          <cell r="X804">
            <v>27.1</v>
          </cell>
          <cell r="Y804">
            <v>0</v>
          </cell>
          <cell r="Z804">
            <v>0</v>
          </cell>
          <cell r="AA804"/>
          <cell r="AB804" t="str">
            <v>Active - signed</v>
          </cell>
          <cell r="AC804" t="str">
            <v>ACTIVO</v>
          </cell>
          <cell r="AD804"/>
          <cell r="AE804"/>
          <cell r="AF804"/>
          <cell r="AG804"/>
          <cell r="AH804"/>
          <cell r="AI804" t="str">
            <v>73401065S</v>
          </cell>
        </row>
        <row r="805">
          <cell r="A805" t="str">
            <v>73401064Z</v>
          </cell>
          <cell r="B805" t="str">
            <v>Núñez Sánchez</v>
          </cell>
          <cell r="C805" t="str">
            <v>Juan Manuel</v>
          </cell>
          <cell r="D805" t="str">
            <v>Núñez Sánchez, Juan Manuel</v>
          </cell>
          <cell r="E805" t="str">
            <v>juanmanuel.nunez</v>
          </cell>
          <cell r="F805" t="str">
            <v>juanmanuel.nunez@professor.universidadviu.com</v>
          </cell>
          <cell r="G805" t="str">
            <v>NO</v>
          </cell>
          <cell r="H805" t="str">
            <v>NO</v>
          </cell>
          <cell r="I805" t="str">
            <v>MU en Psicología General Sanitaria</v>
          </cell>
          <cell r="J805" t="str">
            <v>Graduado en psicologia</v>
          </cell>
          <cell r="K805" t="str">
            <v/>
          </cell>
          <cell r="L805" t="str">
            <v/>
          </cell>
          <cell r="M805" t="str">
            <v>Labour</v>
          </cell>
          <cell r="N805" t="str">
            <v>Consultar a Facultad de Educación</v>
          </cell>
          <cell r="O805" t="str">
            <v>CSS</v>
          </cell>
          <cell r="P805">
            <v>100</v>
          </cell>
          <cell r="Q805" t="str">
            <v>50</v>
          </cell>
          <cell r="R805"/>
          <cell r="S805"/>
          <cell r="T805" t="str">
            <v>Sin reducción</v>
          </cell>
          <cell r="U805">
            <v>0</v>
          </cell>
          <cell r="V805">
            <v>50</v>
          </cell>
          <cell r="W805" t="str">
            <v>EDUCACIÓN</v>
          </cell>
          <cell r="X805">
            <v>0</v>
          </cell>
          <cell r="Y805">
            <v>0</v>
          </cell>
          <cell r="Z805">
            <v>0</v>
          </cell>
          <cell r="AA805"/>
          <cell r="AB805" t="str">
            <v>Active - signed</v>
          </cell>
          <cell r="AC805" t="str">
            <v>ACTIVO</v>
          </cell>
          <cell r="AD805"/>
          <cell r="AE805"/>
          <cell r="AF805"/>
          <cell r="AG805"/>
          <cell r="AH805"/>
          <cell r="AI805" t="str">
            <v>73401064Z</v>
          </cell>
        </row>
        <row r="806">
          <cell r="A806" t="str">
            <v>CL16616656K</v>
          </cell>
          <cell r="B806" t="str">
            <v>Ocampo González</v>
          </cell>
          <cell r="C806" t="str">
            <v>Aldo Ariel</v>
          </cell>
          <cell r="D806" t="str">
            <v>Ocampo González, Aldo Ariel</v>
          </cell>
          <cell r="E806" t="str">
            <v>aocampog@professional.universidadviu.com</v>
          </cell>
          <cell r="F806" t="str">
            <v>aocampog@professional.universidadviu.com</v>
          </cell>
          <cell r="G806" t="str">
            <v>Yes</v>
          </cell>
          <cell r="H806" t="str">
            <v>NO</v>
          </cell>
          <cell r="I806"/>
          <cell r="J806"/>
          <cell r="K806"/>
          <cell r="L806"/>
          <cell r="M806" t="str">
            <v>Professional</v>
          </cell>
          <cell r="N806"/>
          <cell r="O806" t="str">
            <v>CSS</v>
          </cell>
          <cell r="P806">
            <v>0</v>
          </cell>
          <cell r="Q806" t="str">
            <v xml:space="preserve"> </v>
          </cell>
          <cell r="R806"/>
          <cell r="S806"/>
          <cell r="T806" t="str">
            <v>Sin reducción</v>
          </cell>
          <cell r="U806">
            <v>0</v>
          </cell>
          <cell r="V806"/>
          <cell r="W806"/>
          <cell r="X806">
            <v>0</v>
          </cell>
          <cell r="Y806">
            <v>0</v>
          </cell>
          <cell r="Z806">
            <v>0</v>
          </cell>
          <cell r="AA806"/>
          <cell r="AB806" t="str">
            <v>Active - signed</v>
          </cell>
          <cell r="AC806" t="str">
            <v>ACTIVO</v>
          </cell>
          <cell r="AD806"/>
          <cell r="AE806"/>
          <cell r="AF806"/>
          <cell r="AG806"/>
          <cell r="AH806"/>
          <cell r="AI806"/>
        </row>
        <row r="807">
          <cell r="A807" t="str">
            <v>Y8300526R</v>
          </cell>
          <cell r="B807" t="str">
            <v>Ochoa Maxi</v>
          </cell>
          <cell r="C807" t="str">
            <v>David</v>
          </cell>
          <cell r="D807" t="str">
            <v>Ochoa Maxi, David</v>
          </cell>
          <cell r="E807" t="str">
            <v>dochoam@professional.universidadviu.com</v>
          </cell>
          <cell r="F807"/>
          <cell r="G807" t="str">
            <v>NO</v>
          </cell>
          <cell r="H807" t="str">
            <v>NO</v>
          </cell>
          <cell r="I807" t="str">
            <v/>
          </cell>
          <cell r="J807" t="str">
            <v/>
          </cell>
          <cell r="K807" t="str">
            <v/>
          </cell>
          <cell r="L807" t="str">
            <v/>
          </cell>
          <cell r="M807" t="str">
            <v>Professional</v>
          </cell>
          <cell r="N807"/>
          <cell r="O807" t="str">
            <v>CSS</v>
          </cell>
          <cell r="P807">
            <v>0</v>
          </cell>
          <cell r="Q807" t="str">
            <v xml:space="preserve"> </v>
          </cell>
          <cell r="R807"/>
          <cell r="S807"/>
          <cell r="T807" t="str">
            <v>Sin reducción</v>
          </cell>
          <cell r="U807">
            <v>0</v>
          </cell>
          <cell r="V807"/>
          <cell r="W807"/>
          <cell r="X807">
            <v>0</v>
          </cell>
          <cell r="Y807">
            <v>0</v>
          </cell>
          <cell r="Z807">
            <v>0</v>
          </cell>
          <cell r="AA807"/>
          <cell r="AB807" t="str">
            <v>Active - signed</v>
          </cell>
          <cell r="AC807" t="str">
            <v>ACTIVO</v>
          </cell>
          <cell r="AD807"/>
          <cell r="AE807"/>
          <cell r="AF807"/>
          <cell r="AG807"/>
          <cell r="AH807"/>
          <cell r="AI807" t="str">
            <v>Y8300526R</v>
          </cell>
        </row>
        <row r="808">
          <cell r="A808" t="str">
            <v>47297594A</v>
          </cell>
          <cell r="B808" t="str">
            <v>Ojeda Sánchez</v>
          </cell>
          <cell r="C808" t="str">
            <v>Carlos</v>
          </cell>
          <cell r="D808" t="str">
            <v>Ojeda Sánchez, Carlos</v>
          </cell>
          <cell r="E808" t="str">
            <v>cojedas@professor.universidadviu.com</v>
          </cell>
          <cell r="F808" t="str">
            <v>cojedas@professor.universidadviu.com</v>
          </cell>
          <cell r="G808" t="str">
            <v>Yes</v>
          </cell>
          <cell r="H808" t="str">
            <v>NO</v>
          </cell>
          <cell r="I808" t="str">
            <v>Máster en Data Science &amp; Business Analytics (con R Software)</v>
          </cell>
          <cell r="J808" t="str">
            <v>Máster de Salud Pública</v>
          </cell>
          <cell r="K808" t="str">
            <v>Máster en Diseño y Análisis de la Investigación en Ciencias de la Salud</v>
          </cell>
          <cell r="L808" t="str">
            <v>Graduado en Medicina</v>
          </cell>
          <cell r="M808" t="str">
            <v>Labour</v>
          </cell>
          <cell r="N808"/>
          <cell r="O808" t="str">
            <v>CBS</v>
          </cell>
          <cell r="P808" t="str">
            <v>15,00</v>
          </cell>
          <cell r="Q808" t="b">
            <v>0</v>
          </cell>
          <cell r="R808"/>
          <cell r="S808"/>
          <cell r="T808" t="str">
            <v>Sin reducción</v>
          </cell>
          <cell r="U808">
            <v>0</v>
          </cell>
          <cell r="V808"/>
          <cell r="W808"/>
          <cell r="X808">
            <v>0</v>
          </cell>
          <cell r="Y808">
            <v>0</v>
          </cell>
          <cell r="Z808">
            <v>0</v>
          </cell>
          <cell r="AA808"/>
          <cell r="AB808" t="str">
            <v>Concluded</v>
          </cell>
          <cell r="AC808" t="str">
            <v>NO ACTIVO</v>
          </cell>
          <cell r="AD808"/>
          <cell r="AE808"/>
          <cell r="AF808">
            <v>45504</v>
          </cell>
          <cell r="AG808" t="str">
            <v>CESE DE CONTRATO</v>
          </cell>
          <cell r="AH808"/>
          <cell r="AI808" t="str">
            <v>47297594A</v>
          </cell>
        </row>
        <row r="809">
          <cell r="A809" t="str">
            <v>28931728M</v>
          </cell>
          <cell r="B809" t="str">
            <v>Olarte Sánchez</v>
          </cell>
          <cell r="C809" t="str">
            <v>Cristian Manuel</v>
          </cell>
          <cell r="D809" t="str">
            <v>Olarte Sánchez, Cristian Manuel</v>
          </cell>
          <cell r="E809" t="str">
            <v>colartes@professional.universidadviu.com</v>
          </cell>
          <cell r="F809" t="str">
            <v>colartes@professional.universidadviu.com</v>
          </cell>
          <cell r="G809" t="str">
            <v>Yes</v>
          </cell>
          <cell r="H809" t="str">
            <v>Yes</v>
          </cell>
          <cell r="I809" t="str">
            <v>Psicofarmacología</v>
          </cell>
          <cell r="J809" t="str">
            <v>Licenciado en Psicología</v>
          </cell>
          <cell r="K809" t="str">
            <v>Master en Investigación</v>
          </cell>
          <cell r="L809" t="str">
            <v/>
          </cell>
          <cell r="M809" t="str">
            <v>Professional</v>
          </cell>
          <cell r="N809" t="str">
            <v/>
          </cell>
          <cell r="O809" t="str">
            <v>CSS</v>
          </cell>
          <cell r="P809">
            <v>0</v>
          </cell>
          <cell r="Q809" t="str">
            <v xml:space="preserve"> </v>
          </cell>
          <cell r="R809"/>
          <cell r="S809"/>
          <cell r="T809" t="str">
            <v>Sin reducción</v>
          </cell>
          <cell r="U809">
            <v>0</v>
          </cell>
          <cell r="V809"/>
          <cell r="W809"/>
          <cell r="X809">
            <v>0</v>
          </cell>
          <cell r="Y809">
            <v>0</v>
          </cell>
          <cell r="Z809">
            <v>0</v>
          </cell>
          <cell r="AA809"/>
          <cell r="AB809" t="str">
            <v>Active - signed</v>
          </cell>
          <cell r="AC809" t="str">
            <v>ACTIVO</v>
          </cell>
          <cell r="AD809"/>
          <cell r="AE809"/>
          <cell r="AF809"/>
          <cell r="AG809"/>
          <cell r="AH809"/>
          <cell r="AI809" t="str">
            <v>28931728M</v>
          </cell>
        </row>
        <row r="810">
          <cell r="A810" t="str">
            <v>70422058Z</v>
          </cell>
          <cell r="B810" t="str">
            <v>Olave Porrúa</v>
          </cell>
          <cell r="C810" t="str">
            <v>Leticia María</v>
          </cell>
          <cell r="D810" t="str">
            <v>Olave Porrúa, Leticia María</v>
          </cell>
          <cell r="E810" t="str">
            <v>leticiamaria.olave</v>
          </cell>
          <cell r="F810" t="str">
            <v>leticiamaria.olave@professor.universidadviu.com</v>
          </cell>
          <cell r="G810" t="str">
            <v>Yes</v>
          </cell>
          <cell r="H810" t="str">
            <v>Yes</v>
          </cell>
          <cell r="I810" t="str">
            <v>Psicología</v>
          </cell>
          <cell r="J810" t="str">
            <v>Doctorado en Psicologia</v>
          </cell>
          <cell r="K810" t="str">
            <v/>
          </cell>
          <cell r="L810" t="str">
            <v/>
          </cell>
          <cell r="M810" t="str">
            <v>Labour</v>
          </cell>
          <cell r="N810"/>
          <cell r="O810" t="str">
            <v>CSS</v>
          </cell>
          <cell r="P810">
            <v>100</v>
          </cell>
          <cell r="Q810" t="str">
            <v>50</v>
          </cell>
          <cell r="R810"/>
          <cell r="S810"/>
          <cell r="T810" t="str">
            <v>Sin reducción</v>
          </cell>
          <cell r="U810">
            <v>0</v>
          </cell>
          <cell r="V810">
            <v>12</v>
          </cell>
          <cell r="W810" t="str">
            <v>EDUCACIÓN</v>
          </cell>
          <cell r="X810">
            <v>0</v>
          </cell>
          <cell r="Y810">
            <v>0</v>
          </cell>
          <cell r="Z810">
            <v>0</v>
          </cell>
          <cell r="AA810"/>
          <cell r="AB810" t="str">
            <v>Concluded</v>
          </cell>
          <cell r="AC810" t="str">
            <v>NO ACTIVO</v>
          </cell>
          <cell r="AD810"/>
          <cell r="AE810"/>
          <cell r="AF810">
            <v>45623</v>
          </cell>
          <cell r="AG810" t="str">
            <v>CESE DE CONTRATO</v>
          </cell>
          <cell r="AH810"/>
          <cell r="AI810" t="str">
            <v>70422058Z</v>
          </cell>
        </row>
        <row r="811">
          <cell r="A811" t="str">
            <v>74010350F</v>
          </cell>
          <cell r="B811" t="str">
            <v>Oliva Femenia</v>
          </cell>
          <cell r="C811" t="str">
            <v>Pablo</v>
          </cell>
          <cell r="D811" t="str">
            <v>Oliva Femenia, Pablo</v>
          </cell>
          <cell r="E811" t="str">
            <v>polivaf@professional.universidadviu.com</v>
          </cell>
          <cell r="F811" t="str">
            <v>polivaf@professional.universidadviu.com</v>
          </cell>
          <cell r="G811" t="str">
            <v>NO</v>
          </cell>
          <cell r="H811" t="str">
            <v>NO</v>
          </cell>
          <cell r="I811" t="str">
            <v>Máster Universitario en Psicología General Sanitaria</v>
          </cell>
          <cell r="J811" t="str">
            <v>Grado en Psicología</v>
          </cell>
          <cell r="K811" t="str">
            <v/>
          </cell>
          <cell r="L811" t="str">
            <v/>
          </cell>
          <cell r="M811" t="str">
            <v>Professional</v>
          </cell>
          <cell r="N811" t="str">
            <v/>
          </cell>
          <cell r="O811" t="str">
            <v>CSS</v>
          </cell>
          <cell r="P811">
            <v>0</v>
          </cell>
          <cell r="Q811" t="str">
            <v xml:space="preserve"> </v>
          </cell>
          <cell r="R811"/>
          <cell r="S811"/>
          <cell r="T811" t="str">
            <v>Sin reducción</v>
          </cell>
          <cell r="U811">
            <v>0</v>
          </cell>
          <cell r="V811"/>
          <cell r="W811"/>
          <cell r="X811">
            <v>0</v>
          </cell>
          <cell r="Y811">
            <v>0</v>
          </cell>
          <cell r="Z811">
            <v>0</v>
          </cell>
          <cell r="AA811"/>
          <cell r="AB811" t="str">
            <v>Active - signed</v>
          </cell>
          <cell r="AC811" t="str">
            <v>ACTIVO</v>
          </cell>
          <cell r="AD811"/>
          <cell r="AE811"/>
          <cell r="AF811"/>
          <cell r="AG811"/>
          <cell r="AH811"/>
          <cell r="AI811" t="str">
            <v>74010350F</v>
          </cell>
        </row>
        <row r="812">
          <cell r="A812" t="str">
            <v>53724851W</v>
          </cell>
          <cell r="B812" t="str">
            <v>Olivares González</v>
          </cell>
          <cell r="C812" t="str">
            <v>Lorena</v>
          </cell>
          <cell r="D812" t="str">
            <v>Olivares González, Lorena</v>
          </cell>
          <cell r="E812" t="str">
            <v>lorena.olivares</v>
          </cell>
          <cell r="F812" t="str">
            <v>lorena.olivares@professional.universidadviu.com</v>
          </cell>
          <cell r="G812" t="str">
            <v>Yes</v>
          </cell>
          <cell r="H812" t="str">
            <v>NO</v>
          </cell>
          <cell r="I812" t="str">
            <v>Doctorado en biomedicina y biotecnología</v>
          </cell>
          <cell r="J812" t="str">
            <v>Doctorado</v>
          </cell>
          <cell r="K812" t="str">
            <v>Doctorado en interdisciplinar en comunicación</v>
          </cell>
          <cell r="L812" t="str">
            <v/>
          </cell>
          <cell r="M812" t="str">
            <v>Professional</v>
          </cell>
          <cell r="N812" t="str">
            <v/>
          </cell>
          <cell r="O812" t="str">
            <v>CBS/CSS</v>
          </cell>
          <cell r="P812">
            <v>0</v>
          </cell>
          <cell r="Q812" t="str">
            <v xml:space="preserve"> </v>
          </cell>
          <cell r="R812"/>
          <cell r="S812"/>
          <cell r="T812" t="str">
            <v>Sin reducción</v>
          </cell>
          <cell r="U812">
            <v>0</v>
          </cell>
          <cell r="V812"/>
          <cell r="W812"/>
          <cell r="X812">
            <v>0</v>
          </cell>
          <cell r="Y812">
            <v>0</v>
          </cell>
          <cell r="Z812">
            <v>0</v>
          </cell>
          <cell r="AA812"/>
          <cell r="AB812" t="str">
            <v>Active - signed</v>
          </cell>
          <cell r="AC812" t="str">
            <v>ACTIVO</v>
          </cell>
          <cell r="AD812"/>
          <cell r="AE812"/>
          <cell r="AF812"/>
          <cell r="AG812"/>
          <cell r="AH812"/>
          <cell r="AI812" t="str">
            <v>53724851W</v>
          </cell>
        </row>
        <row r="813">
          <cell r="A813" t="str">
            <v>53528423V</v>
          </cell>
          <cell r="B813" t="str">
            <v>Oliveros Fernández</v>
          </cell>
          <cell r="C813" t="str">
            <v>Beatriz</v>
          </cell>
          <cell r="D813" t="str">
            <v>Oliveros Fernández, Beatriz</v>
          </cell>
          <cell r="E813" t="str">
            <v>boliverosf@professional.universidadviu.com</v>
          </cell>
          <cell r="F813" t="str">
            <v>boliverosf@professional.universidadviu.com</v>
          </cell>
          <cell r="G813" t="str">
            <v>Yes</v>
          </cell>
          <cell r="H813" t="str">
            <v>NO</v>
          </cell>
          <cell r="I813" t="str">
            <v>Doctorado en Educación y Psicología</v>
          </cell>
          <cell r="J813" t="str">
            <v>Licenciatura en Psicología</v>
          </cell>
          <cell r="K813" t="str">
            <v>Licenciatura en Pedagogía</v>
          </cell>
          <cell r="L813" t="str">
            <v/>
          </cell>
          <cell r="M813" t="str">
            <v>Professional</v>
          </cell>
          <cell r="N813" t="str">
            <v/>
          </cell>
          <cell r="O813" t="str">
            <v>CSS</v>
          </cell>
          <cell r="P813">
            <v>0</v>
          </cell>
          <cell r="Q813" t="str">
            <v xml:space="preserve"> </v>
          </cell>
          <cell r="R813"/>
          <cell r="S813"/>
          <cell r="T813" t="str">
            <v>Sin reducción</v>
          </cell>
          <cell r="U813">
            <v>0</v>
          </cell>
          <cell r="V813"/>
          <cell r="W813"/>
          <cell r="X813">
            <v>0</v>
          </cell>
          <cell r="Y813">
            <v>0</v>
          </cell>
          <cell r="Z813">
            <v>0</v>
          </cell>
          <cell r="AA813"/>
          <cell r="AB813" t="str">
            <v>Active - signed</v>
          </cell>
          <cell r="AC813" t="str">
            <v>ACTIVO</v>
          </cell>
          <cell r="AD813"/>
          <cell r="AE813"/>
          <cell r="AF813"/>
          <cell r="AG813"/>
          <cell r="AH813"/>
          <cell r="AI813" t="str">
            <v>53528423V</v>
          </cell>
        </row>
        <row r="814">
          <cell r="A814">
            <v>72020267</v>
          </cell>
          <cell r="B814" t="str">
            <v>Olivo Franco</v>
          </cell>
          <cell r="C814" t="str">
            <v>José Luis</v>
          </cell>
          <cell r="D814" t="str">
            <v>Olivo Franco, José Luis</v>
          </cell>
          <cell r="E814" t="str">
            <v>joseluis.olivo</v>
          </cell>
          <cell r="F814" t="str">
            <v>joseluis.olivo@professional.universidadviu.com</v>
          </cell>
          <cell r="G814" t="str">
            <v>NO</v>
          </cell>
          <cell r="H814" t="str">
            <v>NO</v>
          </cell>
          <cell r="I814" t="str">
            <v>Magister Scientiarum en ciencias de la educacion</v>
          </cell>
          <cell r="J814" t="str">
            <v>Doctorado en Educación</v>
          </cell>
          <cell r="K814" t="str">
            <v/>
          </cell>
          <cell r="L814" t="str">
            <v/>
          </cell>
          <cell r="M814" t="str">
            <v>Professional</v>
          </cell>
          <cell r="N814" t="str">
            <v/>
          </cell>
          <cell r="O814" t="str">
            <v>CSS</v>
          </cell>
          <cell r="P814">
            <v>0</v>
          </cell>
          <cell r="Q814" t="str">
            <v xml:space="preserve"> </v>
          </cell>
          <cell r="R814"/>
          <cell r="S814"/>
          <cell r="T814" t="str">
            <v>Sin reducción</v>
          </cell>
          <cell r="U814">
            <v>0</v>
          </cell>
          <cell r="V814"/>
          <cell r="W814"/>
          <cell r="X814">
            <v>0</v>
          </cell>
          <cell r="Y814">
            <v>0</v>
          </cell>
          <cell r="Z814">
            <v>0</v>
          </cell>
          <cell r="AA814"/>
          <cell r="AB814" t="str">
            <v>Active - signed</v>
          </cell>
          <cell r="AC814" t="str">
            <v>ACTIVO</v>
          </cell>
          <cell r="AD814"/>
          <cell r="AE814"/>
          <cell r="AF814"/>
          <cell r="AG814"/>
          <cell r="AH814"/>
          <cell r="AI814">
            <v>72020267</v>
          </cell>
        </row>
        <row r="815">
          <cell r="A815" t="str">
            <v>MXOEDE681222MDFLML01</v>
          </cell>
          <cell r="B815" t="str">
            <v>Olvera Domínguez</v>
          </cell>
          <cell r="C815" t="str">
            <v>María Elena</v>
          </cell>
          <cell r="D815" t="str">
            <v>Olvera Domínguez, María Elena</v>
          </cell>
          <cell r="E815" t="str">
            <v>molverad@professional.universidadviu.com</v>
          </cell>
          <cell r="F815" t="str">
            <v>molverad@professional.universidadviu.com</v>
          </cell>
          <cell r="G815" t="str">
            <v>NO</v>
          </cell>
          <cell r="H815" t="str">
            <v>NO</v>
          </cell>
          <cell r="I815" t="str">
            <v>Doctora en Letras</v>
          </cell>
          <cell r="J815" t="str">
            <v>Maestría en Educación, Neurocognición y Aprendizaje</v>
          </cell>
          <cell r="K815" t="str">
            <v>Maestría  Internacional en Psicología Clínica Aplicada</v>
          </cell>
          <cell r="L815" t="str">
            <v/>
          </cell>
          <cell r="M815" t="str">
            <v>Professional</v>
          </cell>
          <cell r="N815" t="str">
            <v/>
          </cell>
          <cell r="O815" t="str">
            <v>CSS</v>
          </cell>
          <cell r="P815">
            <v>0</v>
          </cell>
          <cell r="Q815" t="str">
            <v xml:space="preserve"> </v>
          </cell>
          <cell r="R815"/>
          <cell r="S815"/>
          <cell r="T815" t="str">
            <v>Sin reducción</v>
          </cell>
          <cell r="U815">
            <v>0</v>
          </cell>
          <cell r="V815"/>
          <cell r="W815"/>
          <cell r="X815">
            <v>0</v>
          </cell>
          <cell r="Y815">
            <v>0</v>
          </cell>
          <cell r="Z815">
            <v>0</v>
          </cell>
          <cell r="AA815"/>
          <cell r="AB815" t="str">
            <v>Active - signed</v>
          </cell>
          <cell r="AC815" t="str">
            <v>ACTIVO</v>
          </cell>
          <cell r="AD815"/>
          <cell r="AE815"/>
          <cell r="AF815"/>
          <cell r="AG815"/>
          <cell r="AH815"/>
          <cell r="AI815" t="str">
            <v>MXOEDE681222MDFLML01</v>
          </cell>
        </row>
        <row r="816">
          <cell r="A816" t="str">
            <v>G25526656</v>
          </cell>
          <cell r="B816" t="str">
            <v>Olvera Trejo</v>
          </cell>
          <cell r="C816" t="str">
            <v>Hans Oleg</v>
          </cell>
          <cell r="D816" t="str">
            <v>Olvera Trejo, Hans Oleg</v>
          </cell>
          <cell r="E816" t="str">
            <v>hansoleg.olvera</v>
          </cell>
          <cell r="F816" t="str">
            <v>hansoleg.olvera@professional.universidadviu.com</v>
          </cell>
          <cell r="G816" t="str">
            <v>NO</v>
          </cell>
          <cell r="H816" t="str">
            <v>NO</v>
          </cell>
          <cell r="I816" t="str">
            <v>Psicología</v>
          </cell>
          <cell r="J816" t="str">
            <v>Doctorado en investigación psicoanalitica</v>
          </cell>
          <cell r="K816" t="str">
            <v>Doctorado en investigacion psicologica</v>
          </cell>
          <cell r="L816" t="str">
            <v/>
          </cell>
          <cell r="M816" t="str">
            <v>Professional</v>
          </cell>
          <cell r="N816" t="str">
            <v/>
          </cell>
          <cell r="O816" t="str">
            <v>CSS</v>
          </cell>
          <cell r="P816">
            <v>0</v>
          </cell>
          <cell r="Q816" t="str">
            <v xml:space="preserve"> </v>
          </cell>
          <cell r="R816"/>
          <cell r="S816"/>
          <cell r="T816" t="str">
            <v>Sin reducción</v>
          </cell>
          <cell r="U816">
            <v>0</v>
          </cell>
          <cell r="V816"/>
          <cell r="W816"/>
          <cell r="X816">
            <v>0</v>
          </cell>
          <cell r="Y816">
            <v>0</v>
          </cell>
          <cell r="Z816">
            <v>0</v>
          </cell>
          <cell r="AA816"/>
          <cell r="AB816" t="str">
            <v>Active - signed</v>
          </cell>
          <cell r="AC816" t="str">
            <v>ACTIVO</v>
          </cell>
          <cell r="AD816"/>
          <cell r="AE816"/>
          <cell r="AF816"/>
          <cell r="AG816"/>
          <cell r="AH816"/>
          <cell r="AI816" t="str">
            <v>G25526656</v>
          </cell>
        </row>
        <row r="817">
          <cell r="A817" t="str">
            <v>45667422W</v>
          </cell>
          <cell r="B817" t="str">
            <v>Onandia Hinchado</v>
          </cell>
          <cell r="C817" t="str">
            <v>Iban</v>
          </cell>
          <cell r="D817" t="str">
            <v>Onandia Hinchado, Iban</v>
          </cell>
          <cell r="E817" t="str">
            <v>iban.onandia</v>
          </cell>
          <cell r="F817" t="str">
            <v>iban.onandia@professional.universidadviu.com</v>
          </cell>
          <cell r="G817" t="str">
            <v>Yes</v>
          </cell>
          <cell r="H817" t="str">
            <v>Yes</v>
          </cell>
          <cell r="I817" t="str">
            <v>Programa Doctorada en Salud Mental y Terapias Psicológicas</v>
          </cell>
          <cell r="J817" t="str">
            <v>Máster en Salud Mental y Terapias Psicológicas</v>
          </cell>
          <cell r="K817" t="str">
            <v>Licenciado en Psicología</v>
          </cell>
          <cell r="L817" t="str">
            <v/>
          </cell>
          <cell r="M817" t="str">
            <v>Professional</v>
          </cell>
          <cell r="N817" t="str">
            <v/>
          </cell>
          <cell r="O817" t="str">
            <v>CSS</v>
          </cell>
          <cell r="P817">
            <v>0</v>
          </cell>
          <cell r="Q817" t="str">
            <v xml:space="preserve"> </v>
          </cell>
          <cell r="R817"/>
          <cell r="S817"/>
          <cell r="T817" t="str">
            <v>Sin reducción</v>
          </cell>
          <cell r="U817">
            <v>0</v>
          </cell>
          <cell r="V817"/>
          <cell r="W817"/>
          <cell r="X817">
            <v>0</v>
          </cell>
          <cell r="Y817">
            <v>0</v>
          </cell>
          <cell r="Z817">
            <v>0</v>
          </cell>
          <cell r="AA817"/>
          <cell r="AB817" t="str">
            <v>Active - signed</v>
          </cell>
          <cell r="AC817" t="str">
            <v>ACTIVO</v>
          </cell>
          <cell r="AD817"/>
          <cell r="AE817"/>
          <cell r="AF817"/>
          <cell r="AG817"/>
          <cell r="AH817"/>
          <cell r="AI817" t="str">
            <v>45667422W</v>
          </cell>
        </row>
        <row r="818">
          <cell r="A818" t="str">
            <v>30985649A</v>
          </cell>
          <cell r="B818" t="str">
            <v>Orgaz Agüera</v>
          </cell>
          <cell r="C818" t="str">
            <v>Francisco</v>
          </cell>
          <cell r="D818" t="str">
            <v>Orgaz Agüera, Francisco</v>
          </cell>
          <cell r="E818" t="str">
            <v>francisco.orgaz@professor.universidadviu.com</v>
          </cell>
          <cell r="F818" t="str">
            <v>francisco.orgaz@professor.universidadviu.com</v>
          </cell>
          <cell r="G818" t="str">
            <v>Yes</v>
          </cell>
          <cell r="H818" t="str">
            <v>Yes</v>
          </cell>
          <cell r="I818" t="str">
            <v>Diplomado en Turismo</v>
          </cell>
          <cell r="J818" t="str">
            <v>Grado en Turismo</v>
          </cell>
          <cell r="K818" t="str">
            <v>Máster en Dirección y Planificación del Turismo</v>
          </cell>
          <cell r="L818" t="str">
            <v>Doctor en Turismo</v>
          </cell>
          <cell r="M818" t="str">
            <v>Labour</v>
          </cell>
          <cell r="N818" t="str">
            <v>Consultar a CCSS y Jurídicas</v>
          </cell>
          <cell r="O818" t="str">
            <v>CSS</v>
          </cell>
          <cell r="P818" t="str">
            <v>18,00</v>
          </cell>
          <cell r="Q818" t="b">
            <v>0</v>
          </cell>
          <cell r="R818"/>
          <cell r="S818"/>
          <cell r="T818" t="str">
            <v>Sin reducción</v>
          </cell>
          <cell r="U818">
            <v>0</v>
          </cell>
          <cell r="V818"/>
          <cell r="W818"/>
          <cell r="X818">
            <v>0</v>
          </cell>
          <cell r="Y818">
            <v>0</v>
          </cell>
          <cell r="Z818">
            <v>0</v>
          </cell>
          <cell r="AA818"/>
          <cell r="AB818" t="str">
            <v>Concluded</v>
          </cell>
          <cell r="AC818" t="str">
            <v>ACTIVO</v>
          </cell>
          <cell r="AD818"/>
          <cell r="AE818"/>
          <cell r="AF818"/>
          <cell r="AG818"/>
          <cell r="AH818"/>
          <cell r="AI818" t="str">
            <v>30985649A</v>
          </cell>
        </row>
        <row r="819">
          <cell r="A819" t="str">
            <v>45308850T</v>
          </cell>
          <cell r="B819" t="str">
            <v>Ortega Caballero</v>
          </cell>
          <cell r="C819" t="str">
            <v>Antonia</v>
          </cell>
          <cell r="D819" t="str">
            <v>Ortega Caballero, Antonia</v>
          </cell>
          <cell r="E819" t="str">
            <v>antonia.ortega</v>
          </cell>
          <cell r="F819" t="str">
            <v>antonia.ortega@professional.universidadviu.com</v>
          </cell>
          <cell r="G819" t="str">
            <v>Yes</v>
          </cell>
          <cell r="H819" t="str">
            <v>NO</v>
          </cell>
          <cell r="I819" t="str">
            <v>Programa Doctorado en Ciencias de la Educación</v>
          </cell>
          <cell r="J819" t="str">
            <v>Licenciado en Bellas Artes</v>
          </cell>
          <cell r="K819" t="str">
            <v>Máster en Gestión Cultural</v>
          </cell>
          <cell r="L819" t="str">
            <v/>
          </cell>
          <cell r="M819" t="str">
            <v>Professional</v>
          </cell>
          <cell r="N819" t="str">
            <v/>
          </cell>
          <cell r="O819" t="str">
            <v>CSS</v>
          </cell>
          <cell r="P819">
            <v>0</v>
          </cell>
          <cell r="Q819" t="str">
            <v xml:space="preserve"> </v>
          </cell>
          <cell r="R819"/>
          <cell r="S819"/>
          <cell r="T819" t="str">
            <v>Sin reducción</v>
          </cell>
          <cell r="U819">
            <v>0</v>
          </cell>
          <cell r="V819"/>
          <cell r="W819"/>
          <cell r="X819">
            <v>0</v>
          </cell>
          <cell r="Y819">
            <v>0</v>
          </cell>
          <cell r="Z819">
            <v>0</v>
          </cell>
          <cell r="AA819"/>
          <cell r="AB819" t="str">
            <v>Active - signed</v>
          </cell>
          <cell r="AC819" t="str">
            <v>ACTIVO</v>
          </cell>
          <cell r="AD819"/>
          <cell r="AE819"/>
          <cell r="AF819"/>
          <cell r="AG819"/>
          <cell r="AH819"/>
          <cell r="AI819" t="str">
            <v>45308850T</v>
          </cell>
        </row>
        <row r="820">
          <cell r="A820" t="str">
            <v>30695778R</v>
          </cell>
          <cell r="B820" t="str">
            <v>Ortega Castro</v>
          </cell>
          <cell r="C820" t="str">
            <v>Nerea</v>
          </cell>
          <cell r="D820" t="str">
            <v>Ortega Castro, Nerea</v>
          </cell>
          <cell r="E820" t="str">
            <v>nerea.ortega.c@professor.universidadviu.com</v>
          </cell>
          <cell r="F820" t="str">
            <v>nerea.ortega.c@professor.universidadviu.com</v>
          </cell>
          <cell r="G820" t="str">
            <v>Yes</v>
          </cell>
          <cell r="H820" t="str">
            <v>Yes</v>
          </cell>
          <cell r="I820" t="str">
            <v>Programa Doctorado en Psicología Experimental</v>
          </cell>
          <cell r="J820" t="str">
            <v>Licenciada</v>
          </cell>
          <cell r="K820" t="str">
            <v>Licenciada</v>
          </cell>
          <cell r="L820" t="str">
            <v/>
          </cell>
          <cell r="M820" t="str">
            <v>Labour</v>
          </cell>
          <cell r="N820" t="str">
            <v>Gómez Martínez, Sandra</v>
          </cell>
          <cell r="O820" t="str">
            <v>CSS</v>
          </cell>
          <cell r="P820">
            <v>100</v>
          </cell>
          <cell r="Q820" t="str">
            <v>50</v>
          </cell>
          <cell r="R820"/>
          <cell r="S820"/>
          <cell r="T820" t="str">
            <v>Sin reducción</v>
          </cell>
          <cell r="U820">
            <v>0</v>
          </cell>
          <cell r="V820"/>
          <cell r="W820"/>
          <cell r="X820">
            <v>2</v>
          </cell>
          <cell r="Y820">
            <v>0</v>
          </cell>
          <cell r="Z820">
            <v>0</v>
          </cell>
          <cell r="AA820"/>
          <cell r="AB820" t="str">
            <v>Decoupling</v>
          </cell>
          <cell r="AC820" t="str">
            <v>NO ACTIVO</v>
          </cell>
          <cell r="AD820"/>
          <cell r="AE820"/>
          <cell r="AF820">
            <v>46023</v>
          </cell>
          <cell r="AG820" t="str">
            <v>CESE DE CONTRATO</v>
          </cell>
          <cell r="AH820" t="str">
            <v>no sabemos fecha</v>
          </cell>
          <cell r="AI820" t="str">
            <v>30695778R</v>
          </cell>
        </row>
        <row r="821">
          <cell r="A821" t="str">
            <v>48407681H</v>
          </cell>
          <cell r="B821" t="str">
            <v>Ortega Gutiérrez</v>
          </cell>
          <cell r="C821" t="str">
            <v>Ana</v>
          </cell>
          <cell r="D821" t="str">
            <v>Ortega Gutiérrez, Ana</v>
          </cell>
          <cell r="E821" t="str">
            <v>ana.ortega</v>
          </cell>
          <cell r="F821" t="str">
            <v>ana.ortega@professional.universidadviu.com</v>
          </cell>
          <cell r="G821" t="str">
            <v>Yes</v>
          </cell>
          <cell r="H821" t="str">
            <v>NO</v>
          </cell>
          <cell r="I821" t="str">
            <v>Biología y Genética</v>
          </cell>
          <cell r="J821" t="str">
            <v>Máster Universitario en Investigación en Biología molecular, celular y genética</v>
          </cell>
          <cell r="K821" t="str">
            <v>Doctorado en Biotecnología</v>
          </cell>
          <cell r="L821" t="str">
            <v/>
          </cell>
          <cell r="M821" t="str">
            <v>Professional</v>
          </cell>
          <cell r="N821" t="str">
            <v/>
          </cell>
          <cell r="O821" t="str">
            <v>CBS</v>
          </cell>
          <cell r="P821">
            <v>0</v>
          </cell>
          <cell r="Q821" t="str">
            <v xml:space="preserve"> </v>
          </cell>
          <cell r="R821"/>
          <cell r="S821"/>
          <cell r="T821" t="str">
            <v>Sin reducción</v>
          </cell>
          <cell r="U821">
            <v>0</v>
          </cell>
          <cell r="V821"/>
          <cell r="W821"/>
          <cell r="X821">
            <v>0</v>
          </cell>
          <cell r="Y821">
            <v>0</v>
          </cell>
          <cell r="Z821">
            <v>0</v>
          </cell>
          <cell r="AA821"/>
          <cell r="AB821" t="str">
            <v>Active - signed</v>
          </cell>
          <cell r="AC821" t="str">
            <v>ACTIVO</v>
          </cell>
          <cell r="AD821"/>
          <cell r="AE821"/>
          <cell r="AF821"/>
          <cell r="AG821"/>
          <cell r="AH821"/>
          <cell r="AI821" t="str">
            <v>48407681H</v>
          </cell>
        </row>
        <row r="822">
          <cell r="A822" t="str">
            <v>16081026R</v>
          </cell>
          <cell r="B822" t="str">
            <v>Ortega Legarreta</v>
          </cell>
          <cell r="C822" t="str">
            <v>Asier</v>
          </cell>
          <cell r="D822" t="str">
            <v>Ortega Legarreta, Asier</v>
          </cell>
          <cell r="E822" t="str">
            <v>asier.ortega0@professional.universidadviu.com</v>
          </cell>
          <cell r="F822" t="str">
            <v>asier.ortega0@professional.universidadviu.com</v>
          </cell>
          <cell r="G822" t="str">
            <v>NO</v>
          </cell>
          <cell r="H822" t="str">
            <v>NO</v>
          </cell>
          <cell r="I822" t="str">
            <v>Biotecnología</v>
          </cell>
          <cell r="J822" t="str">
            <v>Máster universitario en Bioinformática</v>
          </cell>
          <cell r="K822" t="str">
            <v/>
          </cell>
          <cell r="L822" t="str">
            <v/>
          </cell>
          <cell r="M822" t="str">
            <v>Professional</v>
          </cell>
          <cell r="N822" t="str">
            <v/>
          </cell>
          <cell r="O822" t="str">
            <v>CBS</v>
          </cell>
          <cell r="P822">
            <v>0</v>
          </cell>
          <cell r="Q822" t="str">
            <v xml:space="preserve"> </v>
          </cell>
          <cell r="R822"/>
          <cell r="S822"/>
          <cell r="T822" t="str">
            <v>Sin reducción</v>
          </cell>
          <cell r="U822">
            <v>0</v>
          </cell>
          <cell r="V822"/>
          <cell r="W822"/>
          <cell r="X822">
            <v>0</v>
          </cell>
          <cell r="Y822">
            <v>0</v>
          </cell>
          <cell r="Z822">
            <v>0</v>
          </cell>
          <cell r="AA822"/>
          <cell r="AB822" t="str">
            <v>Active - signed</v>
          </cell>
          <cell r="AC822" t="str">
            <v>ACTIVO</v>
          </cell>
          <cell r="AD822"/>
          <cell r="AE822"/>
          <cell r="AF822"/>
          <cell r="AG822"/>
          <cell r="AH822"/>
          <cell r="AI822" t="str">
            <v>16081026R</v>
          </cell>
        </row>
        <row r="823">
          <cell r="A823" t="str">
            <v>24390487E</v>
          </cell>
          <cell r="B823" t="str">
            <v>Ortega Pérez de Villar</v>
          </cell>
          <cell r="C823" t="str">
            <v>Lucía</v>
          </cell>
          <cell r="D823" t="str">
            <v>Ortega Pérez de Villar, Lucía</v>
          </cell>
          <cell r="E823" t="str">
            <v>lucia.ortega</v>
          </cell>
          <cell r="F823" t="str">
            <v>lucia.ortega@professional.universidadviu.com</v>
          </cell>
          <cell r="G823" t="str">
            <v>Yes</v>
          </cell>
          <cell r="H823" t="str">
            <v>Yes</v>
          </cell>
          <cell r="I823" t="str">
            <v>Enfermería</v>
          </cell>
          <cell r="J823" t="str">
            <v>Graduada en fisioterapia</v>
          </cell>
          <cell r="K823" t="str">
            <v>Graduado/a en Enfermeria</v>
          </cell>
          <cell r="L823" t="str">
            <v/>
          </cell>
          <cell r="M823" t="str">
            <v>Professional</v>
          </cell>
          <cell r="N823" t="str">
            <v/>
          </cell>
          <cell r="O823" t="str">
            <v>CBS</v>
          </cell>
          <cell r="P823">
            <v>0</v>
          </cell>
          <cell r="Q823" t="str">
            <v xml:space="preserve"> </v>
          </cell>
          <cell r="R823"/>
          <cell r="S823"/>
          <cell r="T823" t="str">
            <v>Sin reducción</v>
          </cell>
          <cell r="U823">
            <v>0</v>
          </cell>
          <cell r="V823"/>
          <cell r="W823"/>
          <cell r="X823">
            <v>0</v>
          </cell>
          <cell r="Y823">
            <v>0</v>
          </cell>
          <cell r="Z823">
            <v>0</v>
          </cell>
          <cell r="AA823"/>
          <cell r="AB823" t="str">
            <v>Active - signed</v>
          </cell>
          <cell r="AC823" t="str">
            <v>ACTIVO</v>
          </cell>
          <cell r="AD823"/>
          <cell r="AE823"/>
          <cell r="AF823"/>
          <cell r="AG823"/>
          <cell r="AH823"/>
          <cell r="AI823" t="str">
            <v>24390487E</v>
          </cell>
        </row>
        <row r="824">
          <cell r="A824" t="str">
            <v>26240981M</v>
          </cell>
          <cell r="B824" t="str">
            <v>Ortega Segura</v>
          </cell>
          <cell r="C824" t="str">
            <v>Almudena</v>
          </cell>
          <cell r="D824" t="str">
            <v>Ortega Segura, Almudena</v>
          </cell>
          <cell r="E824" t="str">
            <v>aortegas@professor.universidadviu.com</v>
          </cell>
          <cell r="F824" t="str">
            <v>aortegas@professor.universidadviu.com</v>
          </cell>
          <cell r="G824" t="str">
            <v>Yes</v>
          </cell>
          <cell r="H824" t="str">
            <v>Yes</v>
          </cell>
          <cell r="I824" t="str">
            <v>Programa oficial de doctorado en Psicología</v>
          </cell>
          <cell r="J824" t="str">
            <v/>
          </cell>
          <cell r="K824" t="str">
            <v/>
          </cell>
          <cell r="L824" t="str">
            <v/>
          </cell>
          <cell r="M824" t="str">
            <v>Labour</v>
          </cell>
          <cell r="N824" t="str">
            <v>Rama Galdón, Encarnación</v>
          </cell>
          <cell r="O824" t="str">
            <v>CSS</v>
          </cell>
          <cell r="P824">
            <v>50</v>
          </cell>
          <cell r="Q824" t="str">
            <v>38</v>
          </cell>
          <cell r="R824" t="str">
            <v>Ampliación febrero</v>
          </cell>
          <cell r="S824"/>
          <cell r="T824" t="str">
            <v>Sin reducción</v>
          </cell>
          <cell r="U824">
            <v>0</v>
          </cell>
          <cell r="V824"/>
          <cell r="W824"/>
          <cell r="X824">
            <v>33.4</v>
          </cell>
          <cell r="Y824">
            <v>0</v>
          </cell>
          <cell r="Z824">
            <v>0</v>
          </cell>
          <cell r="AA824"/>
          <cell r="AB824" t="str">
            <v>Active - signed</v>
          </cell>
          <cell r="AC824" t="str">
            <v>ACTIVO</v>
          </cell>
          <cell r="AD824"/>
          <cell r="AE824"/>
          <cell r="AF824"/>
          <cell r="AG824"/>
          <cell r="AH824"/>
          <cell r="AI824" t="str">
            <v>26240981M</v>
          </cell>
        </row>
        <row r="825">
          <cell r="A825" t="str">
            <v>24372819H</v>
          </cell>
          <cell r="B825" t="str">
            <v>Ortiz Gil</v>
          </cell>
          <cell r="C825" t="str">
            <v>Jordi</v>
          </cell>
          <cell r="D825" t="str">
            <v>Ortiz Gil, Jordi</v>
          </cell>
          <cell r="E825" t="str">
            <v>jortizg@professional.universidadviu.com</v>
          </cell>
          <cell r="F825" t="str">
            <v>jortizg@professional.universidadviu.com</v>
          </cell>
          <cell r="G825" t="str">
            <v>Yes</v>
          </cell>
          <cell r="H825" t="str">
            <v>Yes</v>
          </cell>
          <cell r="I825" t="str">
            <v>Doctor en Medicina</v>
          </cell>
          <cell r="J825" t="str">
            <v>Máster en Neuropsicología Clínica</v>
          </cell>
          <cell r="K825" t="str">
            <v>Máster en Neurociencias</v>
          </cell>
          <cell r="L825" t="str">
            <v/>
          </cell>
          <cell r="M825" t="str">
            <v>Professional</v>
          </cell>
          <cell r="N825" t="str">
            <v/>
          </cell>
          <cell r="O825" t="str">
            <v>CSS</v>
          </cell>
          <cell r="P825">
            <v>0</v>
          </cell>
          <cell r="Q825" t="str">
            <v xml:space="preserve"> </v>
          </cell>
          <cell r="R825"/>
          <cell r="S825"/>
          <cell r="T825" t="str">
            <v>Sin reducción</v>
          </cell>
          <cell r="U825">
            <v>0</v>
          </cell>
          <cell r="V825"/>
          <cell r="W825"/>
          <cell r="X825">
            <v>0</v>
          </cell>
          <cell r="Y825">
            <v>0</v>
          </cell>
          <cell r="Z825">
            <v>0</v>
          </cell>
          <cell r="AA825"/>
          <cell r="AB825" t="str">
            <v>Active - signed</v>
          </cell>
          <cell r="AC825" t="str">
            <v>ACTIVO</v>
          </cell>
          <cell r="AD825"/>
          <cell r="AE825"/>
          <cell r="AF825"/>
          <cell r="AG825"/>
          <cell r="AH825"/>
          <cell r="AI825" t="str">
            <v>24372819H</v>
          </cell>
        </row>
        <row r="826">
          <cell r="A826" t="str">
            <v>48556605V</v>
          </cell>
          <cell r="B826" t="str">
            <v>Ortiz Marcos</v>
          </cell>
          <cell r="C826" t="str">
            <v>José Manuel</v>
          </cell>
          <cell r="D826" t="str">
            <v>Ortiz Marcos, José Manuel</v>
          </cell>
          <cell r="E826" t="str">
            <v>josem.ortiz</v>
          </cell>
          <cell r="F826" t="str">
            <v>josem.ortiz@professional.universidadviu.com</v>
          </cell>
          <cell r="G826" t="str">
            <v>Yes</v>
          </cell>
          <cell r="H826" t="str">
            <v>Yes</v>
          </cell>
          <cell r="I826" t="str">
            <v>Doctorado en ciencias de la educación</v>
          </cell>
          <cell r="J826" t="str">
            <v>Máster universitario en interpretación psicopedagogica</v>
          </cell>
          <cell r="K826" t="str">
            <v>Grado en educación primaria</v>
          </cell>
          <cell r="L826" t="str">
            <v/>
          </cell>
          <cell r="M826" t="str">
            <v>Professional</v>
          </cell>
          <cell r="N826" t="str">
            <v/>
          </cell>
          <cell r="O826" t="str">
            <v>CSS</v>
          </cell>
          <cell r="P826">
            <v>0</v>
          </cell>
          <cell r="Q826" t="str">
            <v xml:space="preserve"> </v>
          </cell>
          <cell r="R826"/>
          <cell r="S826"/>
          <cell r="T826" t="str">
            <v>Sin reducción</v>
          </cell>
          <cell r="U826">
            <v>0</v>
          </cell>
          <cell r="V826"/>
          <cell r="W826"/>
          <cell r="X826">
            <v>0</v>
          </cell>
          <cell r="Y826">
            <v>0</v>
          </cell>
          <cell r="Z826">
            <v>0</v>
          </cell>
          <cell r="AA826"/>
          <cell r="AB826" t="str">
            <v>Concluded</v>
          </cell>
          <cell r="AC826" t="str">
            <v>NO ACTIVO</v>
          </cell>
          <cell r="AD826"/>
          <cell r="AE826"/>
          <cell r="AF826">
            <v>45348</v>
          </cell>
          <cell r="AG826" t="str">
            <v>CESE DE CONTRATO</v>
          </cell>
          <cell r="AH826"/>
          <cell r="AI826" t="str">
            <v>48556605V</v>
          </cell>
        </row>
        <row r="827">
          <cell r="A827" t="str">
            <v>20847515Q</v>
          </cell>
          <cell r="B827" t="str">
            <v>Ortiz Mengual</v>
          </cell>
          <cell r="C827" t="str">
            <v>Montserrat</v>
          </cell>
          <cell r="D827" t="str">
            <v>Ortiz Mengual, Montserrat</v>
          </cell>
          <cell r="E827" t="str">
            <v>montserrat.ortiz</v>
          </cell>
          <cell r="F827" t="str">
            <v>montserrat.ortiz@professional.universidadviu.com</v>
          </cell>
          <cell r="G827" t="str">
            <v>Yes</v>
          </cell>
          <cell r="H827" t="str">
            <v>NO</v>
          </cell>
          <cell r="I827" t="str">
            <v>Doctorado en investigacion y desarrollo</v>
          </cell>
          <cell r="J827" t="str">
            <v>Master in formación en la investigacion</v>
          </cell>
          <cell r="K827" t="str">
            <v>Master universitario en formación dle profesorado de secundaria, bachillerato, FP y enseñanza de idiomas</v>
          </cell>
          <cell r="L827" t="str">
            <v>Licenciada en Biologia</v>
          </cell>
          <cell r="M827" t="str">
            <v>Professional</v>
          </cell>
          <cell r="N827" t="str">
            <v/>
          </cell>
          <cell r="O827" t="str">
            <v>CBS</v>
          </cell>
          <cell r="P827">
            <v>0</v>
          </cell>
          <cell r="Q827" t="str">
            <v xml:space="preserve"> </v>
          </cell>
          <cell r="R827"/>
          <cell r="S827"/>
          <cell r="T827" t="str">
            <v>Sin reducción</v>
          </cell>
          <cell r="U827">
            <v>0</v>
          </cell>
          <cell r="V827"/>
          <cell r="W827"/>
          <cell r="X827">
            <v>0</v>
          </cell>
          <cell r="Y827">
            <v>0</v>
          </cell>
          <cell r="Z827">
            <v>0</v>
          </cell>
          <cell r="AA827"/>
          <cell r="AB827" t="str">
            <v>Active - signed</v>
          </cell>
          <cell r="AC827" t="str">
            <v>ACTIVO</v>
          </cell>
          <cell r="AD827"/>
          <cell r="AE827"/>
          <cell r="AF827"/>
          <cell r="AG827"/>
          <cell r="AH827"/>
          <cell r="AI827" t="str">
            <v>20847515Q</v>
          </cell>
        </row>
        <row r="828">
          <cell r="A828" t="str">
            <v>48681035V</v>
          </cell>
          <cell r="B828" t="str">
            <v>Orts Jorquera</v>
          </cell>
          <cell r="C828" t="str">
            <v>Beatriz</v>
          </cell>
          <cell r="D828" t="str">
            <v>Orts Jorquera, Beatriz</v>
          </cell>
          <cell r="E828" t="str">
            <v>bortsj@professor.universidadviu.com</v>
          </cell>
          <cell r="F828" t="str">
            <v>bortsj@professor.universidadviu.com</v>
          </cell>
          <cell r="G828" t="str">
            <v>NO</v>
          </cell>
          <cell r="H828" t="str">
            <v>NO</v>
          </cell>
          <cell r="I828" t="str">
            <v/>
          </cell>
          <cell r="J828" t="str">
            <v/>
          </cell>
          <cell r="K828" t="str">
            <v/>
          </cell>
          <cell r="L828" t="str">
            <v/>
          </cell>
          <cell r="M828" t="str">
            <v>Labour</v>
          </cell>
          <cell r="N828" t="str">
            <v>Morell Esteve, Pere</v>
          </cell>
          <cell r="O828" t="str">
            <v>CBS</v>
          </cell>
          <cell r="P828">
            <v>15</v>
          </cell>
          <cell r="Q828" t="str">
            <v>15</v>
          </cell>
          <cell r="R828"/>
          <cell r="S828"/>
          <cell r="T828" t="str">
            <v>Sin reducción</v>
          </cell>
          <cell r="U828">
            <v>0</v>
          </cell>
          <cell r="V828"/>
          <cell r="W828"/>
          <cell r="X828">
            <v>0</v>
          </cell>
          <cell r="Y828">
            <v>11</v>
          </cell>
          <cell r="Z828">
            <v>0</v>
          </cell>
          <cell r="AA828"/>
          <cell r="AB828" t="str">
            <v>Active - signed</v>
          </cell>
          <cell r="AC828" t="str">
            <v>ACTIVO</v>
          </cell>
          <cell r="AD828">
            <v>45912</v>
          </cell>
          <cell r="AE828"/>
          <cell r="AF828"/>
          <cell r="AG828" t="str">
            <v>ENFERMEDAD</v>
          </cell>
          <cell r="AH828"/>
          <cell r="AI828" t="str">
            <v>48681035V</v>
          </cell>
        </row>
        <row r="829">
          <cell r="A829" t="str">
            <v>MXK346975</v>
          </cell>
          <cell r="B829" t="str">
            <v>Osorio García</v>
          </cell>
          <cell r="C829" t="str">
            <v>Carlos Manuel</v>
          </cell>
          <cell r="D829" t="str">
            <v>Osorio García, Carlos Manuel</v>
          </cell>
          <cell r="E829" t="str">
            <v>carlosmanuel.osorio</v>
          </cell>
          <cell r="F829" t="str">
            <v>carlosmanuel.osorio@professional.universidadviu.com</v>
          </cell>
          <cell r="G829" t="str">
            <v>Yes</v>
          </cell>
          <cell r="H829" t="str">
            <v>NO</v>
          </cell>
          <cell r="I829" t="str">
            <v>Doctorado</v>
          </cell>
          <cell r="J829" t="str">
            <v>Licenciatura en Psicología</v>
          </cell>
          <cell r="K829" t="str">
            <v>Master en Trabajo Social</v>
          </cell>
          <cell r="L829" t="str">
            <v/>
          </cell>
          <cell r="M829" t="str">
            <v>Professional</v>
          </cell>
          <cell r="N829" t="str">
            <v/>
          </cell>
          <cell r="O829" t="str">
            <v>CSS</v>
          </cell>
          <cell r="P829">
            <v>0</v>
          </cell>
          <cell r="Q829" t="str">
            <v xml:space="preserve"> </v>
          </cell>
          <cell r="R829"/>
          <cell r="S829"/>
          <cell r="T829" t="str">
            <v>Sin reducción</v>
          </cell>
          <cell r="U829">
            <v>0</v>
          </cell>
          <cell r="V829"/>
          <cell r="W829"/>
          <cell r="X829">
            <v>0</v>
          </cell>
          <cell r="Y829">
            <v>0</v>
          </cell>
          <cell r="Z829">
            <v>0</v>
          </cell>
          <cell r="AA829"/>
          <cell r="AB829" t="str">
            <v>Active - signed</v>
          </cell>
          <cell r="AC829" t="str">
            <v>ACTIVO</v>
          </cell>
          <cell r="AD829"/>
          <cell r="AE829"/>
          <cell r="AF829"/>
          <cell r="AG829"/>
          <cell r="AH829"/>
          <cell r="AI829" t="str">
            <v>MXK346975</v>
          </cell>
        </row>
        <row r="830">
          <cell r="A830" t="str">
            <v>Z0284656J</v>
          </cell>
          <cell r="B830" t="str">
            <v>Otero Castellanos</v>
          </cell>
          <cell r="C830" t="str">
            <v>Daniela</v>
          </cell>
          <cell r="D830" t="str">
            <v>Otero Castellanos, Daniela</v>
          </cell>
          <cell r="E830" t="str">
            <v>daniela.otero</v>
          </cell>
          <cell r="F830" t="str">
            <v>daniela.otero@professor.universidadviu.com</v>
          </cell>
          <cell r="G830" t="str">
            <v>NO</v>
          </cell>
          <cell r="H830" t="str">
            <v>NO</v>
          </cell>
          <cell r="I830" t="str">
            <v>Psicología</v>
          </cell>
          <cell r="J830" t="str">
            <v>Maestría en psicologia</v>
          </cell>
          <cell r="K830" t="str">
            <v/>
          </cell>
          <cell r="L830" t="str">
            <v/>
          </cell>
          <cell r="M830" t="str">
            <v>Labour</v>
          </cell>
          <cell r="N830" t="str">
            <v>Hernández Saguar, Aida Esther</v>
          </cell>
          <cell r="O830" t="str">
            <v>CSS</v>
          </cell>
          <cell r="P830">
            <v>100</v>
          </cell>
          <cell r="Q830" t="str">
            <v>50</v>
          </cell>
          <cell r="R830"/>
          <cell r="S830"/>
          <cell r="T830" t="str">
            <v>Sin reducción</v>
          </cell>
          <cell r="U830">
            <v>0</v>
          </cell>
          <cell r="V830"/>
          <cell r="W830"/>
          <cell r="X830">
            <v>49.3</v>
          </cell>
          <cell r="Y830">
            <v>0</v>
          </cell>
          <cell r="Z830">
            <v>0</v>
          </cell>
          <cell r="AA830"/>
          <cell r="AB830" t="str">
            <v>Active - signed</v>
          </cell>
          <cell r="AC830" t="str">
            <v>ACTIVO</v>
          </cell>
          <cell r="AD830"/>
          <cell r="AE830"/>
          <cell r="AF830"/>
          <cell r="AG830"/>
          <cell r="AH830"/>
          <cell r="AI830" t="str">
            <v>Z0284656J</v>
          </cell>
        </row>
        <row r="831">
          <cell r="A831" t="str">
            <v>76925861S</v>
          </cell>
          <cell r="B831" t="str">
            <v>Otero Dadin</v>
          </cell>
          <cell r="C831" t="str">
            <v>Cecilia</v>
          </cell>
          <cell r="D831" t="str">
            <v>Otero Dadin, Cecilia</v>
          </cell>
          <cell r="E831" t="str">
            <v>cecilia.otero</v>
          </cell>
          <cell r="F831" t="str">
            <v>cecilia.otero@professional.universidadviu.com</v>
          </cell>
          <cell r="G831" t="str">
            <v>Yes</v>
          </cell>
          <cell r="H831" t="str">
            <v>NO</v>
          </cell>
          <cell r="I831" t="str">
            <v>Psicología</v>
          </cell>
          <cell r="J831" t="str">
            <v>Máster universitario en neuropsicologia clínica</v>
          </cell>
          <cell r="K831" t="str">
            <v>Licenciada en Psicología</v>
          </cell>
          <cell r="L831" t="str">
            <v/>
          </cell>
          <cell r="M831" t="str">
            <v>Professional</v>
          </cell>
          <cell r="N831" t="str">
            <v/>
          </cell>
          <cell r="O831" t="str">
            <v>CSS</v>
          </cell>
          <cell r="P831">
            <v>0</v>
          </cell>
          <cell r="Q831" t="str">
            <v xml:space="preserve"> </v>
          </cell>
          <cell r="R831"/>
          <cell r="S831"/>
          <cell r="T831" t="str">
            <v>Sin reducción</v>
          </cell>
          <cell r="U831">
            <v>0</v>
          </cell>
          <cell r="V831"/>
          <cell r="W831"/>
          <cell r="X831">
            <v>0</v>
          </cell>
          <cell r="Y831">
            <v>0</v>
          </cell>
          <cell r="Z831">
            <v>0</v>
          </cell>
          <cell r="AA831"/>
          <cell r="AB831" t="str">
            <v>Active - signed</v>
          </cell>
          <cell r="AC831" t="str">
            <v>ACTIVO</v>
          </cell>
          <cell r="AD831"/>
          <cell r="AE831"/>
          <cell r="AF831"/>
          <cell r="AG831"/>
          <cell r="AH831"/>
          <cell r="AI831" t="str">
            <v>76925861S</v>
          </cell>
        </row>
        <row r="832">
          <cell r="A832" t="str">
            <v>32696562S</v>
          </cell>
          <cell r="B832" t="str">
            <v>Otero Fuertes</v>
          </cell>
          <cell r="C832" t="str">
            <v>María Paz</v>
          </cell>
          <cell r="D832" t="str">
            <v>Otero Fuertes, María Paz</v>
          </cell>
          <cell r="E832" t="str">
            <v>mariapaz.otero</v>
          </cell>
          <cell r="F832" t="str">
            <v>mariapaz.otero@professional.universidadviu.com</v>
          </cell>
          <cell r="G832" t="str">
            <v>Yes</v>
          </cell>
          <cell r="H832" t="str">
            <v>Yes</v>
          </cell>
          <cell r="I832" t="str">
            <v>Ciencia y tecnología de los alimentos</v>
          </cell>
          <cell r="J832" t="str">
            <v>Ingeniería Técnica Agrícola, especialidad Industrias Agrarias y Alimentarias</v>
          </cell>
          <cell r="K832" t="str">
            <v>Ingeniería Técnica Agrícola, especialidad Industrias Agrarias y Alimentarias</v>
          </cell>
          <cell r="L832" t="str">
            <v>Diploma de Estudios Avanzados (DEA)</v>
          </cell>
          <cell r="M832" t="str">
            <v>Professional</v>
          </cell>
          <cell r="N832" t="str">
            <v/>
          </cell>
          <cell r="O832" t="str">
            <v>CBS</v>
          </cell>
          <cell r="P832">
            <v>0</v>
          </cell>
          <cell r="Q832" t="str">
            <v xml:space="preserve"> </v>
          </cell>
          <cell r="R832"/>
          <cell r="S832"/>
          <cell r="T832" t="str">
            <v>Sin reducción</v>
          </cell>
          <cell r="U832">
            <v>0</v>
          </cell>
          <cell r="V832"/>
          <cell r="W832"/>
          <cell r="X832">
            <v>0</v>
          </cell>
          <cell r="Y832">
            <v>0</v>
          </cell>
          <cell r="Z832">
            <v>0</v>
          </cell>
          <cell r="AA832"/>
          <cell r="AB832" t="str">
            <v>Active - signed</v>
          </cell>
          <cell r="AC832" t="str">
            <v>ACTIVO</v>
          </cell>
          <cell r="AD832"/>
          <cell r="AE832"/>
          <cell r="AF832"/>
          <cell r="AG832"/>
          <cell r="AH832"/>
          <cell r="AI832" t="str">
            <v>32696562S</v>
          </cell>
        </row>
        <row r="833">
          <cell r="A833" t="str">
            <v>76925974J</v>
          </cell>
          <cell r="B833" t="str">
            <v>Otero Requeijo</v>
          </cell>
          <cell r="C833" t="str">
            <v>Miriam</v>
          </cell>
          <cell r="D833" t="str">
            <v>Otero Requeijo, Miriam</v>
          </cell>
          <cell r="E833" t="str">
            <v>miriam.otero</v>
          </cell>
          <cell r="F833" t="str">
            <v>miriam.otero@professor.universidadviu.com</v>
          </cell>
          <cell r="G833" t="str">
            <v>Yes</v>
          </cell>
          <cell r="H833" t="str">
            <v>Yes</v>
          </cell>
          <cell r="I833" t="str">
            <v>Programa Doctorado en Farmacología</v>
          </cell>
          <cell r="J833" t="str">
            <v>Programa Doctorado en Farmacología</v>
          </cell>
          <cell r="K833" t="str">
            <v>Licenciada en Psicología</v>
          </cell>
          <cell r="L833" t="str">
            <v/>
          </cell>
          <cell r="M833" t="str">
            <v>Labour</v>
          </cell>
          <cell r="N833" t="str">
            <v>Villanueva Blasco, Víctor José</v>
          </cell>
          <cell r="O833" t="str">
            <v>CSS</v>
          </cell>
          <cell r="P833">
            <v>100</v>
          </cell>
          <cell r="Q833" t="str">
            <v>50</v>
          </cell>
          <cell r="R833"/>
          <cell r="S833"/>
          <cell r="T833" t="str">
            <v>Sin reducción</v>
          </cell>
          <cell r="U833">
            <v>0</v>
          </cell>
          <cell r="V833"/>
          <cell r="W833"/>
          <cell r="X833">
            <v>30.6</v>
          </cell>
          <cell r="Y833">
            <v>0</v>
          </cell>
          <cell r="Z833">
            <v>10.7</v>
          </cell>
          <cell r="AA833"/>
          <cell r="AB833" t="str">
            <v>Active - signed</v>
          </cell>
          <cell r="AC833" t="str">
            <v>ACTIVO</v>
          </cell>
          <cell r="AD833"/>
          <cell r="AE833"/>
          <cell r="AF833"/>
          <cell r="AG833"/>
          <cell r="AH833"/>
          <cell r="AI833" t="str">
            <v>76925974J</v>
          </cell>
        </row>
        <row r="834">
          <cell r="A834">
            <v>9679719</v>
          </cell>
          <cell r="B834" t="str">
            <v>Ovalles Villegas</v>
          </cell>
          <cell r="C834" t="str">
            <v>Adriana Josefina</v>
          </cell>
          <cell r="D834" t="str">
            <v>Ovalles Villegas, Adriana Josefina</v>
          </cell>
          <cell r="E834" t="str">
            <v>adrianajosefina.ovalles</v>
          </cell>
          <cell r="F834" t="str">
            <v>adrianajosefina.ovalles@professional.universidadviu.com</v>
          </cell>
          <cell r="G834" t="str">
            <v>NO</v>
          </cell>
          <cell r="H834" t="str">
            <v>NO</v>
          </cell>
          <cell r="I834" t="str">
            <v>Magister en Orientación Educativa</v>
          </cell>
          <cell r="J834" t="str">
            <v>Licenciada en Educación Especial</v>
          </cell>
          <cell r="K834" t="str">
            <v/>
          </cell>
          <cell r="L834" t="str">
            <v/>
          </cell>
          <cell r="M834" t="str">
            <v>Professional</v>
          </cell>
          <cell r="N834" t="str">
            <v/>
          </cell>
          <cell r="O834" t="str">
            <v>CSS</v>
          </cell>
          <cell r="P834">
            <v>0</v>
          </cell>
          <cell r="Q834" t="str">
            <v xml:space="preserve"> </v>
          </cell>
          <cell r="R834"/>
          <cell r="S834"/>
          <cell r="T834" t="str">
            <v>Sin reducción</v>
          </cell>
          <cell r="U834">
            <v>0</v>
          </cell>
          <cell r="V834"/>
          <cell r="W834"/>
          <cell r="X834">
            <v>0</v>
          </cell>
          <cell r="Y834">
            <v>0</v>
          </cell>
          <cell r="Z834">
            <v>0</v>
          </cell>
          <cell r="AA834"/>
          <cell r="AB834" t="str">
            <v>Active - signed</v>
          </cell>
          <cell r="AC834" t="str">
            <v>ACTIVO</v>
          </cell>
          <cell r="AD834"/>
          <cell r="AE834"/>
          <cell r="AF834"/>
          <cell r="AG834"/>
          <cell r="AH834"/>
          <cell r="AI834">
            <v>9679719</v>
          </cell>
        </row>
        <row r="835">
          <cell r="A835" t="str">
            <v>51542895X</v>
          </cell>
          <cell r="B835" t="str">
            <v>Pacheco Romero</v>
          </cell>
          <cell r="C835" t="str">
            <v>Ana Mar</v>
          </cell>
          <cell r="D835" t="str">
            <v>Pacheco Romero, Ana Mar</v>
          </cell>
          <cell r="E835" t="str">
            <v>apachecor@professional.universidadviu.com</v>
          </cell>
          <cell r="F835" t="str">
            <v>apachecor@professional.universidadviu.com</v>
          </cell>
          <cell r="G835" t="str">
            <v>NO</v>
          </cell>
          <cell r="H835" t="str">
            <v>NO</v>
          </cell>
          <cell r="I835" t="str">
            <v>Máster Investigación en Psicología</v>
          </cell>
          <cell r="J835" t="str">
            <v>Grado en Psicología</v>
          </cell>
          <cell r="K835" t="str">
            <v/>
          </cell>
          <cell r="L835" t="str">
            <v/>
          </cell>
          <cell r="M835" t="str">
            <v>Professional</v>
          </cell>
          <cell r="N835" t="str">
            <v/>
          </cell>
          <cell r="O835" t="str">
            <v>CSS</v>
          </cell>
          <cell r="P835">
            <v>0</v>
          </cell>
          <cell r="Q835" t="str">
            <v xml:space="preserve"> </v>
          </cell>
          <cell r="R835"/>
          <cell r="S835"/>
          <cell r="T835" t="str">
            <v>Sin reducción</v>
          </cell>
          <cell r="U835">
            <v>0</v>
          </cell>
          <cell r="V835"/>
          <cell r="W835"/>
          <cell r="X835">
            <v>0</v>
          </cell>
          <cell r="Y835">
            <v>0</v>
          </cell>
          <cell r="Z835">
            <v>0</v>
          </cell>
          <cell r="AA835"/>
          <cell r="AB835" t="str">
            <v>Active - signed</v>
          </cell>
          <cell r="AC835" t="str">
            <v>ACTIVO</v>
          </cell>
          <cell r="AD835"/>
          <cell r="AE835"/>
          <cell r="AF835"/>
          <cell r="AG835"/>
          <cell r="AH835"/>
          <cell r="AI835" t="str">
            <v>51542895X</v>
          </cell>
        </row>
        <row r="836">
          <cell r="A836" t="str">
            <v>51703590G</v>
          </cell>
          <cell r="B836" t="str">
            <v>Pacho Hernández</v>
          </cell>
          <cell r="C836" t="str">
            <v>Juan Carlos</v>
          </cell>
          <cell r="D836" t="str">
            <v>Pacho Hernández, Juan Carlos</v>
          </cell>
          <cell r="E836" t="str">
            <v>jpachoh@professional.universidadviu.com</v>
          </cell>
          <cell r="F836" t="str">
            <v>jpachoh@professional.universidadviu.com</v>
          </cell>
          <cell r="G836" t="str">
            <v>NO</v>
          </cell>
          <cell r="H836" t="str">
            <v>NO</v>
          </cell>
          <cell r="I836" t="str">
            <v>Máster Universitario en Psicología General Sanitaria</v>
          </cell>
          <cell r="J836" t="str">
            <v>Grado en Psicología</v>
          </cell>
          <cell r="K836" t="str">
            <v/>
          </cell>
          <cell r="L836" t="str">
            <v/>
          </cell>
          <cell r="M836" t="str">
            <v>Professional</v>
          </cell>
          <cell r="N836" t="str">
            <v/>
          </cell>
          <cell r="O836" t="str">
            <v>CSS</v>
          </cell>
          <cell r="P836">
            <v>0</v>
          </cell>
          <cell r="Q836" t="str">
            <v xml:space="preserve"> </v>
          </cell>
          <cell r="R836"/>
          <cell r="S836"/>
          <cell r="T836" t="str">
            <v>Sin reducción</v>
          </cell>
          <cell r="U836">
            <v>0</v>
          </cell>
          <cell r="V836"/>
          <cell r="W836"/>
          <cell r="X836">
            <v>0</v>
          </cell>
          <cell r="Y836">
            <v>0</v>
          </cell>
          <cell r="Z836">
            <v>0</v>
          </cell>
          <cell r="AA836"/>
          <cell r="AB836" t="str">
            <v>Active - signed</v>
          </cell>
          <cell r="AC836" t="str">
            <v>NO ACTIVO</v>
          </cell>
          <cell r="AD836"/>
          <cell r="AE836"/>
          <cell r="AF836"/>
          <cell r="AG836" t="str">
            <v>CESE DE CONTRATO</v>
          </cell>
          <cell r="AH836"/>
          <cell r="AI836" t="str">
            <v>51703590G</v>
          </cell>
        </row>
        <row r="837">
          <cell r="A837" t="str">
            <v>02247517A</v>
          </cell>
          <cell r="B837" t="str">
            <v>Padilla Díaz</v>
          </cell>
          <cell r="C837" t="str">
            <v>Maria</v>
          </cell>
          <cell r="D837" t="str">
            <v>Padilla Díaz, Maria</v>
          </cell>
          <cell r="E837" t="str">
            <v>mpadillad@professional.universidadviu.com</v>
          </cell>
          <cell r="F837" t="str">
            <v>mpadillad@professional.universidadviu.com</v>
          </cell>
          <cell r="G837" t="str">
            <v>NO</v>
          </cell>
          <cell r="H837" t="str">
            <v>NO</v>
          </cell>
          <cell r="I837" t="str">
            <v>Máster Psicología Clínica y de la Salud</v>
          </cell>
          <cell r="J837" t="str">
            <v>Licenciada en Psicología</v>
          </cell>
          <cell r="K837" t="str">
            <v/>
          </cell>
          <cell r="L837" t="str">
            <v/>
          </cell>
          <cell r="M837" t="str">
            <v>Professional</v>
          </cell>
          <cell r="N837" t="str">
            <v/>
          </cell>
          <cell r="O837" t="str">
            <v>CSS</v>
          </cell>
          <cell r="P837">
            <v>0</v>
          </cell>
          <cell r="Q837" t="str">
            <v xml:space="preserve"> </v>
          </cell>
          <cell r="R837"/>
          <cell r="S837"/>
          <cell r="T837" t="str">
            <v>Sin reducción</v>
          </cell>
          <cell r="U837">
            <v>0</v>
          </cell>
          <cell r="V837"/>
          <cell r="W837"/>
          <cell r="X837">
            <v>0</v>
          </cell>
          <cell r="Y837">
            <v>0</v>
          </cell>
          <cell r="Z837">
            <v>0</v>
          </cell>
          <cell r="AA837"/>
          <cell r="AB837" t="str">
            <v>Active - signed</v>
          </cell>
          <cell r="AC837" t="str">
            <v>ACTIVO</v>
          </cell>
          <cell r="AD837"/>
          <cell r="AE837"/>
          <cell r="AF837"/>
          <cell r="AG837"/>
          <cell r="AH837"/>
          <cell r="AI837" t="str">
            <v>02247517A</v>
          </cell>
        </row>
        <row r="838">
          <cell r="A838" t="str">
            <v>26021268B</v>
          </cell>
          <cell r="B838" t="str">
            <v>Palacios López</v>
          </cell>
          <cell r="C838" t="str">
            <v>Mari Carmen</v>
          </cell>
          <cell r="D838" t="str">
            <v>Palacios López, Mari Carmen</v>
          </cell>
          <cell r="E838" t="str">
            <v>maika.palacios</v>
          </cell>
          <cell r="F838" t="str">
            <v>maika.palacios@professional.universidadviu.com</v>
          </cell>
          <cell r="G838" t="str">
            <v>NO</v>
          </cell>
          <cell r="H838" t="str">
            <v>NO</v>
          </cell>
          <cell r="I838" t="str">
            <v>Medicina</v>
          </cell>
          <cell r="J838" t="str">
            <v>Master universitario en valoración médica del año corporal</v>
          </cell>
          <cell r="K838" t="str">
            <v>Medica especialista en medicina del trabajo</v>
          </cell>
          <cell r="L838" t="str">
            <v/>
          </cell>
          <cell r="M838" t="str">
            <v>Professional</v>
          </cell>
          <cell r="N838" t="str">
            <v/>
          </cell>
          <cell r="O838" t="str">
            <v>CBS</v>
          </cell>
          <cell r="P838">
            <v>0</v>
          </cell>
          <cell r="Q838" t="str">
            <v xml:space="preserve"> </v>
          </cell>
          <cell r="R838"/>
          <cell r="S838"/>
          <cell r="T838" t="str">
            <v>Sin reducción</v>
          </cell>
          <cell r="U838">
            <v>0</v>
          </cell>
          <cell r="V838"/>
          <cell r="W838"/>
          <cell r="X838">
            <v>0</v>
          </cell>
          <cell r="Y838">
            <v>0</v>
          </cell>
          <cell r="Z838">
            <v>0</v>
          </cell>
          <cell r="AA838"/>
          <cell r="AB838" t="str">
            <v>Active - signed</v>
          </cell>
          <cell r="AC838" t="str">
            <v>ACTIVO</v>
          </cell>
          <cell r="AD838"/>
          <cell r="AE838"/>
          <cell r="AF838"/>
          <cell r="AG838"/>
          <cell r="AH838"/>
          <cell r="AI838" t="str">
            <v>26021268B</v>
          </cell>
        </row>
        <row r="839">
          <cell r="A839" t="str">
            <v>Z0052448J</v>
          </cell>
          <cell r="B839" t="str">
            <v>Palao Loayza</v>
          </cell>
          <cell r="C839" t="str">
            <v>Luis</v>
          </cell>
          <cell r="D839" t="str">
            <v>Palao Loayza, Luis</v>
          </cell>
          <cell r="E839" t="str">
            <v>lpalaol@professor.universidadviu.com</v>
          </cell>
          <cell r="F839" t="str">
            <v>lpalaol@professor.universidadviu.com</v>
          </cell>
          <cell r="G839" t="str">
            <v>NO</v>
          </cell>
          <cell r="H839" t="str">
            <v>NO</v>
          </cell>
          <cell r="I839" t="str">
            <v/>
          </cell>
          <cell r="J839" t="str">
            <v/>
          </cell>
          <cell r="K839" t="str">
            <v/>
          </cell>
          <cell r="L839" t="str">
            <v/>
          </cell>
          <cell r="M839" t="str">
            <v>Labour</v>
          </cell>
          <cell r="N839" t="str">
            <v>Rama Galdón, Encarnación</v>
          </cell>
          <cell r="O839" t="str">
            <v>CSS</v>
          </cell>
          <cell r="P839">
            <v>100</v>
          </cell>
          <cell r="Q839" t="str">
            <v>50</v>
          </cell>
          <cell r="R839" t="str">
            <v>Ampliación febrero</v>
          </cell>
          <cell r="S839"/>
          <cell r="T839" t="str">
            <v>Sin reducción</v>
          </cell>
          <cell r="U839">
            <v>0</v>
          </cell>
          <cell r="V839"/>
          <cell r="W839"/>
          <cell r="X839">
            <v>26.6</v>
          </cell>
          <cell r="Y839">
            <v>0</v>
          </cell>
          <cell r="Z839">
            <v>0</v>
          </cell>
          <cell r="AA839"/>
          <cell r="AB839" t="str">
            <v>Active - signed</v>
          </cell>
          <cell r="AC839" t="str">
            <v>ACTIVO</v>
          </cell>
          <cell r="AD839"/>
          <cell r="AE839"/>
          <cell r="AF839"/>
          <cell r="AG839"/>
          <cell r="AH839"/>
          <cell r="AI839" t="str">
            <v>Z0052448J</v>
          </cell>
        </row>
        <row r="840">
          <cell r="A840" t="str">
            <v>44861589C</v>
          </cell>
          <cell r="B840" t="str">
            <v>Palerm Martínez</v>
          </cell>
          <cell r="C840" t="str">
            <v>Mónica</v>
          </cell>
          <cell r="D840" t="str">
            <v>Palerm Martínez, Mónica</v>
          </cell>
          <cell r="E840" t="e">
            <v>#VALUE!</v>
          </cell>
          <cell r="F840" t="str">
            <v>monica.palerm@professor.universidadviu.com</v>
          </cell>
          <cell r="G840" t="e">
            <v>#VALUE!</v>
          </cell>
          <cell r="H840" t="e">
            <v>#VALUE!</v>
          </cell>
          <cell r="I840" t="str">
            <v>Licenciada en Derecho</v>
          </cell>
          <cell r="J840" t="str">
            <v/>
          </cell>
          <cell r="K840" t="str">
            <v/>
          </cell>
          <cell r="L840" t="str">
            <v/>
          </cell>
          <cell r="M840" t="e">
            <v>#VALUE!</v>
          </cell>
          <cell r="N840" t="str">
            <v>Silva López, Mariana</v>
          </cell>
          <cell r="O840" t="str">
            <v>CBS</v>
          </cell>
          <cell r="P840" t="str">
            <v xml:space="preserve"> </v>
          </cell>
          <cell r="Q840" t="b">
            <v>0</v>
          </cell>
          <cell r="R840"/>
          <cell r="S840"/>
          <cell r="T840" t="str">
            <v>Sin reducción</v>
          </cell>
          <cell r="U840">
            <v>0</v>
          </cell>
          <cell r="V840"/>
          <cell r="W840"/>
          <cell r="X840">
            <v>0</v>
          </cell>
          <cell r="Y840">
            <v>0</v>
          </cell>
          <cell r="Z840">
            <v>0</v>
          </cell>
          <cell r="AA840"/>
          <cell r="AB840" t="e">
            <v>#VALUE!</v>
          </cell>
          <cell r="AC840" t="str">
            <v>BAJA TEMPORAL</v>
          </cell>
          <cell r="AD840">
            <v>45838</v>
          </cell>
          <cell r="AE840">
            <v>46933</v>
          </cell>
          <cell r="AF840"/>
          <cell r="AG840" t="str">
            <v>EXCEDENCIA</v>
          </cell>
          <cell r="AH840"/>
          <cell r="AI840" t="str">
            <v>44861589C</v>
          </cell>
        </row>
        <row r="841">
          <cell r="A841" t="str">
            <v>38135306H</v>
          </cell>
          <cell r="B841" t="str">
            <v>Pallás Sanz</v>
          </cell>
          <cell r="C841" t="str">
            <v>Sergio</v>
          </cell>
          <cell r="D841" t="str">
            <v>Pallás Sanz, Sergio</v>
          </cell>
          <cell r="E841" t="str">
            <v>spallass@professional.universidadviu.com</v>
          </cell>
          <cell r="F841" t="str">
            <v>spallass@professional.universidadviu.com</v>
          </cell>
          <cell r="G841" t="str">
            <v>NO</v>
          </cell>
          <cell r="H841" t="str">
            <v>NO</v>
          </cell>
          <cell r="I841" t="str">
            <v>LICENCIADO PSICOLOGÍA</v>
          </cell>
          <cell r="J841" t="str">
            <v/>
          </cell>
          <cell r="K841" t="str">
            <v/>
          </cell>
          <cell r="L841" t="str">
            <v/>
          </cell>
          <cell r="M841" t="str">
            <v>Professional</v>
          </cell>
          <cell r="N841" t="str">
            <v/>
          </cell>
          <cell r="O841" t="str">
            <v>CSS</v>
          </cell>
          <cell r="P841">
            <v>0</v>
          </cell>
          <cell r="Q841" t="str">
            <v xml:space="preserve"> </v>
          </cell>
          <cell r="R841"/>
          <cell r="S841"/>
          <cell r="T841" t="str">
            <v>Sin reducción</v>
          </cell>
          <cell r="U841">
            <v>0</v>
          </cell>
          <cell r="V841"/>
          <cell r="W841"/>
          <cell r="X841">
            <v>0</v>
          </cell>
          <cell r="Y841">
            <v>0</v>
          </cell>
          <cell r="Z841">
            <v>0</v>
          </cell>
          <cell r="AA841"/>
          <cell r="AB841" t="str">
            <v>Active - signed</v>
          </cell>
          <cell r="AC841" t="str">
            <v>ACTIVO</v>
          </cell>
          <cell r="AD841"/>
          <cell r="AE841"/>
          <cell r="AF841"/>
          <cell r="AG841"/>
          <cell r="AH841"/>
          <cell r="AI841" t="str">
            <v>38135306H</v>
          </cell>
        </row>
        <row r="842">
          <cell r="A842" t="str">
            <v>51010724J</v>
          </cell>
          <cell r="B842" t="str">
            <v>Palomares Rodríguez</v>
          </cell>
          <cell r="C842" t="str">
            <v>Gemma</v>
          </cell>
          <cell r="D842" t="str">
            <v>Palomares Rodríguez, Gemma</v>
          </cell>
          <cell r="E842" t="str">
            <v>gemma.palomares@professor.universidadviu.com</v>
          </cell>
          <cell r="F842" t="str">
            <v>gemma.palomares@professor.universidadviu.com</v>
          </cell>
          <cell r="G842" t="str">
            <v>NO</v>
          </cell>
          <cell r="H842" t="str">
            <v>NO</v>
          </cell>
          <cell r="I842" t="str">
            <v>Graduada en Logopedia</v>
          </cell>
          <cell r="J842" t="str">
            <v/>
          </cell>
          <cell r="K842" t="str">
            <v/>
          </cell>
          <cell r="L842" t="str">
            <v/>
          </cell>
          <cell r="M842" t="str">
            <v>Labour</v>
          </cell>
          <cell r="N842" t="str">
            <v>Cano Villagrasa, Alejandro</v>
          </cell>
          <cell r="O842" t="str">
            <v>CBS</v>
          </cell>
          <cell r="P842">
            <v>50</v>
          </cell>
          <cell r="Q842" t="str">
            <v>38</v>
          </cell>
          <cell r="R842"/>
          <cell r="S842"/>
          <cell r="T842" t="str">
            <v>Sin reducción</v>
          </cell>
          <cell r="U842">
            <v>0</v>
          </cell>
          <cell r="V842"/>
          <cell r="W842"/>
          <cell r="X842">
            <v>0</v>
          </cell>
          <cell r="Y842">
            <v>39</v>
          </cell>
          <cell r="Z842">
            <v>0</v>
          </cell>
          <cell r="AA842"/>
          <cell r="AB842" t="str">
            <v>Active - signed</v>
          </cell>
          <cell r="AC842" t="str">
            <v>ACTIVO</v>
          </cell>
          <cell r="AD842"/>
          <cell r="AE842"/>
          <cell r="AF842"/>
          <cell r="AG842"/>
          <cell r="AH842"/>
          <cell r="AI842" t="str">
            <v>51010724J</v>
          </cell>
        </row>
        <row r="843">
          <cell r="A843" t="str">
            <v>32824719Q</v>
          </cell>
          <cell r="B843" t="str">
            <v>Pan Corrales</v>
          </cell>
          <cell r="C843" t="str">
            <v>Francisco</v>
          </cell>
          <cell r="D843" t="str">
            <v>Pan Corrales, Francisco</v>
          </cell>
          <cell r="E843" t="str">
            <v>francisco.pan</v>
          </cell>
          <cell r="F843" t="str">
            <v>francisco.pan@professional.universidadviu.com</v>
          </cell>
          <cell r="G843" t="str">
            <v>NO</v>
          </cell>
          <cell r="H843" t="str">
            <v>NO</v>
          </cell>
          <cell r="I843" t="str">
            <v>Diplomatura Enfermería</v>
          </cell>
          <cell r="J843" t="str">
            <v/>
          </cell>
          <cell r="K843" t="str">
            <v/>
          </cell>
          <cell r="L843" t="str">
            <v/>
          </cell>
          <cell r="M843" t="str">
            <v>Professional</v>
          </cell>
          <cell r="N843" t="str">
            <v/>
          </cell>
          <cell r="O843" t="str">
            <v>CBS</v>
          </cell>
          <cell r="P843">
            <v>0</v>
          </cell>
          <cell r="Q843" t="str">
            <v xml:space="preserve"> </v>
          </cell>
          <cell r="R843"/>
          <cell r="S843"/>
          <cell r="T843" t="str">
            <v>Sin reducción</v>
          </cell>
          <cell r="U843">
            <v>0</v>
          </cell>
          <cell r="V843"/>
          <cell r="W843"/>
          <cell r="X843">
            <v>0</v>
          </cell>
          <cell r="Y843">
            <v>0</v>
          </cell>
          <cell r="Z843">
            <v>0</v>
          </cell>
          <cell r="AA843"/>
          <cell r="AB843" t="str">
            <v>Active - signed</v>
          </cell>
          <cell r="AC843" t="str">
            <v>ACTIVO</v>
          </cell>
          <cell r="AD843"/>
          <cell r="AE843"/>
          <cell r="AF843"/>
          <cell r="AG843"/>
          <cell r="AH843"/>
          <cell r="AI843" t="str">
            <v>32824719Q</v>
          </cell>
        </row>
        <row r="844">
          <cell r="A844">
            <v>77020804855</v>
          </cell>
          <cell r="B844" t="str">
            <v>Pañellas Álvarez</v>
          </cell>
          <cell r="C844" t="str">
            <v>Daybel</v>
          </cell>
          <cell r="D844" t="str">
            <v>Pañellas Álvarez, Daybel</v>
          </cell>
          <cell r="E844" t="str">
            <v>dpanellasa@professional.universidadviu.com</v>
          </cell>
          <cell r="F844" t="str">
            <v>dpanellasa@professional.universidadviu.com</v>
          </cell>
          <cell r="G844" t="str">
            <v>NO</v>
          </cell>
          <cell r="H844" t="str">
            <v>NO</v>
          </cell>
          <cell r="I844" t="str">
            <v>Doctorado en Ciencias Psicológicas</v>
          </cell>
          <cell r="J844" t="str">
            <v>Licenciada en Ciencias Psicológicas</v>
          </cell>
          <cell r="K844" t="str">
            <v/>
          </cell>
          <cell r="L844" t="str">
            <v/>
          </cell>
          <cell r="M844" t="str">
            <v>Professional</v>
          </cell>
          <cell r="N844" t="str">
            <v/>
          </cell>
          <cell r="O844" t="str">
            <v>CSS</v>
          </cell>
          <cell r="P844">
            <v>0</v>
          </cell>
          <cell r="Q844" t="str">
            <v xml:space="preserve"> </v>
          </cell>
          <cell r="R844"/>
          <cell r="S844"/>
          <cell r="T844" t="str">
            <v>Sin reducción</v>
          </cell>
          <cell r="U844">
            <v>0</v>
          </cell>
          <cell r="V844"/>
          <cell r="W844"/>
          <cell r="X844">
            <v>0</v>
          </cell>
          <cell r="Y844">
            <v>0</v>
          </cell>
          <cell r="Z844">
            <v>0</v>
          </cell>
          <cell r="AA844"/>
          <cell r="AB844" t="str">
            <v>Active - signed</v>
          </cell>
          <cell r="AC844" t="str">
            <v>ACTIVO</v>
          </cell>
          <cell r="AD844"/>
          <cell r="AE844"/>
          <cell r="AF844"/>
          <cell r="AG844"/>
          <cell r="AH844"/>
          <cell r="AI844">
            <v>77020804855</v>
          </cell>
        </row>
        <row r="845">
          <cell r="A845" t="str">
            <v>79400971A</v>
          </cell>
          <cell r="B845" t="str">
            <v>Parada Fernández</v>
          </cell>
          <cell r="C845" t="str">
            <v>Pamela</v>
          </cell>
          <cell r="D845" t="str">
            <v>Parada Fernández, Pamela</v>
          </cell>
          <cell r="E845" t="str">
            <v>pamela.parada</v>
          </cell>
          <cell r="F845" t="str">
            <v>pamela.parada@professional.universidadviu.com</v>
          </cell>
          <cell r="G845" t="str">
            <v>Yes</v>
          </cell>
          <cell r="H845" t="str">
            <v>Yes</v>
          </cell>
          <cell r="I845" t="str">
            <v>Doctorado en Psicología Clínica y de la Salud</v>
          </cell>
          <cell r="J845" t="str">
            <v>Master universitario en psicologia de la salud</v>
          </cell>
          <cell r="K845" t="str">
            <v/>
          </cell>
          <cell r="L845" t="str">
            <v/>
          </cell>
          <cell r="M845" t="str">
            <v>Professional</v>
          </cell>
          <cell r="N845" t="str">
            <v/>
          </cell>
          <cell r="O845" t="str">
            <v>CSS</v>
          </cell>
          <cell r="P845">
            <v>0</v>
          </cell>
          <cell r="Q845" t="str">
            <v xml:space="preserve"> </v>
          </cell>
          <cell r="R845"/>
          <cell r="S845"/>
          <cell r="T845" t="str">
            <v>Sin reducción</v>
          </cell>
          <cell r="U845">
            <v>0</v>
          </cell>
          <cell r="V845"/>
          <cell r="W845"/>
          <cell r="X845">
            <v>0</v>
          </cell>
          <cell r="Y845">
            <v>0</v>
          </cell>
          <cell r="Z845">
            <v>0</v>
          </cell>
          <cell r="AA845"/>
          <cell r="AB845" t="str">
            <v>Active - signed</v>
          </cell>
          <cell r="AC845" t="str">
            <v>ACTIVO</v>
          </cell>
          <cell r="AD845"/>
          <cell r="AE845"/>
          <cell r="AF845"/>
          <cell r="AG845"/>
          <cell r="AH845"/>
          <cell r="AI845" t="str">
            <v>79400971A</v>
          </cell>
        </row>
        <row r="846">
          <cell r="A846" t="str">
            <v>77178482G</v>
          </cell>
          <cell r="B846" t="str">
            <v>Paramio Leiva</v>
          </cell>
          <cell r="C846" t="str">
            <v>Alberto</v>
          </cell>
          <cell r="D846" t="str">
            <v>Paramio Leiva, Alberto</v>
          </cell>
          <cell r="E846" t="str">
            <v>aparamiol@professor.universidadviu.com</v>
          </cell>
          <cell r="F846" t="str">
            <v>aparamiol@professor.universidadviu.com</v>
          </cell>
          <cell r="G846" t="str">
            <v>Yes</v>
          </cell>
          <cell r="H846" t="str">
            <v>Yes</v>
          </cell>
          <cell r="I846" t="str">
            <v>Doctor en Ciencias de la Salud (Psicología)</v>
          </cell>
          <cell r="J846" t="str">
            <v>Doctor en Ciencias de la Salud (Psicología)</v>
          </cell>
          <cell r="K846" t="str">
            <v>Máster Interuniversitario en Iniciación a la Investigación en Salud Mental</v>
          </cell>
          <cell r="L846" t="str">
            <v>Grado en Psicología</v>
          </cell>
          <cell r="M846" t="str">
            <v>Labour</v>
          </cell>
          <cell r="N846" t="str">
            <v>Rama Galdón, Encarnación</v>
          </cell>
          <cell r="O846" t="str">
            <v>CSS</v>
          </cell>
          <cell r="P846">
            <v>100</v>
          </cell>
          <cell r="Q846" t="str">
            <v>50</v>
          </cell>
          <cell r="R846"/>
          <cell r="S846"/>
          <cell r="T846" t="str">
            <v>Sin reducción</v>
          </cell>
          <cell r="U846">
            <v>0</v>
          </cell>
          <cell r="V846"/>
          <cell r="W846"/>
          <cell r="X846">
            <v>0</v>
          </cell>
          <cell r="Y846">
            <v>0</v>
          </cell>
          <cell r="Z846">
            <v>0</v>
          </cell>
          <cell r="AA846"/>
          <cell r="AB846" t="str">
            <v>Concluded</v>
          </cell>
          <cell r="AC846" t="str">
            <v>NO ACTIVO</v>
          </cell>
          <cell r="AD846"/>
          <cell r="AE846"/>
          <cell r="AF846">
            <v>45961</v>
          </cell>
          <cell r="AG846" t="str">
            <v>CESE DE CONTRATO</v>
          </cell>
          <cell r="AH846"/>
          <cell r="AI846" t="str">
            <v>77178482G</v>
          </cell>
        </row>
        <row r="847">
          <cell r="A847" t="str">
            <v>50983425S</v>
          </cell>
          <cell r="B847" t="str">
            <v>Pardo Salamanca</v>
          </cell>
          <cell r="C847" t="str">
            <v>Ana Belén</v>
          </cell>
          <cell r="D847" t="str">
            <v>Pardo Salamanca, Ana Belén</v>
          </cell>
          <cell r="E847" t="str">
            <v>anabelen.pardo.s</v>
          </cell>
          <cell r="F847" t="str">
            <v>anabelen.pardo.s@professor.universidadviu.com</v>
          </cell>
          <cell r="G847" t="str">
            <v>NO</v>
          </cell>
          <cell r="H847" t="str">
            <v>NO</v>
          </cell>
          <cell r="I847" t="str">
            <v>Licenciada en Pedagogía</v>
          </cell>
          <cell r="J847" t="str">
            <v>Máster Universitario de Necesidades Educativas Especiales</v>
          </cell>
          <cell r="K847" t="str">
            <v/>
          </cell>
          <cell r="L847" t="str">
            <v/>
          </cell>
          <cell r="M847" t="str">
            <v>Labour</v>
          </cell>
          <cell r="N847" t="str">
            <v>Consultar a Facultad de Educación</v>
          </cell>
          <cell r="O847" t="str">
            <v>CSS</v>
          </cell>
          <cell r="P847">
            <v>100</v>
          </cell>
          <cell r="Q847" t="str">
            <v>50</v>
          </cell>
          <cell r="R847"/>
          <cell r="S847"/>
          <cell r="T847" t="str">
            <v>Sin reducción</v>
          </cell>
          <cell r="U847">
            <v>0</v>
          </cell>
          <cell r="V847">
            <v>15</v>
          </cell>
          <cell r="W847" t="str">
            <v>EDUCACIÓN</v>
          </cell>
          <cell r="X847">
            <v>0</v>
          </cell>
          <cell r="Y847">
            <v>0</v>
          </cell>
          <cell r="Z847">
            <v>0</v>
          </cell>
          <cell r="AA847"/>
          <cell r="AB847" t="str">
            <v>Active - signed</v>
          </cell>
          <cell r="AC847" t="str">
            <v>ACTIVO</v>
          </cell>
          <cell r="AD847"/>
          <cell r="AE847"/>
          <cell r="AF847"/>
          <cell r="AG847"/>
          <cell r="AH847"/>
          <cell r="AI847" t="str">
            <v>50983425S</v>
          </cell>
        </row>
        <row r="848">
          <cell r="A848" t="str">
            <v>04842798X</v>
          </cell>
          <cell r="B848" t="str">
            <v>Paredes Garza</v>
          </cell>
          <cell r="C848" t="str">
            <v>Francisco</v>
          </cell>
          <cell r="D848" t="str">
            <v>Paredes Garza, Francisco</v>
          </cell>
          <cell r="E848" t="str">
            <v>fparedesg@professional.universidadviu.com</v>
          </cell>
          <cell r="F848" t="str">
            <v>fparedesg@professional.universidadviu.com</v>
          </cell>
          <cell r="G848" t="str">
            <v>NO</v>
          </cell>
          <cell r="H848" t="str">
            <v>NO</v>
          </cell>
          <cell r="I848" t="str">
            <v>Máster Universitario en Investigación en Ciencias de la Enfermería</v>
          </cell>
          <cell r="J848" t="str">
            <v>Master Universitario en Dirección y Gestión de  Enfermería</v>
          </cell>
          <cell r="K848" t="str">
            <v/>
          </cell>
          <cell r="L848" t="str">
            <v/>
          </cell>
          <cell r="M848" t="str">
            <v>Professional</v>
          </cell>
          <cell r="N848" t="str">
            <v/>
          </cell>
          <cell r="O848" t="str">
            <v>CBS</v>
          </cell>
          <cell r="P848">
            <v>0</v>
          </cell>
          <cell r="Q848" t="str">
            <v xml:space="preserve"> </v>
          </cell>
          <cell r="R848"/>
          <cell r="S848"/>
          <cell r="T848" t="str">
            <v>Sin reducción</v>
          </cell>
          <cell r="U848">
            <v>0</v>
          </cell>
          <cell r="V848"/>
          <cell r="W848"/>
          <cell r="X848">
            <v>0</v>
          </cell>
          <cell r="Y848">
            <v>0</v>
          </cell>
          <cell r="Z848">
            <v>0</v>
          </cell>
          <cell r="AA848"/>
          <cell r="AB848" t="str">
            <v>Active - signed</v>
          </cell>
          <cell r="AC848" t="str">
            <v>ACTIVO</v>
          </cell>
          <cell r="AD848"/>
          <cell r="AE848"/>
          <cell r="AF848"/>
          <cell r="AG848"/>
          <cell r="AH848"/>
          <cell r="AI848" t="str">
            <v>04842798X</v>
          </cell>
        </row>
        <row r="849">
          <cell r="A849" t="str">
            <v>14639119X</v>
          </cell>
          <cell r="B849" t="str">
            <v>Parejo Cano</v>
          </cell>
          <cell r="C849" t="str">
            <v>Álvaro</v>
          </cell>
          <cell r="D849" t="str">
            <v>Parejo Cano, Álvaro</v>
          </cell>
          <cell r="E849" t="str">
            <v>aparejac@professional.universidadviu.com</v>
          </cell>
          <cell r="F849" t="str">
            <v>aparejac@professional.universidadviu.com</v>
          </cell>
          <cell r="G849" t="str">
            <v>NO</v>
          </cell>
          <cell r="H849" t="str">
            <v>NO</v>
          </cell>
          <cell r="I849" t="str">
            <v>Máster oficial en Biomecánica y Fisioterapia Deportiva U</v>
          </cell>
          <cell r="J849" t="str">
            <v>Grado de Fisioterapia</v>
          </cell>
          <cell r="K849" t="str">
            <v/>
          </cell>
          <cell r="L849" t="str">
            <v/>
          </cell>
          <cell r="M849" t="str">
            <v>Professional</v>
          </cell>
          <cell r="N849"/>
          <cell r="O849" t="str">
            <v>CBS</v>
          </cell>
          <cell r="P849">
            <v>0</v>
          </cell>
          <cell r="Q849" t="str">
            <v xml:space="preserve"> </v>
          </cell>
          <cell r="R849"/>
          <cell r="S849"/>
          <cell r="T849" t="str">
            <v>Sin reducción</v>
          </cell>
          <cell r="U849">
            <v>0</v>
          </cell>
          <cell r="V849"/>
          <cell r="W849"/>
          <cell r="X849">
            <v>0</v>
          </cell>
          <cell r="Y849">
            <v>0</v>
          </cell>
          <cell r="Z849">
            <v>0</v>
          </cell>
          <cell r="AA849"/>
          <cell r="AB849" t="str">
            <v>Active - signed</v>
          </cell>
          <cell r="AC849" t="str">
            <v>ACTIVO</v>
          </cell>
          <cell r="AD849"/>
          <cell r="AE849"/>
          <cell r="AF849"/>
          <cell r="AG849"/>
          <cell r="AH849"/>
          <cell r="AI849" t="str">
            <v>14639119X</v>
          </cell>
        </row>
        <row r="850">
          <cell r="A850" t="str">
            <v>73100022L</v>
          </cell>
          <cell r="B850" t="str">
            <v>Parejo Pedrajas</v>
          </cell>
          <cell r="C850" t="str">
            <v>Sergi</v>
          </cell>
          <cell r="D850" t="str">
            <v>Parejo Pedrajas, Sergi</v>
          </cell>
          <cell r="E850" t="str">
            <v>sergi.parejo@professor.universidadviu.com</v>
          </cell>
          <cell r="F850" t="str">
            <v>sergi.parejo@professor.universidadviu.com</v>
          </cell>
          <cell r="G850" t="str">
            <v>NO</v>
          </cell>
          <cell r="H850" t="str">
            <v>NO</v>
          </cell>
          <cell r="I850" t="str">
            <v>Nutrición y Dietética</v>
          </cell>
          <cell r="J850" t="str">
            <v>MASTER EN BASES BIOLOGICAS Y ASESORAMIENTO NUTRICIONAL Y DEPORTIVO PERSONALIZADO</v>
          </cell>
          <cell r="K850" t="str">
            <v>MASTER EN FISIOLOGIA</v>
          </cell>
          <cell r="L850" t="str">
            <v/>
          </cell>
          <cell r="M850" t="str">
            <v>Labour</v>
          </cell>
          <cell r="N850" t="str">
            <v>Silva López, Mariana</v>
          </cell>
          <cell r="O850" t="str">
            <v>CBS</v>
          </cell>
          <cell r="P850">
            <v>40</v>
          </cell>
          <cell r="Q850" t="str">
            <v>32</v>
          </cell>
          <cell r="R850"/>
          <cell r="S850"/>
          <cell r="T850" t="str">
            <v>Sin reducción</v>
          </cell>
          <cell r="U850">
            <v>0</v>
          </cell>
          <cell r="V850"/>
          <cell r="W850"/>
          <cell r="X850">
            <v>0</v>
          </cell>
          <cell r="Y850">
            <v>29.7</v>
          </cell>
          <cell r="Z850">
            <v>0</v>
          </cell>
          <cell r="AA850"/>
          <cell r="AB850" t="str">
            <v>Active - signed</v>
          </cell>
          <cell r="AC850" t="str">
            <v>ACTIVO</v>
          </cell>
          <cell r="AD850"/>
          <cell r="AE850"/>
          <cell r="AF850"/>
          <cell r="AG850"/>
          <cell r="AH850"/>
          <cell r="AI850" t="str">
            <v>73100022L</v>
          </cell>
        </row>
        <row r="851">
          <cell r="A851" t="str">
            <v>AR20318292516</v>
          </cell>
          <cell r="B851" t="str">
            <v>Parellada</v>
          </cell>
          <cell r="C851" t="str">
            <v>Cristian Abraham</v>
          </cell>
          <cell r="D851" t="str">
            <v>Parellada, Cristian Abraham</v>
          </cell>
          <cell r="E851" t="str">
            <v>cparellada@professional.universidadviu.com</v>
          </cell>
          <cell r="F851" t="str">
            <v>cparellada@professional.universidadviu.com</v>
          </cell>
          <cell r="G851" t="str">
            <v>Yes</v>
          </cell>
          <cell r="H851" t="str">
            <v>NO</v>
          </cell>
          <cell r="I851" t="str">
            <v>Máster en Psicología Cognitiva y Aprendizaje</v>
          </cell>
          <cell r="J851" t="str">
            <v>Doctor en Psicología</v>
          </cell>
          <cell r="K851" t="str">
            <v/>
          </cell>
          <cell r="L851" t="str">
            <v/>
          </cell>
          <cell r="M851" t="str">
            <v>Professional</v>
          </cell>
          <cell r="N851" t="str">
            <v/>
          </cell>
          <cell r="O851" t="str">
            <v>CSS</v>
          </cell>
          <cell r="P851">
            <v>0</v>
          </cell>
          <cell r="Q851" t="str">
            <v xml:space="preserve"> </v>
          </cell>
          <cell r="R851"/>
          <cell r="S851"/>
          <cell r="T851" t="str">
            <v>Sin reducción</v>
          </cell>
          <cell r="U851">
            <v>0</v>
          </cell>
          <cell r="V851"/>
          <cell r="W851"/>
          <cell r="X851">
            <v>0</v>
          </cell>
          <cell r="Y851">
            <v>0</v>
          </cell>
          <cell r="Z851">
            <v>0</v>
          </cell>
          <cell r="AA851"/>
          <cell r="AB851" t="str">
            <v>Active - signed</v>
          </cell>
          <cell r="AC851" t="str">
            <v>ACTIVO</v>
          </cell>
          <cell r="AD851"/>
          <cell r="AE851"/>
          <cell r="AF851"/>
          <cell r="AG851"/>
          <cell r="AH851"/>
          <cell r="AI851" t="str">
            <v>AR20318292516</v>
          </cell>
        </row>
        <row r="852">
          <cell r="A852" t="str">
            <v>56101654P</v>
          </cell>
          <cell r="B852" t="str">
            <v>Parra Ortiz</v>
          </cell>
          <cell r="C852" t="str">
            <v>María Camila</v>
          </cell>
          <cell r="D852" t="str">
            <v>Parra Ortiz, María Camila</v>
          </cell>
          <cell r="E852" t="str">
            <v>mparrao@professor.universidadviu.com</v>
          </cell>
          <cell r="F852" t="str">
            <v>mparrao@professor.universidadviu.com</v>
          </cell>
          <cell r="G852" t="str">
            <v>Yes</v>
          </cell>
          <cell r="H852" t="str">
            <v>NO</v>
          </cell>
          <cell r="I852" t="str">
            <v>Transición y adaptación a la vida cotidiana en post-cuidadores familiares</v>
          </cell>
          <cell r="J852" t="str">
            <v>Transición y adaptación a la vida cotidiana en post-cuidadores familiares</v>
          </cell>
          <cell r="K852" t="str">
            <v>Master universitario en psicogerontologia</v>
          </cell>
          <cell r="L852" t="str">
            <v>Sociologa Clínica</v>
          </cell>
          <cell r="M852" t="str">
            <v>Labour</v>
          </cell>
          <cell r="N852" t="str">
            <v>Ródenas González, Francisco</v>
          </cell>
          <cell r="O852" t="str">
            <v>CSS</v>
          </cell>
          <cell r="P852">
            <v>100</v>
          </cell>
          <cell r="Q852" t="str">
            <v>50</v>
          </cell>
          <cell r="R852"/>
          <cell r="S852"/>
          <cell r="T852" t="str">
            <v>Sin reducción</v>
          </cell>
          <cell r="U852">
            <v>0</v>
          </cell>
          <cell r="V852"/>
          <cell r="W852"/>
          <cell r="X852">
            <v>46.2</v>
          </cell>
          <cell r="Y852">
            <v>0</v>
          </cell>
          <cell r="Z852">
            <v>0</v>
          </cell>
          <cell r="AA852"/>
          <cell r="AB852" t="str">
            <v>Active - signed</v>
          </cell>
          <cell r="AC852" t="str">
            <v>ACTIVO</v>
          </cell>
          <cell r="AD852">
            <v>45717</v>
          </cell>
          <cell r="AE852">
            <v>45732</v>
          </cell>
          <cell r="AF852"/>
          <cell r="AG852"/>
          <cell r="AH852"/>
          <cell r="AI852" t="str">
            <v>56101654P</v>
          </cell>
        </row>
        <row r="853">
          <cell r="A853" t="str">
            <v>74362995Q</v>
          </cell>
          <cell r="B853" t="str">
            <v>Parra Rizo</v>
          </cell>
          <cell r="C853" t="str">
            <v>María Antonia</v>
          </cell>
          <cell r="D853" t="str">
            <v>Parra Rizo, María Antonia</v>
          </cell>
          <cell r="E853" t="str">
            <v>mariaantonia.parra</v>
          </cell>
          <cell r="F853" t="str">
            <v>mariaantonia.parra@professor.universidadviu.com</v>
          </cell>
          <cell r="G853" t="str">
            <v>Yes</v>
          </cell>
          <cell r="H853" t="str">
            <v>Yes</v>
          </cell>
          <cell r="I853" t="str">
            <v>Programa Oficial de Doctorado en Psicología de la Salud</v>
          </cell>
          <cell r="J853" t="str">
            <v>Programa Oficial de Doctorado en Psicología de la Salud</v>
          </cell>
          <cell r="K853" t="str">
            <v>Licenciado en Psicología</v>
          </cell>
          <cell r="L853" t="str">
            <v/>
          </cell>
          <cell r="M853" t="str">
            <v>Labour</v>
          </cell>
          <cell r="N853" t="str">
            <v>Rama Galdón, Encarnación</v>
          </cell>
          <cell r="O853" t="str">
            <v>CSS</v>
          </cell>
          <cell r="P853">
            <v>100</v>
          </cell>
          <cell r="Q853" t="str">
            <v>50</v>
          </cell>
          <cell r="R853"/>
          <cell r="S853"/>
          <cell r="T853" t="str">
            <v>Sin reducción</v>
          </cell>
          <cell r="U853">
            <v>0</v>
          </cell>
          <cell r="V853">
            <v>50</v>
          </cell>
          <cell r="W853" t="str">
            <v>EDUCACIÓN</v>
          </cell>
          <cell r="X853">
            <v>2.7</v>
          </cell>
          <cell r="Y853">
            <v>0</v>
          </cell>
          <cell r="Z853">
            <v>2.1</v>
          </cell>
          <cell r="AA853"/>
          <cell r="AB853" t="str">
            <v>Active - signed</v>
          </cell>
          <cell r="AC853" t="str">
            <v>ACTIVO</v>
          </cell>
          <cell r="AD853"/>
          <cell r="AE853"/>
          <cell r="AF853"/>
          <cell r="AG853"/>
          <cell r="AH853"/>
          <cell r="AI853" t="str">
            <v>74362995Q</v>
          </cell>
        </row>
        <row r="854">
          <cell r="A854" t="str">
            <v>49225782D</v>
          </cell>
          <cell r="B854" t="str">
            <v>Pascu Bardot</v>
          </cell>
          <cell r="C854" t="str">
            <v>Suzana</v>
          </cell>
          <cell r="D854" t="str">
            <v>Pascu Bardot, Suzana</v>
          </cell>
          <cell r="E854" t="str">
            <v>spascub@professor.universidadviu.com</v>
          </cell>
          <cell r="F854" t="str">
            <v>spascub@professor.universidadviu.com</v>
          </cell>
          <cell r="G854" t="str">
            <v>NO</v>
          </cell>
          <cell r="H854" t="str">
            <v>NO</v>
          </cell>
          <cell r="I854" t="str">
            <v/>
          </cell>
          <cell r="J854" t="str">
            <v/>
          </cell>
          <cell r="K854" t="str">
            <v/>
          </cell>
          <cell r="L854" t="str">
            <v/>
          </cell>
          <cell r="M854" t="str">
            <v>Labour</v>
          </cell>
          <cell r="N854"/>
          <cell r="O854" t="str">
            <v>CSS</v>
          </cell>
          <cell r="P854">
            <v>50</v>
          </cell>
          <cell r="Q854" t="str">
            <v>38</v>
          </cell>
          <cell r="R854" t="str">
            <v>Laboralización marzo</v>
          </cell>
          <cell r="S854"/>
          <cell r="T854" t="str">
            <v>Sin reducción</v>
          </cell>
          <cell r="U854">
            <v>0</v>
          </cell>
          <cell r="V854"/>
          <cell r="W854"/>
          <cell r="X854">
            <v>30.6</v>
          </cell>
          <cell r="Y854">
            <v>0</v>
          </cell>
          <cell r="Z854">
            <v>0</v>
          </cell>
          <cell r="AA854"/>
          <cell r="AB854" t="str">
            <v>Pending Sign</v>
          </cell>
          <cell r="AC854" t="str">
            <v>ACTIVO</v>
          </cell>
          <cell r="AD854"/>
          <cell r="AE854"/>
          <cell r="AF854"/>
          <cell r="AG854"/>
          <cell r="AH854" t="str">
            <v>PTE. LABORALIZACIÓN/ PROPUESTA LABORAL</v>
          </cell>
          <cell r="AI854" t="str">
            <v>49225782D</v>
          </cell>
        </row>
        <row r="855">
          <cell r="A855" t="str">
            <v>60607229K</v>
          </cell>
          <cell r="B855" t="str">
            <v>Passi Concha</v>
          </cell>
          <cell r="C855" t="str">
            <v>Nicole Andrea</v>
          </cell>
          <cell r="D855" t="str">
            <v>Passi Concha, Nicole Andrea</v>
          </cell>
          <cell r="E855" t="str">
            <v>nicoleandrea.passi@professor.universidadviu.com</v>
          </cell>
          <cell r="F855" t="str">
            <v>nicoleandrea.passi@professor.universidadviu.com</v>
          </cell>
          <cell r="G855" t="str">
            <v>NO</v>
          </cell>
          <cell r="H855" t="str">
            <v>NO</v>
          </cell>
          <cell r="I855" t="str">
            <v>Máster universitario en neuropsicología clínica</v>
          </cell>
          <cell r="J855" t="str">
            <v>Psicologia</v>
          </cell>
          <cell r="K855" t="str">
            <v/>
          </cell>
          <cell r="L855" t="str">
            <v/>
          </cell>
          <cell r="M855" t="str">
            <v>Labour</v>
          </cell>
          <cell r="N855" t="str">
            <v>Rama Galdón, Encarnación</v>
          </cell>
          <cell r="O855" t="str">
            <v>CSS</v>
          </cell>
          <cell r="P855">
            <v>100</v>
          </cell>
          <cell r="Q855" t="str">
            <v>50</v>
          </cell>
          <cell r="R855"/>
          <cell r="S855"/>
          <cell r="T855" t="str">
            <v>Sin reducción</v>
          </cell>
          <cell r="U855">
            <v>0</v>
          </cell>
          <cell r="V855"/>
          <cell r="W855"/>
          <cell r="X855">
            <v>41.4</v>
          </cell>
          <cell r="Y855">
            <v>0</v>
          </cell>
          <cell r="Z855">
            <v>0</v>
          </cell>
          <cell r="AA855"/>
          <cell r="AB855" t="str">
            <v>Active - signed</v>
          </cell>
          <cell r="AC855" t="str">
            <v>ACTIVO</v>
          </cell>
          <cell r="AD855"/>
          <cell r="AE855"/>
          <cell r="AF855"/>
          <cell r="AG855"/>
          <cell r="AH855"/>
          <cell r="AI855" t="str">
            <v>60607229K</v>
          </cell>
        </row>
        <row r="856">
          <cell r="A856" t="str">
            <v>52494857W</v>
          </cell>
          <cell r="B856" t="str">
            <v>Pazos Cabaleiro</v>
          </cell>
          <cell r="C856" t="str">
            <v>Florencio</v>
          </cell>
          <cell r="D856" t="str">
            <v>Pazos Cabaleiro, Florencio</v>
          </cell>
          <cell r="E856" t="str">
            <v>fpazosc@professional.universidadviu.com</v>
          </cell>
          <cell r="F856" t="str">
            <v>fpazosc@professional.universidadviu.com</v>
          </cell>
          <cell r="G856" t="str">
            <v>NO</v>
          </cell>
          <cell r="H856" t="str">
            <v>NO</v>
          </cell>
          <cell r="I856" t="str">
            <v>Licenciado en Qímica. Esp. Bioquímica</v>
          </cell>
          <cell r="J856" t="str">
            <v/>
          </cell>
          <cell r="K856" t="str">
            <v/>
          </cell>
          <cell r="L856" t="str">
            <v/>
          </cell>
          <cell r="M856" t="str">
            <v>Professional</v>
          </cell>
          <cell r="N856" t="str">
            <v/>
          </cell>
          <cell r="O856" t="str">
            <v>CBS</v>
          </cell>
          <cell r="P856">
            <v>0</v>
          </cell>
          <cell r="Q856" t="str">
            <v xml:space="preserve"> </v>
          </cell>
          <cell r="R856"/>
          <cell r="S856"/>
          <cell r="T856" t="str">
            <v>Sin reducción</v>
          </cell>
          <cell r="U856">
            <v>0</v>
          </cell>
          <cell r="V856"/>
          <cell r="W856"/>
          <cell r="X856">
            <v>0</v>
          </cell>
          <cell r="Y856">
            <v>0</v>
          </cell>
          <cell r="Z856">
            <v>0</v>
          </cell>
          <cell r="AA856"/>
          <cell r="AB856" t="str">
            <v>Active - signed</v>
          </cell>
          <cell r="AC856" t="str">
            <v>ACTIVO</v>
          </cell>
          <cell r="AD856"/>
          <cell r="AE856"/>
          <cell r="AF856"/>
          <cell r="AG856"/>
          <cell r="AH856"/>
          <cell r="AI856" t="str">
            <v>52494857W</v>
          </cell>
        </row>
        <row r="857">
          <cell r="A857" t="str">
            <v>44932014L</v>
          </cell>
          <cell r="B857" t="str">
            <v>Pedelini Gassmann</v>
          </cell>
          <cell r="C857" t="str">
            <v>Leda</v>
          </cell>
          <cell r="D857" t="str">
            <v>Pedelini Gassmann, Leda</v>
          </cell>
          <cell r="E857" t="str">
            <v>leda.pedelini</v>
          </cell>
          <cell r="F857" t="str">
            <v>leda.pedelini@professor.universidadviu.com</v>
          </cell>
          <cell r="G857" t="str">
            <v>Yes</v>
          </cell>
          <cell r="H857" t="str">
            <v>Yes</v>
          </cell>
          <cell r="I857" t="str">
            <v>Programa Doctorado en Microbiología</v>
          </cell>
          <cell r="J857" t="str">
            <v>Programa Doctorado en Microbiología</v>
          </cell>
          <cell r="K857" t="str">
            <v>Licenciada en Biología</v>
          </cell>
          <cell r="L857" t="str">
            <v/>
          </cell>
          <cell r="M857" t="str">
            <v>Labour</v>
          </cell>
          <cell r="N857" t="str">
            <v>García Tejedor, Aurora</v>
          </cell>
          <cell r="O857" t="str">
            <v>CBS</v>
          </cell>
          <cell r="P857">
            <v>100</v>
          </cell>
          <cell r="Q857" t="str">
            <v>50</v>
          </cell>
          <cell r="R857"/>
          <cell r="S857"/>
          <cell r="T857" t="str">
            <v>Dirección de título Máster Universitario - 2 ediciones</v>
          </cell>
          <cell r="U857">
            <v>38</v>
          </cell>
          <cell r="V857"/>
          <cell r="W857"/>
          <cell r="X857">
            <v>0</v>
          </cell>
          <cell r="Y857">
            <v>12</v>
          </cell>
          <cell r="Z857">
            <v>12</v>
          </cell>
          <cell r="AA857"/>
          <cell r="AB857" t="str">
            <v>Active - signed</v>
          </cell>
          <cell r="AC857" t="str">
            <v>ACTIVO</v>
          </cell>
          <cell r="AD857"/>
          <cell r="AE857"/>
          <cell r="AF857"/>
          <cell r="AG857"/>
          <cell r="AH857"/>
          <cell r="AI857" t="str">
            <v>44932014L</v>
          </cell>
        </row>
        <row r="858">
          <cell r="A858" t="str">
            <v>53804408W</v>
          </cell>
          <cell r="B858" t="str">
            <v>Pedrero Tomé</v>
          </cell>
          <cell r="C858" t="str">
            <v>Roberto</v>
          </cell>
          <cell r="D858" t="str">
            <v>Pedrero Tomé, Roberto</v>
          </cell>
          <cell r="E858" t="str">
            <v>rpedrerot@professor.universidadviu.com</v>
          </cell>
          <cell r="F858" t="str">
            <v>rpedrerot@professor.universidadviu.com</v>
          </cell>
          <cell r="G858" t="str">
            <v>NO</v>
          </cell>
          <cell r="H858" t="str">
            <v>NO</v>
          </cell>
          <cell r="I858" t="str">
            <v/>
          </cell>
          <cell r="J858" t="str">
            <v/>
          </cell>
          <cell r="K858" t="str">
            <v/>
          </cell>
          <cell r="L858" t="str">
            <v/>
          </cell>
          <cell r="M858" t="str">
            <v>Labour</v>
          </cell>
          <cell r="N858" t="str">
            <v>Consultar Facultad Artes</v>
          </cell>
          <cell r="O858" t="str">
            <v>CBS</v>
          </cell>
          <cell r="P858">
            <v>18</v>
          </cell>
          <cell r="Q858" t="str">
            <v>18</v>
          </cell>
          <cell r="R858" t="str">
            <v>Laboralización enero (ARTES)</v>
          </cell>
          <cell r="S858"/>
          <cell r="T858" t="str">
            <v>Sin reducción</v>
          </cell>
          <cell r="U858">
            <v>0</v>
          </cell>
          <cell r="V858">
            <v>12</v>
          </cell>
          <cell r="W858" t="str">
            <v>ARTES</v>
          </cell>
          <cell r="X858">
            <v>0</v>
          </cell>
          <cell r="Y858">
            <v>3.5</v>
          </cell>
          <cell r="Z858">
            <v>2.8</v>
          </cell>
          <cell r="AA858"/>
          <cell r="AB858" t="str">
            <v>Active - signed</v>
          </cell>
          <cell r="AC858" t="str">
            <v>ACTIVO</v>
          </cell>
          <cell r="AD858"/>
          <cell r="AE858"/>
          <cell r="AF858"/>
          <cell r="AG858"/>
          <cell r="AH858"/>
          <cell r="AI858" t="str">
            <v>53804408W</v>
          </cell>
        </row>
        <row r="859">
          <cell r="A859" t="str">
            <v>49095691Y</v>
          </cell>
          <cell r="B859" t="str">
            <v>Pedroso Chaparro</v>
          </cell>
          <cell r="C859" t="str">
            <v>María del Sequeros</v>
          </cell>
          <cell r="D859" t="str">
            <v>Pedroso Chaparro, María del Sequeros</v>
          </cell>
          <cell r="E859" t="str">
            <v>mariadelsequeros.pedroso</v>
          </cell>
          <cell r="F859" t="str">
            <v>mariadelsequeros.pedroso@professional.universidadviu.com</v>
          </cell>
          <cell r="G859" t="str">
            <v>NO</v>
          </cell>
          <cell r="H859" t="str">
            <v>NO</v>
          </cell>
          <cell r="I859" t="str">
            <v>Máster Universitario en Psicología General Sanitaria</v>
          </cell>
          <cell r="J859" t="str">
            <v>Grado en Psicología</v>
          </cell>
          <cell r="K859" t="str">
            <v/>
          </cell>
          <cell r="L859" t="str">
            <v/>
          </cell>
          <cell r="M859" t="str">
            <v>Professional</v>
          </cell>
          <cell r="N859" t="str">
            <v/>
          </cell>
          <cell r="O859" t="str">
            <v>CSS</v>
          </cell>
          <cell r="P859">
            <v>0</v>
          </cell>
          <cell r="Q859" t="str">
            <v xml:space="preserve"> </v>
          </cell>
          <cell r="R859"/>
          <cell r="S859"/>
          <cell r="T859" t="str">
            <v>Sin reducción</v>
          </cell>
          <cell r="U859">
            <v>0</v>
          </cell>
          <cell r="V859"/>
          <cell r="W859"/>
          <cell r="X859">
            <v>0</v>
          </cell>
          <cell r="Y859">
            <v>0</v>
          </cell>
          <cell r="Z859">
            <v>0</v>
          </cell>
          <cell r="AA859"/>
          <cell r="AB859" t="str">
            <v>Active - signed</v>
          </cell>
          <cell r="AC859" t="str">
            <v>ACTIVO</v>
          </cell>
          <cell r="AD859"/>
          <cell r="AE859"/>
          <cell r="AF859"/>
          <cell r="AG859"/>
          <cell r="AH859"/>
          <cell r="AI859" t="str">
            <v>49095691Y</v>
          </cell>
        </row>
        <row r="860">
          <cell r="A860" t="str">
            <v>48364938D</v>
          </cell>
          <cell r="B860" t="str">
            <v>Pellín Amorós</v>
          </cell>
          <cell r="C860" t="str">
            <v>María</v>
          </cell>
          <cell r="D860" t="str">
            <v>Pellín Amorós, María</v>
          </cell>
          <cell r="E860" t="str">
            <v>mpellina@professor.universidadviu.com</v>
          </cell>
          <cell r="F860" t="str">
            <v>mpellina@professor.universidadviu.com</v>
          </cell>
          <cell r="G860" t="str">
            <v>NO</v>
          </cell>
          <cell r="H860" t="str">
            <v>NO</v>
          </cell>
          <cell r="I860" t="str">
            <v/>
          </cell>
          <cell r="J860" t="str">
            <v/>
          </cell>
          <cell r="K860" t="str">
            <v/>
          </cell>
          <cell r="L860" t="str">
            <v/>
          </cell>
          <cell r="M860" t="str">
            <v>Labour</v>
          </cell>
          <cell r="N860" t="str">
            <v>Navarro Tapia, Elisabet</v>
          </cell>
          <cell r="O860" t="str">
            <v>CBS</v>
          </cell>
          <cell r="P860">
            <v>8</v>
          </cell>
          <cell r="Q860" t="str">
            <v>8</v>
          </cell>
          <cell r="R860" t="str">
            <v>Laboralización Enero</v>
          </cell>
          <cell r="S860"/>
          <cell r="T860" t="str">
            <v>Sin reducción</v>
          </cell>
          <cell r="U860">
            <v>0</v>
          </cell>
          <cell r="V860"/>
          <cell r="W860"/>
          <cell r="X860">
            <v>0</v>
          </cell>
          <cell r="Y860">
            <v>7.8</v>
          </cell>
          <cell r="Z860">
            <v>7.8</v>
          </cell>
          <cell r="AA860"/>
          <cell r="AB860" t="str">
            <v>Active - signed</v>
          </cell>
          <cell r="AC860" t="str">
            <v>ACTIVO</v>
          </cell>
          <cell r="AD860"/>
          <cell r="AE860"/>
          <cell r="AF860"/>
          <cell r="AG860"/>
          <cell r="AH860"/>
          <cell r="AI860" t="str">
            <v>48364938D</v>
          </cell>
        </row>
        <row r="861">
          <cell r="A861" t="str">
            <v>29202327D</v>
          </cell>
          <cell r="B861" t="str">
            <v>Pellín Carcelén</v>
          </cell>
          <cell r="C861" t="str">
            <v>Ana</v>
          </cell>
          <cell r="D861" t="str">
            <v>Pellín Carcelén, Ana</v>
          </cell>
          <cell r="E861" t="str">
            <v>ana.pellin</v>
          </cell>
          <cell r="F861" t="str">
            <v>ana.pellin@professor.universidadviu.com</v>
          </cell>
          <cell r="G861" t="str">
            <v>Yes</v>
          </cell>
          <cell r="H861" t="str">
            <v>Yes</v>
          </cell>
          <cell r="I861" t="str">
            <v>Programa de doctorado en Patología de los Tumores Humanos</v>
          </cell>
          <cell r="J861" t="str">
            <v>Programa de doctorado en Patología de los Tumores Humanos</v>
          </cell>
          <cell r="K861" t="str">
            <v>Licenciada en Farmacia</v>
          </cell>
          <cell r="L861" t="str">
            <v/>
          </cell>
          <cell r="M861" t="str">
            <v>Labour</v>
          </cell>
          <cell r="N861" t="str">
            <v>García Tejedor, Aurora</v>
          </cell>
          <cell r="O861" t="str">
            <v>CBS</v>
          </cell>
          <cell r="P861">
            <v>100</v>
          </cell>
          <cell r="Q861" t="str">
            <v>50</v>
          </cell>
          <cell r="R861"/>
          <cell r="S861"/>
          <cell r="T861" t="str">
            <v>Dirección de título Máster Universitario - 2 ediciones</v>
          </cell>
          <cell r="U861">
            <v>38</v>
          </cell>
          <cell r="V861"/>
          <cell r="W861"/>
          <cell r="X861">
            <v>0</v>
          </cell>
          <cell r="Y861">
            <v>13</v>
          </cell>
          <cell r="Z861">
            <v>0</v>
          </cell>
          <cell r="AA861"/>
          <cell r="AB861" t="str">
            <v>Active - signed</v>
          </cell>
          <cell r="AC861" t="str">
            <v>ACTIVO</v>
          </cell>
          <cell r="AD861"/>
          <cell r="AE861"/>
          <cell r="AF861"/>
          <cell r="AG861"/>
          <cell r="AH861"/>
          <cell r="AI861" t="str">
            <v>29202327D</v>
          </cell>
        </row>
        <row r="862">
          <cell r="A862" t="str">
            <v>75785856M</v>
          </cell>
          <cell r="B862" t="str">
            <v>Peña Herrera</v>
          </cell>
          <cell r="C862" t="str">
            <v>Bernardo</v>
          </cell>
          <cell r="D862" t="str">
            <v>Peña Herrera, Bernardo</v>
          </cell>
          <cell r="E862" t="str">
            <v>bernardo.pena</v>
          </cell>
          <cell r="F862" t="str">
            <v>bernardo.pena@professional.universidadviu.com</v>
          </cell>
          <cell r="G862" t="str">
            <v>NO</v>
          </cell>
          <cell r="H862" t="str">
            <v>NO</v>
          </cell>
          <cell r="I862" t="str">
            <v>Máster universitario en análisis funcional en contextos clínicos y de la salud</v>
          </cell>
          <cell r="J862" t="str">
            <v>Licenciado en Psicología</v>
          </cell>
          <cell r="K862" t="str">
            <v/>
          </cell>
          <cell r="L862" t="str">
            <v/>
          </cell>
          <cell r="M862" t="str">
            <v>Professional</v>
          </cell>
          <cell r="N862" t="str">
            <v/>
          </cell>
          <cell r="O862" t="str">
            <v>CSS</v>
          </cell>
          <cell r="P862">
            <v>0</v>
          </cell>
          <cell r="Q862" t="str">
            <v xml:space="preserve"> </v>
          </cell>
          <cell r="R862"/>
          <cell r="S862"/>
          <cell r="T862" t="str">
            <v>Sin reducción</v>
          </cell>
          <cell r="U862">
            <v>0</v>
          </cell>
          <cell r="V862"/>
          <cell r="W862"/>
          <cell r="X862">
            <v>0</v>
          </cell>
          <cell r="Y862">
            <v>0</v>
          </cell>
          <cell r="Z862">
            <v>0</v>
          </cell>
          <cell r="AA862"/>
          <cell r="AB862" t="str">
            <v>Active - signed</v>
          </cell>
          <cell r="AC862" t="str">
            <v>ACTIVO</v>
          </cell>
          <cell r="AD862"/>
          <cell r="AE862"/>
          <cell r="AF862"/>
          <cell r="AG862"/>
          <cell r="AH862"/>
          <cell r="AI862" t="str">
            <v>75785856M</v>
          </cell>
        </row>
        <row r="863">
          <cell r="A863" t="str">
            <v>32721206A</v>
          </cell>
          <cell r="B863" t="str">
            <v>Peña Martínez</v>
          </cell>
          <cell r="C863" t="str">
            <v>Juliana</v>
          </cell>
          <cell r="D863" t="str">
            <v>Peña Martínez, Juliana</v>
          </cell>
          <cell r="E863" t="str">
            <v>juliana.pena@professor.universidadviu.com</v>
          </cell>
          <cell r="F863" t="str">
            <v>juliana.pena@professor.universidadviu.com</v>
          </cell>
          <cell r="G863" t="str">
            <v>Yes</v>
          </cell>
          <cell r="H863" t="str">
            <v>NO</v>
          </cell>
          <cell r="I863" t="str">
            <v>Doctorado Psicología Social</v>
          </cell>
          <cell r="J863" t="str">
            <v>Doctorado Psicología Social</v>
          </cell>
          <cell r="K863" t="str">
            <v>Licenciatura en Psicología</v>
          </cell>
          <cell r="L863" t="str">
            <v/>
          </cell>
          <cell r="M863" t="str">
            <v>Labour</v>
          </cell>
          <cell r="N863" t="str">
            <v>Rama Galdón, Encarnación</v>
          </cell>
          <cell r="O863" t="str">
            <v>CSS</v>
          </cell>
          <cell r="P863">
            <v>100</v>
          </cell>
          <cell r="Q863" t="str">
            <v>50</v>
          </cell>
          <cell r="R863"/>
          <cell r="S863"/>
          <cell r="T863" t="str">
            <v>Sin reducción</v>
          </cell>
          <cell r="U863">
            <v>0</v>
          </cell>
          <cell r="V863">
            <v>12</v>
          </cell>
          <cell r="W863" t="str">
            <v>JURÍDICO</v>
          </cell>
          <cell r="X863">
            <v>38.1</v>
          </cell>
          <cell r="Y863">
            <v>0</v>
          </cell>
          <cell r="Z863">
            <v>0</v>
          </cell>
          <cell r="AA863"/>
          <cell r="AB863" t="str">
            <v>Active - signed</v>
          </cell>
          <cell r="AC863" t="str">
            <v>ACTIVO</v>
          </cell>
          <cell r="AD863"/>
          <cell r="AE863"/>
          <cell r="AF863"/>
          <cell r="AG863"/>
          <cell r="AH863"/>
          <cell r="AI863" t="str">
            <v>32721206A</v>
          </cell>
        </row>
        <row r="864">
          <cell r="A864" t="str">
            <v>71135733E</v>
          </cell>
          <cell r="B864" t="str">
            <v>Peña Ramos</v>
          </cell>
          <cell r="C864" t="str">
            <v>Marta</v>
          </cell>
          <cell r="D864" t="str">
            <v>Peña Ramos, Marta</v>
          </cell>
          <cell r="E864" t="str">
            <v>marta.penar</v>
          </cell>
          <cell r="F864" t="str">
            <v>marta.penar@professional.universidadviu.com</v>
          </cell>
          <cell r="G864" t="str">
            <v>Yes</v>
          </cell>
          <cell r="H864" t="str">
            <v>NO</v>
          </cell>
          <cell r="I864" t="str">
            <v>Programa Doctorado en Psicología de la Salud</v>
          </cell>
          <cell r="J864" t="str">
            <v xml:space="preserve">Licenciada en Psicología </v>
          </cell>
          <cell r="K864" t="str">
            <v/>
          </cell>
          <cell r="L864" t="str">
            <v/>
          </cell>
          <cell r="M864" t="str">
            <v>Professional</v>
          </cell>
          <cell r="N864" t="str">
            <v/>
          </cell>
          <cell r="O864" t="str">
            <v>CSS</v>
          </cell>
          <cell r="P864">
            <v>0</v>
          </cell>
          <cell r="Q864" t="str">
            <v xml:space="preserve"> </v>
          </cell>
          <cell r="R864"/>
          <cell r="S864"/>
          <cell r="T864" t="str">
            <v>Sin reducción</v>
          </cell>
          <cell r="U864">
            <v>0</v>
          </cell>
          <cell r="V864"/>
          <cell r="W864"/>
          <cell r="X864">
            <v>0</v>
          </cell>
          <cell r="Y864">
            <v>0</v>
          </cell>
          <cell r="Z864">
            <v>0</v>
          </cell>
          <cell r="AA864"/>
          <cell r="AB864" t="str">
            <v>Active - signed</v>
          </cell>
          <cell r="AC864" t="str">
            <v>ACTIVO</v>
          </cell>
          <cell r="AD864"/>
          <cell r="AE864"/>
          <cell r="AF864"/>
          <cell r="AG864"/>
          <cell r="AH864"/>
          <cell r="AI864" t="str">
            <v>71135733E</v>
          </cell>
        </row>
        <row r="865">
          <cell r="A865" t="str">
            <v>53601948B</v>
          </cell>
          <cell r="B865" t="str">
            <v>Peñalver González</v>
          </cell>
          <cell r="C865" t="str">
            <v>Jonatan</v>
          </cell>
          <cell r="D865" t="str">
            <v>Peñalver González, Jonatan</v>
          </cell>
          <cell r="E865" t="str">
            <v>jonatan.penalver@professor.universidadviu.com</v>
          </cell>
          <cell r="F865" t="str">
            <v>jonatan.penalver@professor.universidadviu.com</v>
          </cell>
          <cell r="G865" t="str">
            <v>Yes</v>
          </cell>
          <cell r="H865" t="str">
            <v>Yes</v>
          </cell>
          <cell r="I865" t="str">
            <v>Doctorado</v>
          </cell>
          <cell r="J865" t="str">
            <v>Doctorado</v>
          </cell>
          <cell r="K865" t="str">
            <v>Licenciado en Psicología</v>
          </cell>
          <cell r="L865" t="str">
            <v/>
          </cell>
          <cell r="M865" t="str">
            <v>Labour</v>
          </cell>
          <cell r="N865" t="str">
            <v>Rama Galdón, Encarnación</v>
          </cell>
          <cell r="O865" t="str">
            <v>CSS</v>
          </cell>
          <cell r="P865">
            <v>100</v>
          </cell>
          <cell r="Q865" t="str">
            <v>50</v>
          </cell>
          <cell r="R865"/>
          <cell r="S865"/>
          <cell r="T865" t="str">
            <v>Sin reducción</v>
          </cell>
          <cell r="U865">
            <v>0</v>
          </cell>
          <cell r="V865"/>
          <cell r="W865"/>
          <cell r="X865">
            <v>0</v>
          </cell>
          <cell r="Y865">
            <v>0</v>
          </cell>
          <cell r="Z865">
            <v>0</v>
          </cell>
          <cell r="AA865"/>
          <cell r="AB865" t="str">
            <v>Concluded</v>
          </cell>
          <cell r="AC865" t="str">
            <v>NO ACTIVO</v>
          </cell>
          <cell r="AD865"/>
          <cell r="AE865"/>
          <cell r="AF865">
            <v>45970</v>
          </cell>
          <cell r="AG865" t="str">
            <v>CESE DE CONTRATO</v>
          </cell>
          <cell r="AH865"/>
          <cell r="AI865" t="str">
            <v>53601948B</v>
          </cell>
        </row>
        <row r="866">
          <cell r="A866" t="str">
            <v>70826459Y</v>
          </cell>
          <cell r="B866" t="str">
            <v>Peral Pérez</v>
          </cell>
          <cell r="C866" t="str">
            <v>Javier</v>
          </cell>
          <cell r="D866" t="str">
            <v>Peral Pérez, Javier</v>
          </cell>
          <cell r="E866" t="str">
            <v>javier.peral</v>
          </cell>
          <cell r="F866" t="str">
            <v>javier.peral@professor.universidadviu.com</v>
          </cell>
          <cell r="G866" t="str">
            <v>NO</v>
          </cell>
          <cell r="H866" t="str">
            <v>NO</v>
          </cell>
          <cell r="I866" t="str">
            <v>Graduado en Fisioterapia</v>
          </cell>
          <cell r="J866" t="str">
            <v/>
          </cell>
          <cell r="K866" t="str">
            <v/>
          </cell>
          <cell r="L866" t="str">
            <v/>
          </cell>
          <cell r="M866" t="str">
            <v>Labour</v>
          </cell>
          <cell r="N866" t="str">
            <v>Izquierdo Alventosa, Ruth</v>
          </cell>
          <cell r="O866" t="str">
            <v>CBS</v>
          </cell>
          <cell r="P866" t="str">
            <v>12,00</v>
          </cell>
          <cell r="Q866" t="b">
            <v>0</v>
          </cell>
          <cell r="R866"/>
          <cell r="S866"/>
          <cell r="T866" t="str">
            <v>Sin reducción</v>
          </cell>
          <cell r="U866">
            <v>0</v>
          </cell>
          <cell r="V866"/>
          <cell r="W866"/>
          <cell r="X866">
            <v>0</v>
          </cell>
          <cell r="Y866">
            <v>0</v>
          </cell>
          <cell r="Z866">
            <v>0</v>
          </cell>
          <cell r="AA866"/>
          <cell r="AB866" t="str">
            <v>Decoupling</v>
          </cell>
          <cell r="AC866" t="str">
            <v>NO ACTIVO</v>
          </cell>
          <cell r="AD866"/>
          <cell r="AE866"/>
          <cell r="AF866">
            <v>45862</v>
          </cell>
          <cell r="AG866" t="str">
            <v>CESE DE CONTRATO</v>
          </cell>
          <cell r="AH866"/>
          <cell r="AI866" t="str">
            <v>70826459Y</v>
          </cell>
        </row>
        <row r="867">
          <cell r="A867" t="str">
            <v>COAS732013</v>
          </cell>
          <cell r="B867" t="str">
            <v>Perdomo Colina</v>
          </cell>
          <cell r="C867" t="str">
            <v>Hugo Ernesto</v>
          </cell>
          <cell r="D867" t="str">
            <v>Perdomo Colina, Hugo Ernesto</v>
          </cell>
          <cell r="E867" t="str">
            <v>hugoernesto.perdomo</v>
          </cell>
          <cell r="F867" t="str">
            <v>hugoernesto.perdomo@professional.universidadviu.com</v>
          </cell>
          <cell r="G867" t="str">
            <v>Yes</v>
          </cell>
          <cell r="H867" t="str">
            <v>NO</v>
          </cell>
          <cell r="I867" t="str">
            <v>Programa Doctorado en Estudios Interdisciplinares de Género</v>
          </cell>
          <cell r="J867" t="str">
            <v>Máster universitario en intervención social en la sociedades del conocimiento</v>
          </cell>
          <cell r="K867" t="str">
            <v>Licenciado Sociología</v>
          </cell>
          <cell r="L867" t="str">
            <v/>
          </cell>
          <cell r="M867" t="str">
            <v>Professional</v>
          </cell>
          <cell r="N867" t="str">
            <v/>
          </cell>
          <cell r="O867" t="str">
            <v>CSS</v>
          </cell>
          <cell r="P867">
            <v>0</v>
          </cell>
          <cell r="Q867" t="str">
            <v xml:space="preserve"> </v>
          </cell>
          <cell r="R867"/>
          <cell r="S867"/>
          <cell r="T867" t="str">
            <v>Sin reducción</v>
          </cell>
          <cell r="U867">
            <v>0</v>
          </cell>
          <cell r="V867"/>
          <cell r="W867"/>
          <cell r="X867">
            <v>0</v>
          </cell>
          <cell r="Y867">
            <v>0</v>
          </cell>
          <cell r="Z867">
            <v>0</v>
          </cell>
          <cell r="AA867"/>
          <cell r="AB867" t="str">
            <v>Active - signed</v>
          </cell>
          <cell r="AC867" t="str">
            <v>ACTIVO</v>
          </cell>
          <cell r="AD867"/>
          <cell r="AE867"/>
          <cell r="AF867"/>
          <cell r="AG867"/>
          <cell r="AH867"/>
          <cell r="AI867" t="str">
            <v>COAS732013</v>
          </cell>
        </row>
        <row r="868">
          <cell r="A868" t="str">
            <v>78100709T</v>
          </cell>
          <cell r="B868" t="str">
            <v>Pereira Priego</v>
          </cell>
          <cell r="C868" t="str">
            <v>Cristina</v>
          </cell>
          <cell r="D868" t="str">
            <v>Pereira Priego, Cristina</v>
          </cell>
          <cell r="E868" t="str">
            <v>cpereirap@professional.universidadviu.com</v>
          </cell>
          <cell r="F868" t="str">
            <v>cpereirap@professional.universidadviu.com</v>
          </cell>
          <cell r="G868" t="str">
            <v>Yes</v>
          </cell>
          <cell r="H868" t="str">
            <v>NO</v>
          </cell>
          <cell r="I868" t="str">
            <v>Doctorado en Salud</v>
          </cell>
          <cell r="J868" t="str">
            <v>Máster Universitario en NeuropsicologÍa</v>
          </cell>
          <cell r="K868" t="str">
            <v>Graduada en ciencias Biomèdiques</v>
          </cell>
          <cell r="L868" t="str">
            <v/>
          </cell>
          <cell r="M868" t="str">
            <v>Professional</v>
          </cell>
          <cell r="N868" t="str">
            <v/>
          </cell>
          <cell r="O868" t="str">
            <v>CSS</v>
          </cell>
          <cell r="P868">
            <v>0</v>
          </cell>
          <cell r="Q868" t="str">
            <v xml:space="preserve"> </v>
          </cell>
          <cell r="R868"/>
          <cell r="S868"/>
          <cell r="T868" t="str">
            <v>Sin reducción</v>
          </cell>
          <cell r="U868">
            <v>0</v>
          </cell>
          <cell r="V868"/>
          <cell r="W868"/>
          <cell r="X868">
            <v>0</v>
          </cell>
          <cell r="Y868">
            <v>0</v>
          </cell>
          <cell r="Z868">
            <v>0</v>
          </cell>
          <cell r="AA868"/>
          <cell r="AB868" t="str">
            <v>Active - signed</v>
          </cell>
          <cell r="AC868" t="str">
            <v>ACTIVO</v>
          </cell>
          <cell r="AD868"/>
          <cell r="AE868"/>
          <cell r="AF868"/>
          <cell r="AG868"/>
          <cell r="AH868"/>
          <cell r="AI868" t="str">
            <v>78100709T</v>
          </cell>
        </row>
        <row r="869">
          <cell r="A869" t="str">
            <v>39707934K</v>
          </cell>
          <cell r="B869" t="str">
            <v>Perelló Berenguer</v>
          </cell>
          <cell r="C869" t="str">
            <v>Gemma</v>
          </cell>
          <cell r="D869" t="str">
            <v>Perelló Berenguer, Gemma</v>
          </cell>
          <cell r="E869" t="str">
            <v>gemma.perello</v>
          </cell>
          <cell r="F869" t="str">
            <v>gemma.perello@professional.universidadviu.com</v>
          </cell>
          <cell r="G869" t="str">
            <v>Yes</v>
          </cell>
          <cell r="H869" t="str">
            <v>Yes</v>
          </cell>
          <cell r="I869" t="str">
            <v>Nutrición y Dietética</v>
          </cell>
          <cell r="J869" t="str">
            <v>Programa Doctorado en Salud Mental Genética y Ambiental</v>
          </cell>
          <cell r="K869" t="str">
            <v>Máster Universitario de Profesorado de ESO, BAT, FP y Enseñanza de idiomas</v>
          </cell>
          <cell r="L869" t="str">
            <v xml:space="preserve">Licenciada en Ciencia y tecnología de los Alimentos </v>
          </cell>
          <cell r="M869" t="str">
            <v>Professional</v>
          </cell>
          <cell r="N869" t="str">
            <v/>
          </cell>
          <cell r="O869" t="str">
            <v>CBS</v>
          </cell>
          <cell r="P869">
            <v>0</v>
          </cell>
          <cell r="Q869" t="str">
            <v xml:space="preserve"> </v>
          </cell>
          <cell r="R869"/>
          <cell r="S869"/>
          <cell r="T869" t="str">
            <v>Sin reducción</v>
          </cell>
          <cell r="U869">
            <v>0</v>
          </cell>
          <cell r="V869"/>
          <cell r="W869"/>
          <cell r="X869">
            <v>0</v>
          </cell>
          <cell r="Y869">
            <v>0</v>
          </cell>
          <cell r="Z869">
            <v>0</v>
          </cell>
          <cell r="AA869"/>
          <cell r="AB869" t="str">
            <v>Active - signed</v>
          </cell>
          <cell r="AC869" t="str">
            <v>ACTIVO</v>
          </cell>
          <cell r="AD869"/>
          <cell r="AE869"/>
          <cell r="AF869"/>
          <cell r="AG869"/>
          <cell r="AH869"/>
          <cell r="AI869" t="str">
            <v>39707934K</v>
          </cell>
        </row>
        <row r="870">
          <cell r="A870" t="str">
            <v>13377735S</v>
          </cell>
          <cell r="B870" t="str">
            <v>Pérez</v>
          </cell>
          <cell r="C870" t="str">
            <v>Joana Vanesa</v>
          </cell>
          <cell r="D870" t="str">
            <v>Pérez, Joana Vanesa</v>
          </cell>
          <cell r="E870" t="e">
            <v>#VALUE!</v>
          </cell>
          <cell r="F870" t="str">
            <v>joanavanesa.perez@professor.universidadviu.com</v>
          </cell>
          <cell r="G870" t="e">
            <v>#VALUE!</v>
          </cell>
          <cell r="H870" t="e">
            <v>#VALUE!</v>
          </cell>
          <cell r="I870" t="str">
            <v>Doctorado</v>
          </cell>
          <cell r="J870" t="str">
            <v>Doctorado</v>
          </cell>
          <cell r="K870" t="str">
            <v>Licenciado en Psicología</v>
          </cell>
          <cell r="L870" t="str">
            <v>MU Neurociencias Básicas y Aplicadas</v>
          </cell>
          <cell r="M870" t="e">
            <v>#VALUE!</v>
          </cell>
          <cell r="N870" t="str">
            <v>Rama Galdón, Encarnación</v>
          </cell>
          <cell r="O870" t="str">
            <v>CSS</v>
          </cell>
          <cell r="P870" t="str">
            <v xml:space="preserve"> </v>
          </cell>
          <cell r="Q870" t="b">
            <v>0</v>
          </cell>
          <cell r="R870"/>
          <cell r="S870"/>
          <cell r="T870" t="str">
            <v>Sin reducción</v>
          </cell>
          <cell r="U870">
            <v>0</v>
          </cell>
          <cell r="V870"/>
          <cell r="W870"/>
          <cell r="X870">
            <v>0</v>
          </cell>
          <cell r="Y870">
            <v>0</v>
          </cell>
          <cell r="Z870">
            <v>0</v>
          </cell>
          <cell r="AA870"/>
          <cell r="AB870" t="e">
            <v>#VALUE!</v>
          </cell>
          <cell r="AC870" t="str">
            <v>BAJA TEMPORAL</v>
          </cell>
          <cell r="AD870">
            <v>45755</v>
          </cell>
          <cell r="AE870">
            <v>46120</v>
          </cell>
          <cell r="AF870"/>
          <cell r="AG870" t="str">
            <v>EXCEDENCIA</v>
          </cell>
          <cell r="AH870"/>
          <cell r="AI870" t="str">
            <v>13377735S</v>
          </cell>
        </row>
        <row r="871">
          <cell r="A871" t="str">
            <v>50546626D</v>
          </cell>
          <cell r="B871" t="str">
            <v>Pérez Alonso</v>
          </cell>
          <cell r="C871" t="str">
            <v>Antonio</v>
          </cell>
          <cell r="D871" t="str">
            <v>Pérez Alonso, Antonio</v>
          </cell>
          <cell r="E871" t="str">
            <v>antonio.perez.a</v>
          </cell>
          <cell r="F871" t="str">
            <v>antonio.perez.a@professor.universidadviu.com</v>
          </cell>
          <cell r="G871" t="str">
            <v>NO</v>
          </cell>
          <cell r="H871" t="str">
            <v>NO</v>
          </cell>
          <cell r="I871" t="str">
            <v>Máster Universitario en Dirección y Gestión de Enfermería</v>
          </cell>
          <cell r="J871" t="str">
            <v>Máster Universiario en Estudio y Tratamiento del Dolor</v>
          </cell>
          <cell r="K871" t="str">
            <v>Diplomado en Enfermería</v>
          </cell>
          <cell r="L871" t="str">
            <v/>
          </cell>
          <cell r="M871" t="str">
            <v>Labour</v>
          </cell>
          <cell r="N871"/>
          <cell r="O871" t="str">
            <v>CBS</v>
          </cell>
          <cell r="P871" t="str">
            <v>50,00</v>
          </cell>
          <cell r="Q871" t="b">
            <v>0</v>
          </cell>
          <cell r="R871"/>
          <cell r="S871"/>
          <cell r="T871" t="str">
            <v>Sin reducción</v>
          </cell>
          <cell r="U871">
            <v>0</v>
          </cell>
          <cell r="V871"/>
          <cell r="W871"/>
          <cell r="X871">
            <v>0</v>
          </cell>
          <cell r="Y871">
            <v>0</v>
          </cell>
          <cell r="Z871">
            <v>0</v>
          </cell>
          <cell r="AA871"/>
          <cell r="AB871" t="str">
            <v>Concluded</v>
          </cell>
          <cell r="AC871" t="str">
            <v>NO ACTIVO</v>
          </cell>
          <cell r="AD871"/>
          <cell r="AE871"/>
          <cell r="AF871">
            <v>45504</v>
          </cell>
          <cell r="AG871" t="str">
            <v>CESE DE CONTRATO</v>
          </cell>
          <cell r="AH871"/>
          <cell r="AI871" t="str">
            <v>50546626D</v>
          </cell>
        </row>
        <row r="872">
          <cell r="A872" t="str">
            <v>78937913G</v>
          </cell>
          <cell r="B872" t="str">
            <v>Pérez Álvarez</v>
          </cell>
          <cell r="C872" t="str">
            <v>Manuel</v>
          </cell>
          <cell r="D872" t="str">
            <v>Pérez Álvarez, Manuel</v>
          </cell>
          <cell r="E872" t="str">
            <v>manuel.pe</v>
          </cell>
          <cell r="F872" t="str">
            <v>manuel.pe@professional.universidadviu.com</v>
          </cell>
          <cell r="G872" t="str">
            <v>Yes</v>
          </cell>
          <cell r="H872" t="str">
            <v>Yes</v>
          </cell>
          <cell r="I872" t="str">
            <v>Máster universitario en psicología general sanitaria</v>
          </cell>
          <cell r="J872" t="str">
            <v>Doctorado</v>
          </cell>
          <cell r="K872" t="str">
            <v>Master universitario en salud mental y terapias psicológicas</v>
          </cell>
          <cell r="L872" t="str">
            <v>Licenciado en Psicología</v>
          </cell>
          <cell r="M872" t="str">
            <v>Professional</v>
          </cell>
          <cell r="N872" t="str">
            <v/>
          </cell>
          <cell r="O872" t="str">
            <v>CSS</v>
          </cell>
          <cell r="P872">
            <v>0</v>
          </cell>
          <cell r="Q872" t="str">
            <v xml:space="preserve"> </v>
          </cell>
          <cell r="R872"/>
          <cell r="S872"/>
          <cell r="T872" t="str">
            <v>Sin reducción</v>
          </cell>
          <cell r="U872">
            <v>0</v>
          </cell>
          <cell r="V872"/>
          <cell r="W872"/>
          <cell r="X872">
            <v>0</v>
          </cell>
          <cell r="Y872">
            <v>0</v>
          </cell>
          <cell r="Z872">
            <v>0</v>
          </cell>
          <cell r="AA872"/>
          <cell r="AB872" t="str">
            <v>Active - signed</v>
          </cell>
          <cell r="AC872" t="str">
            <v>ACTIVO</v>
          </cell>
          <cell r="AD872"/>
          <cell r="AE872"/>
          <cell r="AF872"/>
          <cell r="AG872"/>
          <cell r="AH872"/>
          <cell r="AI872" t="str">
            <v>78937913G</v>
          </cell>
        </row>
        <row r="873">
          <cell r="A873" t="str">
            <v>22582310J</v>
          </cell>
          <cell r="B873" t="str">
            <v>Pérez Camps</v>
          </cell>
          <cell r="C873" t="str">
            <v>Mireia</v>
          </cell>
          <cell r="D873" t="str">
            <v>Pérez Camps, Mireia</v>
          </cell>
          <cell r="E873" t="str">
            <v>mireia.perez.c</v>
          </cell>
          <cell r="F873" t="str">
            <v>mireia.perez.c@professional.universidadviu.com</v>
          </cell>
          <cell r="G873" t="str">
            <v>Yes</v>
          </cell>
          <cell r="H873" t="str">
            <v>NO</v>
          </cell>
          <cell r="I873" t="str">
            <v>Biología y Genética</v>
          </cell>
          <cell r="J873" t="str">
            <v>Máster universitario en Biología molecular, celular y genética</v>
          </cell>
          <cell r="K873" t="str">
            <v>Licenciada en Biología</v>
          </cell>
          <cell r="L873" t="str">
            <v>Ingeniera Agrónoma</v>
          </cell>
          <cell r="M873" t="str">
            <v>Professional</v>
          </cell>
          <cell r="N873" t="str">
            <v/>
          </cell>
          <cell r="O873" t="str">
            <v>CBS</v>
          </cell>
          <cell r="P873">
            <v>0</v>
          </cell>
          <cell r="Q873" t="str">
            <v xml:space="preserve"> </v>
          </cell>
          <cell r="R873"/>
          <cell r="S873"/>
          <cell r="T873" t="str">
            <v>Sin reducción</v>
          </cell>
          <cell r="U873">
            <v>0</v>
          </cell>
          <cell r="V873"/>
          <cell r="W873"/>
          <cell r="X873">
            <v>0</v>
          </cell>
          <cell r="Y873">
            <v>0</v>
          </cell>
          <cell r="Z873">
            <v>0</v>
          </cell>
          <cell r="AA873"/>
          <cell r="AB873" t="str">
            <v>Active - signed</v>
          </cell>
          <cell r="AC873" t="str">
            <v>ACTIVO</v>
          </cell>
          <cell r="AD873"/>
          <cell r="AE873"/>
          <cell r="AF873"/>
          <cell r="AG873"/>
          <cell r="AH873"/>
          <cell r="AI873" t="str">
            <v>22582310J</v>
          </cell>
        </row>
        <row r="874">
          <cell r="A874" t="str">
            <v>29172588D</v>
          </cell>
          <cell r="B874" t="str">
            <v>Pérez Cervelló</v>
          </cell>
          <cell r="C874" t="str">
            <v>Alfonso</v>
          </cell>
          <cell r="D874" t="str">
            <v>Pérez Cervelló, Alfonso</v>
          </cell>
          <cell r="E874" t="str">
            <v>alfonso.perez.c</v>
          </cell>
          <cell r="F874" t="str">
            <v>alfonso.perez.c@professor.universidadviu.com</v>
          </cell>
          <cell r="G874" t="str">
            <v>NO</v>
          </cell>
          <cell r="H874" t="str">
            <v>NO</v>
          </cell>
          <cell r="I874" t="str">
            <v/>
          </cell>
          <cell r="J874" t="str">
            <v/>
          </cell>
          <cell r="K874" t="str">
            <v/>
          </cell>
          <cell r="L874" t="str">
            <v/>
          </cell>
          <cell r="M874" t="str">
            <v>Labour</v>
          </cell>
          <cell r="N874" t="str">
            <v/>
          </cell>
          <cell r="O874" t="str">
            <v>CBS</v>
          </cell>
          <cell r="P874" t="str">
            <v>24,00</v>
          </cell>
          <cell r="Q874" t="b">
            <v>0</v>
          </cell>
          <cell r="R874"/>
          <cell r="S874"/>
          <cell r="T874" t="str">
            <v>Sin reducción</v>
          </cell>
          <cell r="U874">
            <v>0</v>
          </cell>
          <cell r="V874"/>
          <cell r="W874"/>
          <cell r="X874">
            <v>0</v>
          </cell>
          <cell r="Y874">
            <v>0</v>
          </cell>
          <cell r="Z874">
            <v>0</v>
          </cell>
          <cell r="AA874"/>
          <cell r="AB874" t="str">
            <v>Decoupling</v>
          </cell>
          <cell r="AC874" t="str">
            <v>NO ACTIVO</v>
          </cell>
          <cell r="AD874"/>
          <cell r="AE874"/>
          <cell r="AF874">
            <v>45198</v>
          </cell>
          <cell r="AG874" t="str">
            <v>CESE DE CONTRATO</v>
          </cell>
          <cell r="AH874"/>
          <cell r="AI874" t="str">
            <v>29172588D</v>
          </cell>
        </row>
        <row r="875">
          <cell r="A875" t="str">
            <v>31688144D</v>
          </cell>
          <cell r="B875" t="str">
            <v>Pérez Chacón</v>
          </cell>
          <cell r="C875" t="str">
            <v>Manuela</v>
          </cell>
          <cell r="D875" t="str">
            <v>Pérez Chacón, Manuela</v>
          </cell>
          <cell r="E875" t="str">
            <v>mperezc@professional.universidadviu.com</v>
          </cell>
          <cell r="F875" t="str">
            <v>mperezc@professional.universidadviu.com</v>
          </cell>
          <cell r="G875" t="str">
            <v>Yes</v>
          </cell>
          <cell r="H875" t="str">
            <v>NO</v>
          </cell>
          <cell r="I875" t="str">
            <v>Licenciada en Psicología</v>
          </cell>
          <cell r="J875" t="str">
            <v>Doctorado Internacional en Psicología de los Recursos Humanos</v>
          </cell>
          <cell r="K875" t="str">
            <v/>
          </cell>
          <cell r="L875" t="str">
            <v/>
          </cell>
          <cell r="M875" t="str">
            <v>Professional</v>
          </cell>
          <cell r="N875" t="str">
            <v/>
          </cell>
          <cell r="O875" t="str">
            <v>CSS</v>
          </cell>
          <cell r="P875">
            <v>0</v>
          </cell>
          <cell r="Q875" t="str">
            <v xml:space="preserve"> </v>
          </cell>
          <cell r="R875"/>
          <cell r="S875"/>
          <cell r="T875" t="str">
            <v>Sin reducción</v>
          </cell>
          <cell r="U875">
            <v>0</v>
          </cell>
          <cell r="V875"/>
          <cell r="W875"/>
          <cell r="X875">
            <v>0</v>
          </cell>
          <cell r="Y875">
            <v>0</v>
          </cell>
          <cell r="Z875">
            <v>0</v>
          </cell>
          <cell r="AA875"/>
          <cell r="AB875" t="str">
            <v>Active - signed</v>
          </cell>
          <cell r="AC875" t="str">
            <v>ACTIVO</v>
          </cell>
          <cell r="AD875"/>
          <cell r="AE875"/>
          <cell r="AF875"/>
          <cell r="AG875"/>
          <cell r="AH875"/>
          <cell r="AI875" t="str">
            <v>31688144D</v>
          </cell>
        </row>
        <row r="876">
          <cell r="A876" t="str">
            <v>31685255H</v>
          </cell>
          <cell r="B876" t="str">
            <v>Pérez Chacón</v>
          </cell>
          <cell r="C876" t="str">
            <v>Antonio</v>
          </cell>
          <cell r="D876" t="str">
            <v>Pérez Chacón, Antonio</v>
          </cell>
          <cell r="E876" t="str">
            <v>aperezc@professional.universidadviu.com</v>
          </cell>
          <cell r="F876" t="str">
            <v>aperezc@professional.universidadviu.com</v>
          </cell>
          <cell r="G876" t="str">
            <v>Yes</v>
          </cell>
          <cell r="H876" t="str">
            <v>NO</v>
          </cell>
          <cell r="I876" t="str">
            <v/>
          </cell>
          <cell r="J876" t="str">
            <v/>
          </cell>
          <cell r="K876" t="str">
            <v/>
          </cell>
          <cell r="L876" t="str">
            <v/>
          </cell>
          <cell r="M876" t="str">
            <v>Professional</v>
          </cell>
          <cell r="N876" t="str">
            <v/>
          </cell>
          <cell r="O876" t="str">
            <v>CSS</v>
          </cell>
          <cell r="P876">
            <v>0</v>
          </cell>
          <cell r="Q876" t="str">
            <v xml:space="preserve"> </v>
          </cell>
          <cell r="R876"/>
          <cell r="S876"/>
          <cell r="T876" t="str">
            <v>Sin reducción</v>
          </cell>
          <cell r="U876">
            <v>0</v>
          </cell>
          <cell r="V876"/>
          <cell r="W876"/>
          <cell r="X876">
            <v>0</v>
          </cell>
          <cell r="Y876">
            <v>0</v>
          </cell>
          <cell r="Z876">
            <v>0</v>
          </cell>
          <cell r="AA876"/>
          <cell r="AB876" t="str">
            <v>Active - signed</v>
          </cell>
          <cell r="AC876" t="str">
            <v>ACTIVO</v>
          </cell>
          <cell r="AD876"/>
          <cell r="AE876"/>
          <cell r="AF876"/>
          <cell r="AG876"/>
          <cell r="AH876"/>
          <cell r="AI876" t="str">
            <v>31685255H</v>
          </cell>
        </row>
        <row r="877">
          <cell r="A877" t="str">
            <v>21003643C</v>
          </cell>
          <cell r="B877" t="str">
            <v>Pérez Cobas</v>
          </cell>
          <cell r="C877" t="str">
            <v>Ana Elena</v>
          </cell>
          <cell r="D877" t="str">
            <v>Pérez Cobas, Ana Elena</v>
          </cell>
          <cell r="E877" t="str">
            <v>anaelena.perez</v>
          </cell>
          <cell r="F877" t="str">
            <v>anaelena.perez@professional.universidadviu.com</v>
          </cell>
          <cell r="G877" t="str">
            <v>Yes</v>
          </cell>
          <cell r="H877" t="str">
            <v>Yes</v>
          </cell>
          <cell r="I877" t="str">
            <v>Biología y Genética</v>
          </cell>
          <cell r="J877" t="str">
            <v>Biodiversidad</v>
          </cell>
          <cell r="K877" t="str">
            <v>Master oficial en Biodiversidad: Conservación y Evolución</v>
          </cell>
          <cell r="L877" t="str">
            <v/>
          </cell>
          <cell r="M877" t="str">
            <v>Professional</v>
          </cell>
          <cell r="N877" t="str">
            <v/>
          </cell>
          <cell r="O877" t="str">
            <v>CBS</v>
          </cell>
          <cell r="P877">
            <v>0</v>
          </cell>
          <cell r="Q877" t="str">
            <v xml:space="preserve"> </v>
          </cell>
          <cell r="R877"/>
          <cell r="S877"/>
          <cell r="T877" t="str">
            <v>Sin reducción</v>
          </cell>
          <cell r="U877">
            <v>0</v>
          </cell>
          <cell r="V877"/>
          <cell r="W877"/>
          <cell r="X877">
            <v>0</v>
          </cell>
          <cell r="Y877">
            <v>0</v>
          </cell>
          <cell r="Z877">
            <v>0</v>
          </cell>
          <cell r="AA877"/>
          <cell r="AB877" t="str">
            <v>Active - signed</v>
          </cell>
          <cell r="AC877" t="str">
            <v>ACTIVO</v>
          </cell>
          <cell r="AD877"/>
          <cell r="AE877"/>
          <cell r="AF877"/>
          <cell r="AG877"/>
          <cell r="AH877"/>
          <cell r="AI877" t="str">
            <v>21003643C</v>
          </cell>
        </row>
        <row r="878">
          <cell r="A878" t="str">
            <v>45799968E</v>
          </cell>
          <cell r="B878" t="str">
            <v>Pérez Corella</v>
          </cell>
          <cell r="C878" t="str">
            <v>Daniel</v>
          </cell>
          <cell r="D878" t="str">
            <v>Pérez Corella, Daniel</v>
          </cell>
          <cell r="E878" t="str">
            <v>danielantonio.perez</v>
          </cell>
          <cell r="F878" t="str">
            <v>danielantonio.perez@professional.universidadviu.com</v>
          </cell>
          <cell r="G878" t="str">
            <v>Yes</v>
          </cell>
          <cell r="H878" t="str">
            <v>Yes</v>
          </cell>
          <cell r="I878" t="str">
            <v>Medicina</v>
          </cell>
          <cell r="J878" t="str">
            <v>Máster en Ginecología Oncológica</v>
          </cell>
          <cell r="K878" t="str">
            <v>Máster Propio en Ginecología Oncológica</v>
          </cell>
          <cell r="L878" t="str">
            <v xml:space="preserve">Máster en Actualización Profesional para Ginecólogos </v>
          </cell>
          <cell r="M878" t="str">
            <v>Professional</v>
          </cell>
          <cell r="N878" t="str">
            <v/>
          </cell>
          <cell r="O878" t="str">
            <v>CBS</v>
          </cell>
          <cell r="P878">
            <v>0</v>
          </cell>
          <cell r="Q878" t="str">
            <v xml:space="preserve"> </v>
          </cell>
          <cell r="R878"/>
          <cell r="S878"/>
          <cell r="T878" t="str">
            <v>Sin reducción</v>
          </cell>
          <cell r="U878">
            <v>0</v>
          </cell>
          <cell r="V878"/>
          <cell r="W878"/>
          <cell r="X878">
            <v>0</v>
          </cell>
          <cell r="Y878">
            <v>0</v>
          </cell>
          <cell r="Z878">
            <v>0</v>
          </cell>
          <cell r="AA878"/>
          <cell r="AB878" t="str">
            <v>Active - signed</v>
          </cell>
          <cell r="AC878" t="str">
            <v>ACTIVO</v>
          </cell>
          <cell r="AD878"/>
          <cell r="AE878"/>
          <cell r="AF878"/>
          <cell r="AG878"/>
          <cell r="AH878"/>
          <cell r="AI878" t="str">
            <v>45799968E</v>
          </cell>
        </row>
        <row r="879">
          <cell r="A879" t="str">
            <v>03880524X</v>
          </cell>
          <cell r="B879" t="str">
            <v>Pérez de la Cruz</v>
          </cell>
          <cell r="C879" t="str">
            <v>Sagrario</v>
          </cell>
          <cell r="D879" t="str">
            <v>Pérez de la Cruz, Sagrario</v>
          </cell>
          <cell r="E879" t="str">
            <v>sperezd@professional.universidadviu.com</v>
          </cell>
          <cell r="F879" t="str">
            <v>sperezd@professional.universidadviu.com</v>
          </cell>
          <cell r="G879" t="str">
            <v>Yes</v>
          </cell>
          <cell r="H879" t="str">
            <v>Yes</v>
          </cell>
          <cell r="I879" t="str">
            <v/>
          </cell>
          <cell r="J879" t="str">
            <v/>
          </cell>
          <cell r="K879" t="str">
            <v/>
          </cell>
          <cell r="L879" t="str">
            <v/>
          </cell>
          <cell r="M879" t="str">
            <v>Professional</v>
          </cell>
          <cell r="N879"/>
          <cell r="O879" t="str">
            <v>CBS</v>
          </cell>
          <cell r="P879">
            <v>0</v>
          </cell>
          <cell r="Q879" t="str">
            <v xml:space="preserve"> </v>
          </cell>
          <cell r="R879"/>
          <cell r="S879"/>
          <cell r="T879" t="str">
            <v>Sin reducción</v>
          </cell>
          <cell r="U879">
            <v>0</v>
          </cell>
          <cell r="V879"/>
          <cell r="W879"/>
          <cell r="X879">
            <v>0</v>
          </cell>
          <cell r="Y879">
            <v>0</v>
          </cell>
          <cell r="Z879">
            <v>0</v>
          </cell>
          <cell r="AA879"/>
          <cell r="AB879" t="str">
            <v>Active - signed</v>
          </cell>
          <cell r="AC879" t="str">
            <v>ACTIVO</v>
          </cell>
          <cell r="AD879"/>
          <cell r="AE879"/>
          <cell r="AF879"/>
          <cell r="AG879"/>
          <cell r="AH879"/>
          <cell r="AI879" t="str">
            <v>03880524X</v>
          </cell>
        </row>
        <row r="880">
          <cell r="A880" t="str">
            <v>50595524D</v>
          </cell>
          <cell r="B880" t="str">
            <v>Pérez Escobedo</v>
          </cell>
          <cell r="C880" t="str">
            <v>Paloma</v>
          </cell>
          <cell r="D880" t="str">
            <v>Pérez Escobedo, Paloma</v>
          </cell>
          <cell r="E880" t="str">
            <v>paloma.perez1</v>
          </cell>
          <cell r="F880" t="str">
            <v>paloma.perez1@professional.universidadviu.com</v>
          </cell>
          <cell r="G880" t="str">
            <v>Yes</v>
          </cell>
          <cell r="H880" t="str">
            <v>NO</v>
          </cell>
          <cell r="I880" t="str">
            <v>Farmacia</v>
          </cell>
          <cell r="J880" t="str">
            <v>Licenciatura en Farmacia</v>
          </cell>
          <cell r="K880" t="str">
            <v>Licenciatura en Farmacia</v>
          </cell>
          <cell r="L880" t="str">
            <v/>
          </cell>
          <cell r="M880" t="str">
            <v>Professional</v>
          </cell>
          <cell r="N880" t="str">
            <v/>
          </cell>
          <cell r="O880" t="str">
            <v>CBS</v>
          </cell>
          <cell r="P880">
            <v>0</v>
          </cell>
          <cell r="Q880" t="str">
            <v xml:space="preserve"> </v>
          </cell>
          <cell r="R880"/>
          <cell r="S880"/>
          <cell r="T880" t="str">
            <v>Sin reducción</v>
          </cell>
          <cell r="U880">
            <v>0</v>
          </cell>
          <cell r="V880"/>
          <cell r="W880"/>
          <cell r="X880">
            <v>0</v>
          </cell>
          <cell r="Y880">
            <v>0</v>
          </cell>
          <cell r="Z880">
            <v>0</v>
          </cell>
          <cell r="AA880"/>
          <cell r="AB880" t="str">
            <v>Active - signed</v>
          </cell>
          <cell r="AC880" t="str">
            <v>ACTIVO</v>
          </cell>
          <cell r="AD880"/>
          <cell r="AE880"/>
          <cell r="AF880"/>
          <cell r="AG880"/>
          <cell r="AH880"/>
          <cell r="AI880" t="str">
            <v>50595524D</v>
          </cell>
        </row>
        <row r="881">
          <cell r="A881" t="str">
            <v>78852982N</v>
          </cell>
          <cell r="B881" t="str">
            <v>Pérez Flores</v>
          </cell>
          <cell r="C881" t="str">
            <v>Javier José</v>
          </cell>
          <cell r="D881" t="str">
            <v>Pérez Flores, Javier José</v>
          </cell>
          <cell r="E881" t="str">
            <v>jperezf@professional.universidadviu.com</v>
          </cell>
          <cell r="F881" t="str">
            <v>jperezf@professional.universidadviu.com</v>
          </cell>
          <cell r="G881" t="str">
            <v>Yes</v>
          </cell>
          <cell r="H881" t="str">
            <v>NO</v>
          </cell>
          <cell r="I881" t="str">
            <v>Máster en Neuropsicología Clínica</v>
          </cell>
          <cell r="J881" t="str">
            <v>Máster en Psicología General Sanitaria</v>
          </cell>
          <cell r="K881" t="str">
            <v/>
          </cell>
          <cell r="L881" t="str">
            <v/>
          </cell>
          <cell r="M881" t="str">
            <v>Professional</v>
          </cell>
          <cell r="N881"/>
          <cell r="O881" t="str">
            <v>CSS</v>
          </cell>
          <cell r="P881">
            <v>0</v>
          </cell>
          <cell r="Q881" t="str">
            <v xml:space="preserve"> </v>
          </cell>
          <cell r="R881"/>
          <cell r="S881"/>
          <cell r="T881" t="str">
            <v>Sin reducción</v>
          </cell>
          <cell r="U881">
            <v>0</v>
          </cell>
          <cell r="V881"/>
          <cell r="W881"/>
          <cell r="X881">
            <v>0</v>
          </cell>
          <cell r="Y881">
            <v>0</v>
          </cell>
          <cell r="Z881">
            <v>0</v>
          </cell>
          <cell r="AA881"/>
          <cell r="AB881" t="str">
            <v>Active - signed</v>
          </cell>
          <cell r="AC881" t="str">
            <v>ACTIVO</v>
          </cell>
          <cell r="AD881"/>
          <cell r="AE881"/>
          <cell r="AF881"/>
          <cell r="AG881"/>
          <cell r="AH881"/>
          <cell r="AI881" t="str">
            <v>78852982N</v>
          </cell>
        </row>
        <row r="882">
          <cell r="A882" t="str">
            <v>21446145W</v>
          </cell>
          <cell r="B882" t="str">
            <v>Pérez Gálvez</v>
          </cell>
          <cell r="C882" t="str">
            <v>Bartolomé</v>
          </cell>
          <cell r="D882" t="str">
            <v>Pérez Gálvez, Bartolomé</v>
          </cell>
          <cell r="E882" t="str">
            <v>bartolome.perezg</v>
          </cell>
          <cell r="F882" t="str">
            <v>bartolome.perezg@professional.universidadviu.com</v>
          </cell>
          <cell r="G882" t="str">
            <v>Yes</v>
          </cell>
          <cell r="H882" t="str">
            <v>NO</v>
          </cell>
          <cell r="I882" t="str">
            <v>Licenciado en Medicina y Cirugía</v>
          </cell>
          <cell r="J882" t="str">
            <v>Programa Doctorado en Medicina y Cirugía</v>
          </cell>
          <cell r="K882" t="str">
            <v/>
          </cell>
          <cell r="L882" t="str">
            <v/>
          </cell>
          <cell r="M882" t="str">
            <v>Professional</v>
          </cell>
          <cell r="N882" t="str">
            <v/>
          </cell>
          <cell r="O882" t="str">
            <v>CBS</v>
          </cell>
          <cell r="P882">
            <v>0</v>
          </cell>
          <cell r="Q882" t="str">
            <v xml:space="preserve"> </v>
          </cell>
          <cell r="R882"/>
          <cell r="S882"/>
          <cell r="T882" t="str">
            <v>Sin reducción</v>
          </cell>
          <cell r="U882">
            <v>0</v>
          </cell>
          <cell r="V882"/>
          <cell r="W882"/>
          <cell r="X882">
            <v>0</v>
          </cell>
          <cell r="Y882">
            <v>0</v>
          </cell>
          <cell r="Z882">
            <v>0</v>
          </cell>
          <cell r="AA882"/>
          <cell r="AB882" t="str">
            <v>Active - signed</v>
          </cell>
          <cell r="AC882" t="str">
            <v>ACTIVO</v>
          </cell>
          <cell r="AD882"/>
          <cell r="AE882"/>
          <cell r="AF882"/>
          <cell r="AG882"/>
          <cell r="AH882"/>
          <cell r="AI882" t="str">
            <v>21446145W</v>
          </cell>
        </row>
        <row r="883">
          <cell r="A883" t="str">
            <v>21685189F</v>
          </cell>
          <cell r="B883" t="str">
            <v>Pérez Hernández</v>
          </cell>
          <cell r="C883" t="str">
            <v>Javier</v>
          </cell>
          <cell r="D883" t="str">
            <v>Pérez Hernández, Javier</v>
          </cell>
          <cell r="E883" t="str">
            <v>javier.perezh</v>
          </cell>
          <cell r="F883" t="str">
            <v>javier.perezh@professor.universidadviu.com</v>
          </cell>
          <cell r="G883" t="str">
            <v>Yes</v>
          </cell>
          <cell r="H883" t="str">
            <v>Yes</v>
          </cell>
          <cell r="I883" t="str">
            <v>Bioquímica</v>
          </cell>
          <cell r="J883" t="str">
            <v>Biomedicina y Biotecnología</v>
          </cell>
          <cell r="K883" t="str">
            <v>Licenciado en Ciencias Biológicas</v>
          </cell>
          <cell r="L883" t="str">
            <v>MÁSTER EN INVESTIGACIÓN Y USO RACIONAL DEL MEDICAMENTO</v>
          </cell>
          <cell r="M883" t="str">
            <v>Labour</v>
          </cell>
          <cell r="N883" t="str">
            <v>Navarro Tapia, Elisabet</v>
          </cell>
          <cell r="O883" t="str">
            <v>CBS</v>
          </cell>
          <cell r="P883">
            <v>12</v>
          </cell>
          <cell r="Q883" t="str">
            <v>12</v>
          </cell>
          <cell r="R883"/>
          <cell r="S883" t="str">
            <v>1er 2013-20218</v>
          </cell>
          <cell r="T883" t="str">
            <v>Sin reducción</v>
          </cell>
          <cell r="U883">
            <v>0</v>
          </cell>
          <cell r="V883"/>
          <cell r="W883"/>
          <cell r="X883">
            <v>0</v>
          </cell>
          <cell r="Y883">
            <v>11.9</v>
          </cell>
          <cell r="Z883">
            <v>6</v>
          </cell>
          <cell r="AA883"/>
          <cell r="AB883" t="str">
            <v>Active - signed</v>
          </cell>
          <cell r="AC883" t="str">
            <v>ACTIVO</v>
          </cell>
          <cell r="AD883"/>
          <cell r="AE883"/>
          <cell r="AF883"/>
          <cell r="AG883"/>
          <cell r="AH883"/>
          <cell r="AI883" t="str">
            <v>21685189F</v>
          </cell>
        </row>
        <row r="884">
          <cell r="A884" t="str">
            <v>47431173K</v>
          </cell>
          <cell r="B884" t="str">
            <v>Pérez López</v>
          </cell>
          <cell r="C884" t="str">
            <v>Lydia</v>
          </cell>
          <cell r="D884" t="str">
            <v>Pérez López, Lydia</v>
          </cell>
          <cell r="E884" t="str">
            <v>lperezl@professor.universidadviu.com</v>
          </cell>
          <cell r="F884" t="str">
            <v>lperezl@professor.universidadviu.com</v>
          </cell>
          <cell r="G884" t="str">
            <v>Yes</v>
          </cell>
          <cell r="H884" t="str">
            <v>NO</v>
          </cell>
          <cell r="I884" t="str">
            <v>Doctorado en Neurociencias</v>
          </cell>
          <cell r="J884" t="str">
            <v>Máster Universitario en Rehabilitación Neuropsicológica y Estimulación Cognitiva</v>
          </cell>
          <cell r="K884" t="str">
            <v>Máster en Psicología General Sanitaria</v>
          </cell>
          <cell r="L884" t="str">
            <v>Graduada en Psicología</v>
          </cell>
          <cell r="M884" t="str">
            <v>Labour</v>
          </cell>
          <cell r="N884"/>
          <cell r="O884" t="str">
            <v>CSS</v>
          </cell>
          <cell r="P884" t="str">
            <v>40,00</v>
          </cell>
          <cell r="Q884" t="b">
            <v>0</v>
          </cell>
          <cell r="R884"/>
          <cell r="S884"/>
          <cell r="T884" t="str">
            <v>Sin reducción</v>
          </cell>
          <cell r="U884">
            <v>0</v>
          </cell>
          <cell r="V884"/>
          <cell r="W884"/>
          <cell r="X884">
            <v>0</v>
          </cell>
          <cell r="Y884">
            <v>0</v>
          </cell>
          <cell r="Z884">
            <v>0</v>
          </cell>
          <cell r="AA884"/>
          <cell r="AB884" t="str">
            <v>Concluded</v>
          </cell>
          <cell r="AC884" t="str">
            <v>NO ACTIVO</v>
          </cell>
          <cell r="AD884"/>
          <cell r="AE884"/>
          <cell r="AF884">
            <v>45291</v>
          </cell>
          <cell r="AG884" t="str">
            <v>CESE DE CONTRATO</v>
          </cell>
          <cell r="AH884"/>
          <cell r="AI884" t="str">
            <v>47431173K</v>
          </cell>
        </row>
        <row r="885">
          <cell r="A885" t="str">
            <v>18452633D</v>
          </cell>
          <cell r="B885" t="str">
            <v>Pérez Maletzki</v>
          </cell>
          <cell r="C885" t="str">
            <v>José</v>
          </cell>
          <cell r="D885" t="str">
            <v>Pérez Maletzki, José</v>
          </cell>
          <cell r="E885" t="str">
            <v>jperezm@professor.universidadviu.com</v>
          </cell>
          <cell r="F885" t="str">
            <v>jperezm@professor.universidadviu.com</v>
          </cell>
          <cell r="G885" t="str">
            <v>Yes</v>
          </cell>
          <cell r="H885" t="str">
            <v>NO</v>
          </cell>
          <cell r="I885" t="str">
            <v>Doctorado en fisioterapia</v>
          </cell>
          <cell r="J885" t="str">
            <v>Máster oficial en recuperación funcional en fisioterapia</v>
          </cell>
          <cell r="K885" t="str">
            <v>Grado en Fisioterapia</v>
          </cell>
          <cell r="L885" t="str">
            <v/>
          </cell>
          <cell r="M885" t="str">
            <v>Labour</v>
          </cell>
          <cell r="N885" t="str">
            <v>Izquierdo Alventosa, Ruth</v>
          </cell>
          <cell r="O885" t="str">
            <v>CBS</v>
          </cell>
          <cell r="P885">
            <v>12</v>
          </cell>
          <cell r="Q885" t="str">
            <v>12</v>
          </cell>
          <cell r="R885"/>
          <cell r="S885"/>
          <cell r="T885" t="str">
            <v>Sin reducción</v>
          </cell>
          <cell r="U885">
            <v>0</v>
          </cell>
          <cell r="V885"/>
          <cell r="W885"/>
          <cell r="X885">
            <v>0</v>
          </cell>
          <cell r="Y885">
            <v>9.5</v>
          </cell>
          <cell r="Z885">
            <v>0</v>
          </cell>
          <cell r="AA885"/>
          <cell r="AB885" t="str">
            <v>Active - signed</v>
          </cell>
          <cell r="AC885" t="str">
            <v>ACTIVO</v>
          </cell>
          <cell r="AD885"/>
          <cell r="AE885"/>
          <cell r="AF885"/>
          <cell r="AG885"/>
          <cell r="AH885"/>
          <cell r="AI885" t="str">
            <v>18452633D</v>
          </cell>
        </row>
        <row r="886">
          <cell r="A886">
            <v>961959186</v>
          </cell>
          <cell r="B886" t="str">
            <v>Pérez Martínez</v>
          </cell>
          <cell r="C886" t="str">
            <v>Armenio</v>
          </cell>
          <cell r="D886" t="str">
            <v>Pérez Martínez, Armenio</v>
          </cell>
          <cell r="E886" t="str">
            <v>aperezm@professional.universidadviu.com</v>
          </cell>
          <cell r="F886" t="str">
            <v>aperezm@professional.universidadviu.com</v>
          </cell>
          <cell r="G886" t="str">
            <v>NO</v>
          </cell>
          <cell r="H886" t="str">
            <v>NO</v>
          </cell>
          <cell r="I886" t="str">
            <v>Doctor en ciencias económinas</v>
          </cell>
          <cell r="J886" t="str">
            <v>Master en Gestión Turística</v>
          </cell>
          <cell r="K886" t="str">
            <v>Licenciado en Psicología</v>
          </cell>
          <cell r="L886" t="str">
            <v/>
          </cell>
          <cell r="M886" t="str">
            <v>Professional</v>
          </cell>
          <cell r="N886"/>
          <cell r="O886" t="str">
            <v>CSS</v>
          </cell>
          <cell r="P886">
            <v>0</v>
          </cell>
          <cell r="Q886" t="str">
            <v xml:space="preserve"> </v>
          </cell>
          <cell r="R886"/>
          <cell r="S886"/>
          <cell r="T886" t="str">
            <v>Sin reducción</v>
          </cell>
          <cell r="U886">
            <v>0</v>
          </cell>
          <cell r="V886"/>
          <cell r="W886"/>
          <cell r="X886">
            <v>0</v>
          </cell>
          <cell r="Y886">
            <v>0</v>
          </cell>
          <cell r="Z886">
            <v>0</v>
          </cell>
          <cell r="AA886"/>
          <cell r="AB886" t="str">
            <v>Concluded</v>
          </cell>
          <cell r="AC886" t="str">
            <v>NO ACTIVO</v>
          </cell>
          <cell r="AD886"/>
          <cell r="AE886"/>
          <cell r="AF886">
            <v>45733</v>
          </cell>
          <cell r="AG886" t="str">
            <v>CESE DE CONTRATO</v>
          </cell>
          <cell r="AH886"/>
          <cell r="AI886">
            <v>961959186</v>
          </cell>
        </row>
        <row r="887">
          <cell r="A887" t="str">
            <v>36977136J</v>
          </cell>
          <cell r="B887" t="str">
            <v>Pérez Muñoz</v>
          </cell>
          <cell r="C887" t="str">
            <v>Alfonso</v>
          </cell>
          <cell r="D887" t="str">
            <v>Pérez Muñoz, Alfonso</v>
          </cell>
          <cell r="E887" t="str">
            <v>alfonso.perez</v>
          </cell>
          <cell r="F887" t="str">
            <v>alfonso.perez@professional.universidadviu.com</v>
          </cell>
          <cell r="G887" t="str">
            <v>Yes</v>
          </cell>
          <cell r="H887" t="str">
            <v>NO</v>
          </cell>
          <cell r="I887" t="str">
            <v>Psicología</v>
          </cell>
          <cell r="J887" t="str">
            <v>Máster universitario en metodología de las ciencias del comportamiento y de la salud</v>
          </cell>
          <cell r="K887" t="str">
            <v>Máster universitario en Psicología General Sanitaria</v>
          </cell>
          <cell r="L887" t="str">
            <v>Licenciado en Psicología</v>
          </cell>
          <cell r="M887" t="str">
            <v>Professional</v>
          </cell>
          <cell r="N887" t="str">
            <v/>
          </cell>
          <cell r="O887" t="str">
            <v>CSS</v>
          </cell>
          <cell r="P887">
            <v>0</v>
          </cell>
          <cell r="Q887" t="str">
            <v xml:space="preserve"> </v>
          </cell>
          <cell r="R887"/>
          <cell r="S887"/>
          <cell r="T887" t="str">
            <v>Sin reducción</v>
          </cell>
          <cell r="U887">
            <v>0</v>
          </cell>
          <cell r="V887"/>
          <cell r="W887"/>
          <cell r="X887">
            <v>0</v>
          </cell>
          <cell r="Y887">
            <v>0</v>
          </cell>
          <cell r="Z887">
            <v>0</v>
          </cell>
          <cell r="AA887"/>
          <cell r="AB887" t="str">
            <v>Active - signed</v>
          </cell>
          <cell r="AC887" t="str">
            <v>ACTIVO</v>
          </cell>
          <cell r="AD887"/>
          <cell r="AE887"/>
          <cell r="AF887"/>
          <cell r="AG887"/>
          <cell r="AH887"/>
          <cell r="AI887" t="str">
            <v>36977136J</v>
          </cell>
        </row>
        <row r="888">
          <cell r="A888" t="str">
            <v>16099144H</v>
          </cell>
          <cell r="B888" t="str">
            <v>Pérez Núñez</v>
          </cell>
          <cell r="C888" t="str">
            <v>Paula</v>
          </cell>
          <cell r="D888" t="str">
            <v>Pérez Núñez, Paula</v>
          </cell>
          <cell r="E888" t="str">
            <v>pperezn@professional.universidadviu.com</v>
          </cell>
          <cell r="F888" t="str">
            <v>pperezn@professional.universidadviu.com</v>
          </cell>
          <cell r="G888" t="str">
            <v>Yes</v>
          </cell>
          <cell r="H888" t="str">
            <v>NO</v>
          </cell>
          <cell r="I888" t="str">
            <v>Master Psicología General Sanitaria</v>
          </cell>
          <cell r="J888" t="str">
            <v>Grado en Psicología</v>
          </cell>
          <cell r="K888" t="str">
            <v/>
          </cell>
          <cell r="L888" t="str">
            <v/>
          </cell>
          <cell r="M888" t="str">
            <v>Professional</v>
          </cell>
          <cell r="N888" t="str">
            <v/>
          </cell>
          <cell r="O888" t="str">
            <v>CSS</v>
          </cell>
          <cell r="P888">
            <v>0</v>
          </cell>
          <cell r="Q888" t="str">
            <v xml:space="preserve"> </v>
          </cell>
          <cell r="R888"/>
          <cell r="S888"/>
          <cell r="T888" t="str">
            <v>Sin reducción</v>
          </cell>
          <cell r="U888">
            <v>0</v>
          </cell>
          <cell r="V888"/>
          <cell r="W888"/>
          <cell r="X888">
            <v>0</v>
          </cell>
          <cell r="Y888">
            <v>0</v>
          </cell>
          <cell r="Z888">
            <v>0</v>
          </cell>
          <cell r="AA888"/>
          <cell r="AB888" t="str">
            <v>Active - signed</v>
          </cell>
          <cell r="AC888" t="str">
            <v>ACTIVO</v>
          </cell>
          <cell r="AD888"/>
          <cell r="AE888"/>
          <cell r="AF888"/>
          <cell r="AG888"/>
          <cell r="AH888"/>
          <cell r="AI888" t="str">
            <v>16099144H</v>
          </cell>
        </row>
        <row r="889">
          <cell r="A889" t="str">
            <v>72397430P</v>
          </cell>
          <cell r="B889" t="str">
            <v>Pérez Pascual</v>
          </cell>
          <cell r="C889" t="str">
            <v>David</v>
          </cell>
          <cell r="D889" t="str">
            <v>Pérez Pascual, David</v>
          </cell>
          <cell r="E889" t="str">
            <v>david.perez0</v>
          </cell>
          <cell r="F889" t="str">
            <v>david.perez0@professional.universidadviu.com</v>
          </cell>
          <cell r="G889" t="str">
            <v>Yes</v>
          </cell>
          <cell r="H889" t="str">
            <v>NO</v>
          </cell>
          <cell r="I889" t="str">
            <v>Biología y Genética</v>
          </cell>
          <cell r="J889" t="str">
            <v>Doctorado en Biología Aplicada</v>
          </cell>
          <cell r="K889" t="str">
            <v/>
          </cell>
          <cell r="L889" t="str">
            <v/>
          </cell>
          <cell r="M889" t="str">
            <v>Professional</v>
          </cell>
          <cell r="N889" t="str">
            <v/>
          </cell>
          <cell r="O889" t="str">
            <v>CBS</v>
          </cell>
          <cell r="P889">
            <v>0</v>
          </cell>
          <cell r="Q889" t="str">
            <v xml:space="preserve"> </v>
          </cell>
          <cell r="R889"/>
          <cell r="S889"/>
          <cell r="T889" t="str">
            <v>Sin reducción</v>
          </cell>
          <cell r="U889">
            <v>0</v>
          </cell>
          <cell r="V889"/>
          <cell r="W889"/>
          <cell r="X889">
            <v>0</v>
          </cell>
          <cell r="Y889">
            <v>0</v>
          </cell>
          <cell r="Z889">
            <v>0</v>
          </cell>
          <cell r="AA889"/>
          <cell r="AB889" t="str">
            <v>Active - signed</v>
          </cell>
          <cell r="AC889" t="str">
            <v>NO ACTIVO</v>
          </cell>
          <cell r="AD889"/>
          <cell r="AE889"/>
          <cell r="AF889">
            <v>46022</v>
          </cell>
          <cell r="AG889" t="str">
            <v>CESE DE CONTRATO</v>
          </cell>
          <cell r="AH889"/>
          <cell r="AI889" t="str">
            <v>72397430P</v>
          </cell>
        </row>
        <row r="890">
          <cell r="A890">
            <v>7989272</v>
          </cell>
          <cell r="B890" t="str">
            <v>Pérez Rodríguez</v>
          </cell>
          <cell r="C890" t="str">
            <v>Mariela Sofia</v>
          </cell>
          <cell r="D890" t="str">
            <v>Pérez Rodríguez, Mariela Sofia</v>
          </cell>
          <cell r="E890" t="str">
            <v>marielasofia.perez@professional.universidadviu.com</v>
          </cell>
          <cell r="F890" t="str">
            <v>marielasofia.perez@professional.universidadviu.com</v>
          </cell>
          <cell r="G890" t="str">
            <v>NO</v>
          </cell>
          <cell r="H890" t="str">
            <v>NO</v>
          </cell>
          <cell r="I890" t="str">
            <v>MAGISTER EN LINGÜÍSTICA</v>
          </cell>
          <cell r="J890" t="str">
            <v>UNIVERSIDAD DE LOS ANDES</v>
          </cell>
          <cell r="K890" t="str">
            <v/>
          </cell>
          <cell r="L890" t="str">
            <v/>
          </cell>
          <cell r="M890" t="str">
            <v>Professional</v>
          </cell>
          <cell r="N890" t="str">
            <v/>
          </cell>
          <cell r="O890" t="str">
            <v>CSS</v>
          </cell>
          <cell r="P890">
            <v>0</v>
          </cell>
          <cell r="Q890" t="str">
            <v xml:space="preserve"> </v>
          </cell>
          <cell r="R890"/>
          <cell r="S890"/>
          <cell r="T890" t="str">
            <v>Sin reducción</v>
          </cell>
          <cell r="U890">
            <v>0</v>
          </cell>
          <cell r="V890"/>
          <cell r="W890"/>
          <cell r="X890">
            <v>0</v>
          </cell>
          <cell r="Y890">
            <v>0</v>
          </cell>
          <cell r="Z890">
            <v>0</v>
          </cell>
          <cell r="AA890"/>
          <cell r="AB890" t="str">
            <v>Active - signed</v>
          </cell>
          <cell r="AC890" t="str">
            <v>ACTIVO</v>
          </cell>
          <cell r="AD890"/>
          <cell r="AE890"/>
          <cell r="AF890"/>
          <cell r="AG890"/>
          <cell r="AH890"/>
          <cell r="AI890">
            <v>7989272</v>
          </cell>
        </row>
        <row r="891">
          <cell r="A891" t="str">
            <v>53050002L</v>
          </cell>
          <cell r="B891" t="str">
            <v>Pérez Rodríguez</v>
          </cell>
          <cell r="C891" t="str">
            <v>Sandra</v>
          </cell>
          <cell r="D891" t="str">
            <v>Pérez Rodríguez, Sandra</v>
          </cell>
          <cell r="E891" t="str">
            <v>sperezr@professional.universidadviu.com</v>
          </cell>
          <cell r="F891" t="str">
            <v>sperezr@professional.universidadviu.com</v>
          </cell>
          <cell r="G891" t="str">
            <v>Yes</v>
          </cell>
          <cell r="H891" t="str">
            <v>Yes</v>
          </cell>
          <cell r="I891" t="str">
            <v>Doctora en Psicologia</v>
          </cell>
          <cell r="J891" t="str">
            <v>Licenciada en psicología</v>
          </cell>
          <cell r="K891" t="str">
            <v/>
          </cell>
          <cell r="L891" t="str">
            <v/>
          </cell>
          <cell r="M891" t="str">
            <v>Professional</v>
          </cell>
          <cell r="N891" t="str">
            <v/>
          </cell>
          <cell r="O891" t="str">
            <v>CSS</v>
          </cell>
          <cell r="P891">
            <v>0</v>
          </cell>
          <cell r="Q891" t="str">
            <v xml:space="preserve"> </v>
          </cell>
          <cell r="R891"/>
          <cell r="S891"/>
          <cell r="T891" t="str">
            <v>Sin reducción</v>
          </cell>
          <cell r="U891">
            <v>0</v>
          </cell>
          <cell r="V891"/>
          <cell r="W891"/>
          <cell r="X891">
            <v>0</v>
          </cell>
          <cell r="Y891">
            <v>0</v>
          </cell>
          <cell r="Z891">
            <v>0</v>
          </cell>
          <cell r="AA891"/>
          <cell r="AB891" t="str">
            <v>Active - signed</v>
          </cell>
          <cell r="AC891" t="str">
            <v>ACTIVO</v>
          </cell>
          <cell r="AD891"/>
          <cell r="AE891"/>
          <cell r="AF891"/>
          <cell r="AG891"/>
          <cell r="AH891"/>
          <cell r="AI891" t="str">
            <v>53050002L</v>
          </cell>
        </row>
        <row r="892">
          <cell r="A892" t="str">
            <v>85088621Y</v>
          </cell>
          <cell r="B892" t="str">
            <v>Pérez Soler</v>
          </cell>
          <cell r="C892" t="str">
            <v>Óscar</v>
          </cell>
          <cell r="D892" t="str">
            <v>Pérez Soler, Óscar</v>
          </cell>
          <cell r="E892" t="str">
            <v>operezs@professional.universidadviu.com</v>
          </cell>
          <cell r="F892" t="str">
            <v>operezs@professional.universidadviu.com</v>
          </cell>
          <cell r="G892" t="str">
            <v>NO</v>
          </cell>
          <cell r="H892" t="str">
            <v>NO</v>
          </cell>
          <cell r="I892" t="str">
            <v>Licenciatura en Psicología</v>
          </cell>
          <cell r="J892" t="str">
            <v/>
          </cell>
          <cell r="K892" t="str">
            <v/>
          </cell>
          <cell r="L892" t="str">
            <v/>
          </cell>
          <cell r="M892" t="str">
            <v>Professional</v>
          </cell>
          <cell r="N892"/>
          <cell r="O892" t="str">
            <v>CSS</v>
          </cell>
          <cell r="P892">
            <v>0</v>
          </cell>
          <cell r="Q892" t="str">
            <v xml:space="preserve"> </v>
          </cell>
          <cell r="R892"/>
          <cell r="S892"/>
          <cell r="T892" t="str">
            <v>Sin reducción</v>
          </cell>
          <cell r="U892">
            <v>0</v>
          </cell>
          <cell r="V892"/>
          <cell r="W892"/>
          <cell r="X892">
            <v>0</v>
          </cell>
          <cell r="Y892">
            <v>0</v>
          </cell>
          <cell r="Z892">
            <v>0</v>
          </cell>
          <cell r="AA892"/>
          <cell r="AB892" t="str">
            <v>Active - signed</v>
          </cell>
          <cell r="AC892" t="str">
            <v>ACTIVO</v>
          </cell>
          <cell r="AD892"/>
          <cell r="AE892"/>
          <cell r="AF892"/>
          <cell r="AG892"/>
          <cell r="AH892"/>
          <cell r="AI892" t="str">
            <v>85088621Y</v>
          </cell>
        </row>
        <row r="893">
          <cell r="A893" t="str">
            <v>71143133Q</v>
          </cell>
          <cell r="B893" t="str">
            <v>Pérez Tabares</v>
          </cell>
          <cell r="C893" t="str">
            <v>Miguel</v>
          </cell>
          <cell r="D893" t="str">
            <v>Pérez Tabares, Miguel</v>
          </cell>
          <cell r="E893" t="str">
            <v>miguel.perez.t</v>
          </cell>
          <cell r="F893" t="str">
            <v>miguel.perez.t@professional.universidadviu.com</v>
          </cell>
          <cell r="G893" t="str">
            <v>NO</v>
          </cell>
          <cell r="H893" t="str">
            <v>NO</v>
          </cell>
          <cell r="I893" t="str">
            <v>Ingeniero Superior de Telecomunicación</v>
          </cell>
          <cell r="J893" t="str">
            <v/>
          </cell>
          <cell r="K893" t="str">
            <v/>
          </cell>
          <cell r="L893" t="str">
            <v/>
          </cell>
          <cell r="M893" t="str">
            <v>Professional</v>
          </cell>
          <cell r="N893" t="str">
            <v/>
          </cell>
          <cell r="O893" t="str">
            <v>CBS</v>
          </cell>
          <cell r="P893">
            <v>0</v>
          </cell>
          <cell r="Q893" t="str">
            <v xml:space="preserve"> </v>
          </cell>
          <cell r="R893"/>
          <cell r="S893"/>
          <cell r="T893" t="str">
            <v>Sin reducción</v>
          </cell>
          <cell r="U893">
            <v>0</v>
          </cell>
          <cell r="V893"/>
          <cell r="W893"/>
          <cell r="X893">
            <v>0</v>
          </cell>
          <cell r="Y893">
            <v>0</v>
          </cell>
          <cell r="Z893">
            <v>0</v>
          </cell>
          <cell r="AA893"/>
          <cell r="AB893" t="str">
            <v>Active - signed</v>
          </cell>
          <cell r="AC893" t="str">
            <v>ACTIVO</v>
          </cell>
          <cell r="AD893"/>
          <cell r="AE893"/>
          <cell r="AF893"/>
          <cell r="AG893"/>
          <cell r="AH893"/>
          <cell r="AI893" t="str">
            <v>71143133Q</v>
          </cell>
        </row>
        <row r="894">
          <cell r="A894" t="str">
            <v>08364704H</v>
          </cell>
          <cell r="B894" t="str">
            <v>Pérez Tejeda</v>
          </cell>
          <cell r="C894" t="str">
            <v>Alberto</v>
          </cell>
          <cell r="D894" t="str">
            <v>Pérez Tejeda, Alberto</v>
          </cell>
          <cell r="E894" t="str">
            <v>aperezt@professional.universidadviu.com</v>
          </cell>
          <cell r="F894" t="str">
            <v>aperezt@professional.universidadviu.com</v>
          </cell>
          <cell r="G894" t="str">
            <v>NO</v>
          </cell>
          <cell r="H894" t="str">
            <v>NO</v>
          </cell>
          <cell r="I894" t="str">
            <v>Master Universitario en Bioinformática</v>
          </cell>
          <cell r="J894" t="str">
            <v>Grado en Biotecnología</v>
          </cell>
          <cell r="K894" t="str">
            <v/>
          </cell>
          <cell r="L894" t="str">
            <v/>
          </cell>
          <cell r="M894" t="str">
            <v>Professional</v>
          </cell>
          <cell r="N894" t="str">
            <v/>
          </cell>
          <cell r="O894" t="str">
            <v>CBS</v>
          </cell>
          <cell r="P894">
            <v>0</v>
          </cell>
          <cell r="Q894" t="str">
            <v xml:space="preserve"> </v>
          </cell>
          <cell r="R894"/>
          <cell r="S894"/>
          <cell r="T894" t="str">
            <v>Sin reducción</v>
          </cell>
          <cell r="U894">
            <v>0</v>
          </cell>
          <cell r="V894"/>
          <cell r="W894"/>
          <cell r="X894">
            <v>0</v>
          </cell>
          <cell r="Y894">
            <v>0</v>
          </cell>
          <cell r="Z894">
            <v>0</v>
          </cell>
          <cell r="AA894"/>
          <cell r="AB894" t="str">
            <v>Active - signed</v>
          </cell>
          <cell r="AC894" t="str">
            <v>ACTIVO</v>
          </cell>
          <cell r="AD894"/>
          <cell r="AE894"/>
          <cell r="AF894"/>
          <cell r="AG894"/>
          <cell r="AH894"/>
          <cell r="AI894" t="str">
            <v>08364704H</v>
          </cell>
        </row>
        <row r="895">
          <cell r="A895" t="str">
            <v>20870019A</v>
          </cell>
          <cell r="B895" t="str">
            <v>Pérez Turégano</v>
          </cell>
          <cell r="C895" t="str">
            <v>Fuenmaría</v>
          </cell>
          <cell r="D895" t="str">
            <v>Pérez Turégano, Fuenmaría</v>
          </cell>
          <cell r="E895" t="str">
            <v>fperezt@professor.universidadviu.com</v>
          </cell>
          <cell r="F895" t="str">
            <v>fperezt@professor.universidadviu.com</v>
          </cell>
          <cell r="G895" t="str">
            <v>NO</v>
          </cell>
          <cell r="H895" t="str">
            <v>NO</v>
          </cell>
          <cell r="I895" t="str">
            <v>Máster Oficial en Recuperación Funcional en Fisioterapia</v>
          </cell>
          <cell r="J895" t="str">
            <v>Grado en Fisioterapia</v>
          </cell>
          <cell r="K895" t="str">
            <v/>
          </cell>
          <cell r="L895" t="str">
            <v/>
          </cell>
          <cell r="M895" t="str">
            <v>Labour</v>
          </cell>
          <cell r="N895" t="str">
            <v>Izquierdo Alventosa, Ruth</v>
          </cell>
          <cell r="O895" t="str">
            <v>CBS</v>
          </cell>
          <cell r="P895">
            <v>12</v>
          </cell>
          <cell r="Q895" t="str">
            <v>12</v>
          </cell>
          <cell r="R895"/>
          <cell r="S895"/>
          <cell r="T895" t="str">
            <v>Sin reducción</v>
          </cell>
          <cell r="U895">
            <v>0</v>
          </cell>
          <cell r="V895"/>
          <cell r="W895"/>
          <cell r="X895">
            <v>0</v>
          </cell>
          <cell r="Y895">
            <v>15</v>
          </cell>
          <cell r="Z895">
            <v>0</v>
          </cell>
          <cell r="AA895"/>
          <cell r="AB895" t="str">
            <v>Active - signed</v>
          </cell>
          <cell r="AC895" t="str">
            <v>ACTIVO</v>
          </cell>
          <cell r="AD895"/>
          <cell r="AE895"/>
          <cell r="AF895"/>
          <cell r="AG895"/>
          <cell r="AH895"/>
          <cell r="AI895" t="str">
            <v>20870019A</v>
          </cell>
        </row>
        <row r="896">
          <cell r="A896" t="str">
            <v>44863269K</v>
          </cell>
          <cell r="B896" t="str">
            <v>Pérez Valle</v>
          </cell>
          <cell r="C896" t="str">
            <v>Jorge</v>
          </cell>
          <cell r="D896" t="str">
            <v>Pérez Valle, Jorge</v>
          </cell>
          <cell r="E896" t="str">
            <v>jorge.perezv</v>
          </cell>
          <cell r="F896" t="str">
            <v>jorge.perezv@professional.universidadviu.com</v>
          </cell>
          <cell r="G896" t="str">
            <v>Yes</v>
          </cell>
          <cell r="H896" t="str">
            <v>Yes</v>
          </cell>
          <cell r="I896" t="str">
            <v>Biotecnología</v>
          </cell>
          <cell r="J896" t="str">
            <v>Doctorado Biotecnología</v>
          </cell>
          <cell r="K896" t="str">
            <v>Ingeniero Agrónomo</v>
          </cell>
          <cell r="L896" t="str">
            <v/>
          </cell>
          <cell r="M896" t="str">
            <v>Professional</v>
          </cell>
          <cell r="N896" t="str">
            <v/>
          </cell>
          <cell r="O896" t="str">
            <v>CBS</v>
          </cell>
          <cell r="P896">
            <v>0</v>
          </cell>
          <cell r="Q896" t="str">
            <v xml:space="preserve"> </v>
          </cell>
          <cell r="R896"/>
          <cell r="S896"/>
          <cell r="T896" t="str">
            <v>Sin reducción</v>
          </cell>
          <cell r="U896">
            <v>0</v>
          </cell>
          <cell r="V896"/>
          <cell r="W896"/>
          <cell r="X896">
            <v>0</v>
          </cell>
          <cell r="Y896">
            <v>0</v>
          </cell>
          <cell r="Z896">
            <v>0</v>
          </cell>
          <cell r="AA896"/>
          <cell r="AB896" t="str">
            <v>Active - signed</v>
          </cell>
          <cell r="AC896" t="str">
            <v>ACTIVO</v>
          </cell>
          <cell r="AD896"/>
          <cell r="AE896"/>
          <cell r="AF896"/>
          <cell r="AG896"/>
          <cell r="AH896"/>
          <cell r="AI896" t="str">
            <v>44863269K</v>
          </cell>
        </row>
        <row r="897">
          <cell r="A897" t="str">
            <v>47946457J</v>
          </cell>
          <cell r="B897" t="str">
            <v>Peris Giménez</v>
          </cell>
          <cell r="C897" t="str">
            <v>Júlia</v>
          </cell>
          <cell r="D897" t="str">
            <v>Peris Giménez, Júlia</v>
          </cell>
          <cell r="E897" t="str">
            <v>julia.peris</v>
          </cell>
          <cell r="F897" t="str">
            <v>julia.peris@professional.universidadviu.com</v>
          </cell>
          <cell r="G897" t="str">
            <v>NO</v>
          </cell>
          <cell r="H897" t="str">
            <v>NO</v>
          </cell>
          <cell r="I897" t="str">
            <v>Psicología</v>
          </cell>
          <cell r="J897" t="str">
            <v>Máster en Inteligencia Emocional y Coaching en el Entorno Laboral</v>
          </cell>
          <cell r="K897" t="str">
            <v/>
          </cell>
          <cell r="L897" t="str">
            <v/>
          </cell>
          <cell r="M897" t="str">
            <v>Professional</v>
          </cell>
          <cell r="N897" t="str">
            <v/>
          </cell>
          <cell r="O897" t="str">
            <v>CSS</v>
          </cell>
          <cell r="P897">
            <v>0</v>
          </cell>
          <cell r="Q897" t="str">
            <v xml:space="preserve"> </v>
          </cell>
          <cell r="R897"/>
          <cell r="S897"/>
          <cell r="T897" t="str">
            <v>Sin reducción</v>
          </cell>
          <cell r="U897">
            <v>0</v>
          </cell>
          <cell r="V897"/>
          <cell r="W897"/>
          <cell r="X897">
            <v>0</v>
          </cell>
          <cell r="Y897">
            <v>0</v>
          </cell>
          <cell r="Z897">
            <v>0</v>
          </cell>
          <cell r="AA897"/>
          <cell r="AB897" t="str">
            <v>Active - signed</v>
          </cell>
          <cell r="AC897" t="str">
            <v>ACTIVO</v>
          </cell>
          <cell r="AD897"/>
          <cell r="AE897"/>
          <cell r="AF897"/>
          <cell r="AG897"/>
          <cell r="AH897"/>
          <cell r="AI897" t="str">
            <v>47946457J</v>
          </cell>
        </row>
        <row r="898">
          <cell r="A898" t="str">
            <v>43408464N</v>
          </cell>
          <cell r="B898" t="str">
            <v>Picado Méndez</v>
          </cell>
          <cell r="C898" t="str">
            <v>Manuel</v>
          </cell>
          <cell r="D898" t="str">
            <v>Picado Méndez, Manuel</v>
          </cell>
          <cell r="E898" t="str">
            <v>mpicadom@professional.universidadviu.com</v>
          </cell>
          <cell r="F898" t="str">
            <v>mpicadom@professional.universidadviu.com</v>
          </cell>
          <cell r="G898" t="str">
            <v>NO</v>
          </cell>
          <cell r="H898" t="str">
            <v>NO</v>
          </cell>
          <cell r="I898" t="str">
            <v>PSICÓLOGO CLÍNICO ESPECIALISTA EN CLÍNICA</v>
          </cell>
          <cell r="J898" t="str">
            <v/>
          </cell>
          <cell r="K898" t="str">
            <v/>
          </cell>
          <cell r="L898" t="str">
            <v/>
          </cell>
          <cell r="M898" t="str">
            <v>Professional</v>
          </cell>
          <cell r="N898" t="str">
            <v/>
          </cell>
          <cell r="O898" t="str">
            <v>CSS</v>
          </cell>
          <cell r="P898">
            <v>0</v>
          </cell>
          <cell r="Q898" t="str">
            <v xml:space="preserve"> </v>
          </cell>
          <cell r="R898"/>
          <cell r="S898"/>
          <cell r="T898" t="str">
            <v>Sin reducción</v>
          </cell>
          <cell r="U898">
            <v>0</v>
          </cell>
          <cell r="V898"/>
          <cell r="W898"/>
          <cell r="X898">
            <v>0</v>
          </cell>
          <cell r="Y898">
            <v>0</v>
          </cell>
          <cell r="Z898">
            <v>0</v>
          </cell>
          <cell r="AA898"/>
          <cell r="AB898" t="str">
            <v>Active - signed</v>
          </cell>
          <cell r="AC898" t="str">
            <v>ACTIVO</v>
          </cell>
          <cell r="AD898"/>
          <cell r="AE898"/>
          <cell r="AF898"/>
          <cell r="AG898"/>
          <cell r="AH898"/>
          <cell r="AI898" t="str">
            <v>43408464N</v>
          </cell>
        </row>
        <row r="899">
          <cell r="A899" t="str">
            <v>49596189R</v>
          </cell>
          <cell r="B899" t="str">
            <v>Picazo Rubio</v>
          </cell>
          <cell r="C899" t="str">
            <v>Belén María</v>
          </cell>
          <cell r="D899" t="str">
            <v>Picazo Rubio, Belén María</v>
          </cell>
          <cell r="E899" t="str">
            <v>bpicazor@professional.universidadviu.com</v>
          </cell>
          <cell r="F899" t="str">
            <v>bpicazor@professional.universidadviu.com</v>
          </cell>
          <cell r="G899" t="str">
            <v>NO</v>
          </cell>
          <cell r="H899" t="str">
            <v>NO</v>
          </cell>
          <cell r="I899" t="str">
            <v>Grado en Biotecnología</v>
          </cell>
          <cell r="J899" t="str">
            <v/>
          </cell>
          <cell r="K899" t="str">
            <v/>
          </cell>
          <cell r="L899" t="str">
            <v/>
          </cell>
          <cell r="M899" t="str">
            <v>Professional</v>
          </cell>
          <cell r="N899" t="str">
            <v/>
          </cell>
          <cell r="O899" t="str">
            <v>CBS</v>
          </cell>
          <cell r="P899">
            <v>0</v>
          </cell>
          <cell r="Q899" t="str">
            <v xml:space="preserve"> </v>
          </cell>
          <cell r="R899"/>
          <cell r="S899"/>
          <cell r="T899" t="str">
            <v>Sin reducción</v>
          </cell>
          <cell r="U899">
            <v>0</v>
          </cell>
          <cell r="V899"/>
          <cell r="W899"/>
          <cell r="X899">
            <v>0</v>
          </cell>
          <cell r="Y899">
            <v>0</v>
          </cell>
          <cell r="Z899">
            <v>0</v>
          </cell>
          <cell r="AA899"/>
          <cell r="AB899" t="str">
            <v>Active - signed</v>
          </cell>
          <cell r="AC899" t="str">
            <v>ACTIVO</v>
          </cell>
          <cell r="AD899"/>
          <cell r="AE899"/>
          <cell r="AF899"/>
          <cell r="AG899"/>
          <cell r="AH899"/>
          <cell r="AI899" t="str">
            <v>49596189R</v>
          </cell>
        </row>
        <row r="900">
          <cell r="A900" t="str">
            <v>48524724Z</v>
          </cell>
          <cell r="B900" t="str">
            <v>Pina López</v>
          </cell>
          <cell r="C900" t="str">
            <v>David</v>
          </cell>
          <cell r="D900" t="str">
            <v>Pina López, David</v>
          </cell>
          <cell r="E900" t="str">
            <v>david.pina.l</v>
          </cell>
          <cell r="F900" t="str">
            <v>david.pina.l@professional.universidadviu.com</v>
          </cell>
          <cell r="G900" t="str">
            <v>Yes</v>
          </cell>
          <cell r="H900" t="str">
            <v>Yes</v>
          </cell>
          <cell r="I900" t="str">
            <v>Master universitario en psicologia</v>
          </cell>
          <cell r="J900" t="str">
            <v>Grado en psicologia</v>
          </cell>
          <cell r="K900" t="str">
            <v>Doctorado</v>
          </cell>
          <cell r="L900" t="str">
            <v/>
          </cell>
          <cell r="M900" t="str">
            <v>Professional</v>
          </cell>
          <cell r="N900" t="str">
            <v/>
          </cell>
          <cell r="O900" t="str">
            <v>CSS</v>
          </cell>
          <cell r="P900">
            <v>0</v>
          </cell>
          <cell r="Q900" t="str">
            <v xml:space="preserve"> </v>
          </cell>
          <cell r="R900"/>
          <cell r="S900"/>
          <cell r="T900" t="str">
            <v>Sin reducción</v>
          </cell>
          <cell r="U900">
            <v>0</v>
          </cell>
          <cell r="V900"/>
          <cell r="W900"/>
          <cell r="X900">
            <v>0</v>
          </cell>
          <cell r="Y900">
            <v>0</v>
          </cell>
          <cell r="Z900">
            <v>0</v>
          </cell>
          <cell r="AA900"/>
          <cell r="AB900" t="str">
            <v>Active - signed</v>
          </cell>
          <cell r="AC900" t="str">
            <v>ACTIVO</v>
          </cell>
          <cell r="AD900"/>
          <cell r="AE900"/>
          <cell r="AF900"/>
          <cell r="AG900"/>
          <cell r="AH900"/>
          <cell r="AI900" t="str">
            <v>48524724Z</v>
          </cell>
        </row>
        <row r="901">
          <cell r="A901" t="str">
            <v>48408859T</v>
          </cell>
          <cell r="B901" t="str">
            <v>Pinazo Clapés</v>
          </cell>
          <cell r="C901" t="str">
            <v>Carolina</v>
          </cell>
          <cell r="D901" t="str">
            <v>Pinazo Clapés, Carolina</v>
          </cell>
          <cell r="E901" t="str">
            <v>carolina.pinazo</v>
          </cell>
          <cell r="F901" t="str">
            <v>carolina.pinazo@professional.universidadviu.com</v>
          </cell>
          <cell r="G901" t="str">
            <v>Yes</v>
          </cell>
          <cell r="H901" t="str">
            <v>Yes</v>
          </cell>
          <cell r="I901" t="str">
            <v>Programa  Doctorado en Promoción de la Autonomía y Atención Socio Sanitaria a la Dependencia</v>
          </cell>
          <cell r="J901" t="str">
            <v>Licenciada</v>
          </cell>
          <cell r="K901" t="str">
            <v/>
          </cell>
          <cell r="L901" t="str">
            <v/>
          </cell>
          <cell r="M901" t="str">
            <v>Professional</v>
          </cell>
          <cell r="N901" t="str">
            <v/>
          </cell>
          <cell r="O901" t="str">
            <v>CSS</v>
          </cell>
          <cell r="P901">
            <v>0</v>
          </cell>
          <cell r="Q901" t="str">
            <v xml:space="preserve"> </v>
          </cell>
          <cell r="R901"/>
          <cell r="S901"/>
          <cell r="T901" t="str">
            <v>Sin reducción</v>
          </cell>
          <cell r="U901">
            <v>0</v>
          </cell>
          <cell r="V901"/>
          <cell r="W901"/>
          <cell r="X901">
            <v>0</v>
          </cell>
          <cell r="Y901">
            <v>0</v>
          </cell>
          <cell r="Z901">
            <v>0</v>
          </cell>
          <cell r="AA901"/>
          <cell r="AB901" t="str">
            <v>Active - signed</v>
          </cell>
          <cell r="AC901" t="str">
            <v>ACTIVO</v>
          </cell>
          <cell r="AD901"/>
          <cell r="AE901"/>
          <cell r="AF901"/>
          <cell r="AG901"/>
          <cell r="AH901"/>
          <cell r="AI901" t="str">
            <v>48408859T</v>
          </cell>
        </row>
        <row r="902">
          <cell r="A902" t="str">
            <v>71223780W</v>
          </cell>
          <cell r="B902" t="str">
            <v>Pinel Arroyo</v>
          </cell>
          <cell r="C902" t="str">
            <v>Luis</v>
          </cell>
          <cell r="D902" t="str">
            <v>Pinel Arroyo, Luis</v>
          </cell>
          <cell r="E902" t="str">
            <v>luis.pinel</v>
          </cell>
          <cell r="F902" t="str">
            <v>luis.pinel@professional.universidadviu.com</v>
          </cell>
          <cell r="G902" t="str">
            <v>Yes</v>
          </cell>
          <cell r="H902" t="str">
            <v>NO</v>
          </cell>
          <cell r="I902" t="str">
            <v>Máster Universitario en Psicología Clínica y de la Salud</v>
          </cell>
          <cell r="J902" t="str">
            <v>Doctor en Psicología</v>
          </cell>
          <cell r="K902" t="str">
            <v/>
          </cell>
          <cell r="L902" t="str">
            <v/>
          </cell>
          <cell r="M902" t="str">
            <v>Professional</v>
          </cell>
          <cell r="N902" t="str">
            <v/>
          </cell>
          <cell r="O902" t="str">
            <v>CSS</v>
          </cell>
          <cell r="P902">
            <v>0</v>
          </cell>
          <cell r="Q902" t="str">
            <v xml:space="preserve"> </v>
          </cell>
          <cell r="R902"/>
          <cell r="S902"/>
          <cell r="T902" t="str">
            <v>Sin reducción</v>
          </cell>
          <cell r="U902">
            <v>0</v>
          </cell>
          <cell r="V902"/>
          <cell r="W902"/>
          <cell r="X902">
            <v>0</v>
          </cell>
          <cell r="Y902">
            <v>0</v>
          </cell>
          <cell r="Z902">
            <v>0</v>
          </cell>
          <cell r="AA902"/>
          <cell r="AB902" t="str">
            <v>Active - signed</v>
          </cell>
          <cell r="AC902" t="str">
            <v>ACTIVO</v>
          </cell>
          <cell r="AD902"/>
          <cell r="AE902"/>
          <cell r="AF902"/>
          <cell r="AG902"/>
          <cell r="AH902"/>
          <cell r="AI902" t="str">
            <v>71223780W</v>
          </cell>
        </row>
        <row r="903">
          <cell r="A903" t="str">
            <v>20040705T</v>
          </cell>
          <cell r="B903" t="str">
            <v>Pintado Cucarella</v>
          </cell>
          <cell r="C903" t="str">
            <v>María Sheila</v>
          </cell>
          <cell r="D903" t="str">
            <v>Pintado Cucarella, María Sheila</v>
          </cell>
          <cell r="E903" t="str">
            <v>mariasheila.pintado</v>
          </cell>
          <cell r="F903" t="str">
            <v>mariasheila.pintado@professor.universidadviu.com</v>
          </cell>
          <cell r="G903" t="str">
            <v>Yes</v>
          </cell>
          <cell r="H903" t="str">
            <v>Yes</v>
          </cell>
          <cell r="I903" t="str">
            <v>Programa Doctorado en Personalidad, Evaluación y Tratamientos Psicológicos</v>
          </cell>
          <cell r="J903" t="str">
            <v>Programa Doctorado en Personalidad, Evaluación y Tratamientos Psicológicos</v>
          </cell>
          <cell r="K903" t="str">
            <v xml:space="preserve">Licenciada en Psicología </v>
          </cell>
          <cell r="L903" t="str">
            <v/>
          </cell>
          <cell r="M903" t="str">
            <v>Labour</v>
          </cell>
          <cell r="N903" t="str">
            <v>Hernández Saguar, Aida Esther</v>
          </cell>
          <cell r="O903" t="str">
            <v>CSS</v>
          </cell>
          <cell r="P903">
            <v>100</v>
          </cell>
          <cell r="Q903" t="str">
            <v>50</v>
          </cell>
          <cell r="R903"/>
          <cell r="S903"/>
          <cell r="T903" t="str">
            <v>Sin reducción</v>
          </cell>
          <cell r="U903">
            <v>0</v>
          </cell>
          <cell r="V903"/>
          <cell r="W903"/>
          <cell r="X903">
            <v>49</v>
          </cell>
          <cell r="Y903">
            <v>0</v>
          </cell>
          <cell r="Z903">
            <v>0</v>
          </cell>
          <cell r="AA903"/>
          <cell r="AB903" t="str">
            <v>Active - signed</v>
          </cell>
          <cell r="AC903" t="str">
            <v>ACTIVO</v>
          </cell>
          <cell r="AD903"/>
          <cell r="AE903"/>
          <cell r="AF903"/>
          <cell r="AG903"/>
          <cell r="AH903"/>
          <cell r="AI903" t="str">
            <v>20040705T</v>
          </cell>
        </row>
        <row r="904">
          <cell r="A904">
            <v>32660718</v>
          </cell>
          <cell r="B904" t="str">
            <v>Pinto Álvarez</v>
          </cell>
          <cell r="C904" t="str">
            <v>María Florencia</v>
          </cell>
          <cell r="D904" t="str">
            <v>Pinto Álvarez, María Florencia</v>
          </cell>
          <cell r="E904" t="str">
            <v>mpintoa@professional.universidadviu.com</v>
          </cell>
          <cell r="F904" t="str">
            <v>mpintoa@professional.universidadviu.com</v>
          </cell>
          <cell r="G904" t="str">
            <v>NO</v>
          </cell>
          <cell r="H904" t="str">
            <v>NO</v>
          </cell>
          <cell r="I904" t="str">
            <v>Doctorado en Psicología</v>
          </cell>
          <cell r="J904" t="str">
            <v>Licenciatura en Psicología</v>
          </cell>
          <cell r="K904" t="str">
            <v/>
          </cell>
          <cell r="L904" t="str">
            <v/>
          </cell>
          <cell r="M904" t="str">
            <v>Professional</v>
          </cell>
          <cell r="N904" t="str">
            <v/>
          </cell>
          <cell r="O904" t="str">
            <v>CSS</v>
          </cell>
          <cell r="P904">
            <v>0</v>
          </cell>
          <cell r="Q904" t="str">
            <v xml:space="preserve"> </v>
          </cell>
          <cell r="R904"/>
          <cell r="S904"/>
          <cell r="T904" t="str">
            <v>Sin reducción</v>
          </cell>
          <cell r="U904">
            <v>0</v>
          </cell>
          <cell r="V904"/>
          <cell r="W904"/>
          <cell r="X904">
            <v>0</v>
          </cell>
          <cell r="Y904">
            <v>0</v>
          </cell>
          <cell r="Z904">
            <v>0</v>
          </cell>
          <cell r="AA904"/>
          <cell r="AB904" t="str">
            <v>Active - signed</v>
          </cell>
          <cell r="AC904" t="str">
            <v>ACTIVO</v>
          </cell>
          <cell r="AD904"/>
          <cell r="AE904"/>
          <cell r="AF904"/>
          <cell r="AG904"/>
          <cell r="AH904"/>
          <cell r="AI904">
            <v>32660718</v>
          </cell>
        </row>
        <row r="905">
          <cell r="A905" t="str">
            <v>76050507H</v>
          </cell>
          <cell r="B905" t="str">
            <v>Píriz Bartivas</v>
          </cell>
          <cell r="C905" t="str">
            <v>José Luis</v>
          </cell>
          <cell r="D905" t="str">
            <v>Píriz Bartivas, José Luis</v>
          </cell>
          <cell r="E905" t="str">
            <v>joseluis.piriz</v>
          </cell>
          <cell r="F905" t="str">
            <v>joseluis.piriz@professor.universidadviu.com</v>
          </cell>
          <cell r="G905" t="str">
            <v>NO</v>
          </cell>
          <cell r="H905" t="str">
            <v>NO</v>
          </cell>
          <cell r="I905" t="str">
            <v>Graduado en ciencia y tecnología de los alimentos</v>
          </cell>
          <cell r="J905" t="str">
            <v/>
          </cell>
          <cell r="K905" t="str">
            <v/>
          </cell>
          <cell r="L905" t="str">
            <v/>
          </cell>
          <cell r="M905" t="str">
            <v>Labour</v>
          </cell>
          <cell r="N905" t="str">
            <v>Fernández Musoles, Ricardo</v>
          </cell>
          <cell r="O905" t="str">
            <v>CBS</v>
          </cell>
          <cell r="P905">
            <v>100</v>
          </cell>
          <cell r="Q905" t="str">
            <v>50</v>
          </cell>
          <cell r="R905"/>
          <cell r="S905"/>
          <cell r="T905" t="str">
            <v>Sin reducción</v>
          </cell>
          <cell r="U905">
            <v>0</v>
          </cell>
          <cell r="V905">
            <v>16</v>
          </cell>
          <cell r="W905" t="str">
            <v>EDUCACIÓN</v>
          </cell>
          <cell r="X905">
            <v>0</v>
          </cell>
          <cell r="Y905">
            <v>29.4</v>
          </cell>
          <cell r="Z905">
            <v>14.4</v>
          </cell>
          <cell r="AA905"/>
          <cell r="AB905" t="str">
            <v>Active - signed</v>
          </cell>
          <cell r="AC905" t="str">
            <v>ACTIVO</v>
          </cell>
          <cell r="AD905"/>
          <cell r="AE905"/>
          <cell r="AF905"/>
          <cell r="AG905"/>
          <cell r="AH905"/>
          <cell r="AI905" t="str">
            <v>76050507H</v>
          </cell>
        </row>
        <row r="906">
          <cell r="A906" t="str">
            <v>13343764S</v>
          </cell>
          <cell r="B906" t="str">
            <v>Pisano</v>
          </cell>
          <cell r="C906" t="str">
            <v>Ignacio Luis</v>
          </cell>
          <cell r="D906" t="str">
            <v>Pisano, Ignacio Luis</v>
          </cell>
          <cell r="E906" t="str">
            <v>ignacioluis.pisano@professor.universidadviu.com</v>
          </cell>
          <cell r="F906" t="str">
            <v>ignacioluis.pisano@professor.universidadviu.com</v>
          </cell>
          <cell r="G906" t="str">
            <v>Yes</v>
          </cell>
          <cell r="H906" t="str">
            <v>Yes</v>
          </cell>
          <cell r="I906" t="str">
            <v>Doctorado en investigación social y comunitaria</v>
          </cell>
          <cell r="J906" t="str">
            <v>Experto universitario en Mindfulness en contextos de la salud</v>
          </cell>
          <cell r="K906" t="str">
            <v>Máster universitario en investigación e intervención social y comunitaria</v>
          </cell>
          <cell r="L906" t="str">
            <v/>
          </cell>
          <cell r="M906" t="str">
            <v>Labour</v>
          </cell>
          <cell r="N906" t="str">
            <v>Hernández Saguar, Aida Esther</v>
          </cell>
          <cell r="O906" t="str">
            <v>CSS</v>
          </cell>
          <cell r="P906">
            <v>12</v>
          </cell>
          <cell r="Q906" t="str">
            <v>12</v>
          </cell>
          <cell r="R906"/>
          <cell r="S906"/>
          <cell r="T906" t="str">
            <v>Sin reducción</v>
          </cell>
          <cell r="U906">
            <v>0</v>
          </cell>
          <cell r="V906"/>
          <cell r="W906"/>
          <cell r="X906">
            <v>12</v>
          </cell>
          <cell r="Y906">
            <v>0</v>
          </cell>
          <cell r="Z906">
            <v>0</v>
          </cell>
          <cell r="AA906"/>
          <cell r="AB906" t="str">
            <v>Active - signed</v>
          </cell>
          <cell r="AC906" t="str">
            <v>ACTIVO</v>
          </cell>
          <cell r="AD906"/>
          <cell r="AE906"/>
          <cell r="AF906"/>
          <cell r="AG906"/>
          <cell r="AH906"/>
          <cell r="AI906" t="str">
            <v>13343764S</v>
          </cell>
        </row>
        <row r="907">
          <cell r="A907" t="str">
            <v>X4720030Q</v>
          </cell>
          <cell r="B907" t="str">
            <v>Pisano Martínez</v>
          </cell>
          <cell r="C907" t="str">
            <v>Lucía</v>
          </cell>
          <cell r="D907" t="str">
            <v>Pisano Martínez, Lucía</v>
          </cell>
          <cell r="E907" t="str">
            <v>lpisanom@professor.universidadviu.com</v>
          </cell>
          <cell r="F907" t="str">
            <v>lpisanom@professor.universidadviu.com</v>
          </cell>
          <cell r="G907" t="str">
            <v>NO</v>
          </cell>
          <cell r="H907" t="str">
            <v>NO</v>
          </cell>
          <cell r="I907" t="str">
            <v>Máster universitario en Psicogerontología</v>
          </cell>
          <cell r="J907" t="str">
            <v>Licenciada en Psicología</v>
          </cell>
          <cell r="K907" t="str">
            <v/>
          </cell>
          <cell r="L907" t="str">
            <v/>
          </cell>
          <cell r="M907" t="str">
            <v>Labour</v>
          </cell>
          <cell r="N907" t="str">
            <v>Hernández Saguar, Aida Esther</v>
          </cell>
          <cell r="O907" t="str">
            <v>CSS</v>
          </cell>
          <cell r="P907" t="str">
            <v>6,00</v>
          </cell>
          <cell r="Q907" t="b">
            <v>0</v>
          </cell>
          <cell r="R907"/>
          <cell r="S907"/>
          <cell r="T907" t="str">
            <v>Sin reducción</v>
          </cell>
          <cell r="U907">
            <v>0</v>
          </cell>
          <cell r="V907"/>
          <cell r="W907"/>
          <cell r="X907">
            <v>0</v>
          </cell>
          <cell r="Y907">
            <v>0</v>
          </cell>
          <cell r="Z907">
            <v>0</v>
          </cell>
          <cell r="AA907"/>
          <cell r="AB907" t="str">
            <v>Concluded</v>
          </cell>
          <cell r="AC907" t="str">
            <v>ACTIVO</v>
          </cell>
          <cell r="AD907"/>
          <cell r="AE907"/>
          <cell r="AF907"/>
          <cell r="AG907"/>
          <cell r="AH907"/>
          <cell r="AI907" t="str">
            <v>X4720030Q</v>
          </cell>
        </row>
        <row r="908">
          <cell r="A908" t="str">
            <v>20906138N</v>
          </cell>
          <cell r="B908" t="str">
            <v>Pitarch Albado</v>
          </cell>
          <cell r="C908" t="str">
            <v>Carla</v>
          </cell>
          <cell r="D908" t="str">
            <v>Pitarch Albado, Carla</v>
          </cell>
          <cell r="E908" t="str">
            <v>cpitarcha@professor.universidadviu.com</v>
          </cell>
          <cell r="F908" t="str">
            <v>cpitarcha@professor.universidadviu.com</v>
          </cell>
          <cell r="G908" t="str">
            <v>NO</v>
          </cell>
          <cell r="H908" t="str">
            <v>NO</v>
          </cell>
          <cell r="I908" t="str">
            <v/>
          </cell>
          <cell r="J908" t="str">
            <v/>
          </cell>
          <cell r="K908" t="str">
            <v/>
          </cell>
          <cell r="L908" t="str">
            <v/>
          </cell>
          <cell r="M908" t="str">
            <v>Labour</v>
          </cell>
          <cell r="N908" t="str">
            <v>García Fernández, Luis</v>
          </cell>
          <cell r="O908" t="str">
            <v>CBS</v>
          </cell>
          <cell r="P908">
            <v>15</v>
          </cell>
          <cell r="Q908" t="str">
            <v>15</v>
          </cell>
          <cell r="R908" t="str">
            <v>Ampliación marzo</v>
          </cell>
          <cell r="S908"/>
          <cell r="T908" t="str">
            <v>Sin reducción</v>
          </cell>
          <cell r="U908">
            <v>0</v>
          </cell>
          <cell r="V908"/>
          <cell r="W908"/>
          <cell r="X908">
            <v>0</v>
          </cell>
          <cell r="Y908">
            <v>14.7</v>
          </cell>
          <cell r="Z908">
            <v>0</v>
          </cell>
          <cell r="AA908"/>
          <cell r="AB908" t="str">
            <v>Active - signed</v>
          </cell>
          <cell r="AC908" t="str">
            <v>ACTIVO</v>
          </cell>
          <cell r="AD908"/>
          <cell r="AE908"/>
          <cell r="AF908"/>
          <cell r="AG908"/>
          <cell r="AH908"/>
          <cell r="AI908" t="str">
            <v>20906138N</v>
          </cell>
        </row>
        <row r="909">
          <cell r="A909" t="str">
            <v>05288582P</v>
          </cell>
          <cell r="B909" t="str">
            <v>Plaza Moreno</v>
          </cell>
          <cell r="C909" t="str">
            <v>Elena</v>
          </cell>
          <cell r="D909" t="str">
            <v>Plaza Moreno, Elena</v>
          </cell>
          <cell r="E909" t="str">
            <v>eplazam@professor.universidadviu.com</v>
          </cell>
          <cell r="F909" t="str">
            <v>eplazam@professor.universidadviu.com</v>
          </cell>
          <cell r="G909" t="str">
            <v>NO</v>
          </cell>
          <cell r="H909" t="str">
            <v>NO</v>
          </cell>
          <cell r="I909" t="str">
            <v>Grado en Enfermería</v>
          </cell>
          <cell r="J909" t="str">
            <v/>
          </cell>
          <cell r="K909" t="str">
            <v/>
          </cell>
          <cell r="L909" t="str">
            <v/>
          </cell>
          <cell r="M909" t="str">
            <v>Labour</v>
          </cell>
          <cell r="N909" t="str">
            <v>García Tejedor, Aurora</v>
          </cell>
          <cell r="O909" t="str">
            <v>CBS</v>
          </cell>
          <cell r="P909">
            <v>100</v>
          </cell>
          <cell r="Q909" t="str">
            <v>50</v>
          </cell>
          <cell r="R909"/>
          <cell r="S909"/>
          <cell r="T909" t="str">
            <v>Director/a experto/a</v>
          </cell>
          <cell r="U909">
            <v>26</v>
          </cell>
          <cell r="V909"/>
          <cell r="W909"/>
          <cell r="X909">
            <v>0</v>
          </cell>
          <cell r="Y909">
            <v>23.8</v>
          </cell>
          <cell r="Z909">
            <v>3</v>
          </cell>
          <cell r="AA909"/>
          <cell r="AB909" t="str">
            <v>Active - signed</v>
          </cell>
          <cell r="AC909" t="str">
            <v>ACTIVO</v>
          </cell>
          <cell r="AD909"/>
          <cell r="AE909"/>
          <cell r="AF909"/>
          <cell r="AG909"/>
          <cell r="AH909"/>
          <cell r="AI909" t="str">
            <v>05288582P</v>
          </cell>
        </row>
        <row r="910">
          <cell r="A910" t="str">
            <v>20187154P</v>
          </cell>
          <cell r="B910" t="str">
            <v>Ponce Márquez</v>
          </cell>
          <cell r="C910" t="str">
            <v>Sara</v>
          </cell>
          <cell r="D910" t="str">
            <v>Ponce Márquez, Sara</v>
          </cell>
          <cell r="E910" t="str">
            <v>sara.ponce</v>
          </cell>
          <cell r="F910" t="str">
            <v>sara.ponce@professional.universidadviu.com</v>
          </cell>
          <cell r="G910" t="str">
            <v>Yes</v>
          </cell>
          <cell r="H910" t="str">
            <v>Yes</v>
          </cell>
          <cell r="I910" t="str">
            <v>Farmacia</v>
          </cell>
          <cell r="J910" t="str">
            <v>Licenciada en Farmacia</v>
          </cell>
          <cell r="K910" t="str">
            <v/>
          </cell>
          <cell r="L910" t="str">
            <v/>
          </cell>
          <cell r="M910" t="str">
            <v>Professional</v>
          </cell>
          <cell r="N910" t="str">
            <v/>
          </cell>
          <cell r="O910" t="str">
            <v>CBS</v>
          </cell>
          <cell r="P910">
            <v>0</v>
          </cell>
          <cell r="Q910" t="str">
            <v xml:space="preserve"> </v>
          </cell>
          <cell r="R910"/>
          <cell r="S910"/>
          <cell r="T910" t="str">
            <v>Sin reducción</v>
          </cell>
          <cell r="U910">
            <v>0</v>
          </cell>
          <cell r="V910"/>
          <cell r="W910"/>
          <cell r="X910">
            <v>0</v>
          </cell>
          <cell r="Y910">
            <v>0</v>
          </cell>
          <cell r="Z910">
            <v>0</v>
          </cell>
          <cell r="AA910"/>
          <cell r="AB910" t="str">
            <v>Active - signed</v>
          </cell>
          <cell r="AC910" t="str">
            <v>ACTIVO</v>
          </cell>
          <cell r="AD910"/>
          <cell r="AE910"/>
          <cell r="AF910"/>
          <cell r="AG910"/>
          <cell r="AH910"/>
          <cell r="AI910" t="str">
            <v>20187154P</v>
          </cell>
        </row>
        <row r="911">
          <cell r="A911" t="str">
            <v>20613178A</v>
          </cell>
          <cell r="B911" t="str">
            <v>Pórcar Gozalbo</v>
          </cell>
          <cell r="C911" t="str">
            <v>Nadia</v>
          </cell>
          <cell r="D911" t="str">
            <v>Pórcar Gozalbo, Nadia</v>
          </cell>
          <cell r="E911" t="str">
            <v>nadia.porcar@professor.universidadviu.com</v>
          </cell>
          <cell r="F911" t="str">
            <v>nadia.porcar@professor.universidadviu.com</v>
          </cell>
          <cell r="G911" t="str">
            <v>NO</v>
          </cell>
          <cell r="H911" t="str">
            <v>NO</v>
          </cell>
          <cell r="I911" t="str">
            <v>Graduada en Logopedia</v>
          </cell>
          <cell r="J911" t="str">
            <v/>
          </cell>
          <cell r="K911" t="str">
            <v/>
          </cell>
          <cell r="L911" t="str">
            <v/>
          </cell>
          <cell r="M911" t="str">
            <v>Labour</v>
          </cell>
          <cell r="N911" t="str">
            <v>Cano Villagrasa, Alejandro</v>
          </cell>
          <cell r="O911" t="str">
            <v>CBS</v>
          </cell>
          <cell r="P911">
            <v>100</v>
          </cell>
          <cell r="Q911" t="str">
            <v>50</v>
          </cell>
          <cell r="R911"/>
          <cell r="S911"/>
          <cell r="T911" t="str">
            <v>Sin reducción</v>
          </cell>
          <cell r="U911">
            <v>0</v>
          </cell>
          <cell r="V911">
            <v>3</v>
          </cell>
          <cell r="W911" t="str">
            <v>JURÍDICO</v>
          </cell>
          <cell r="X911">
            <v>0</v>
          </cell>
          <cell r="Y911">
            <v>46.8</v>
          </cell>
          <cell r="Z911">
            <v>0</v>
          </cell>
          <cell r="AA911"/>
          <cell r="AB911" t="str">
            <v>Active - signed</v>
          </cell>
          <cell r="AC911" t="str">
            <v>ACTIVO</v>
          </cell>
          <cell r="AD911"/>
          <cell r="AE911"/>
          <cell r="AF911"/>
          <cell r="AG911"/>
          <cell r="AH911"/>
          <cell r="AI911" t="str">
            <v>20613178A</v>
          </cell>
        </row>
        <row r="912">
          <cell r="A912">
            <v>960453512001</v>
          </cell>
          <cell r="B912" t="str">
            <v>Portela Leiva</v>
          </cell>
          <cell r="C912" t="str">
            <v>Yara María</v>
          </cell>
          <cell r="D912" t="str">
            <v>Portela Leiva, Yara María</v>
          </cell>
          <cell r="E912" t="str">
            <v>yportelal@professional.universidadviu.com</v>
          </cell>
          <cell r="F912" t="str">
            <v>yportelal@professional.universidadviu.com</v>
          </cell>
          <cell r="G912" t="str">
            <v>NO</v>
          </cell>
          <cell r="H912" t="str">
            <v>NO</v>
          </cell>
          <cell r="I912" t="str">
            <v>Doctor en Ciencias Pedagógicas</v>
          </cell>
          <cell r="J912" t="str">
            <v>Maestría en Ciencias de la Educación Superior</v>
          </cell>
          <cell r="K912" t="str">
            <v>Licenciada en Educación. Esp Español- Literatura</v>
          </cell>
          <cell r="L912" t="str">
            <v/>
          </cell>
          <cell r="M912" t="str">
            <v>Professional</v>
          </cell>
          <cell r="N912" t="str">
            <v/>
          </cell>
          <cell r="O912" t="str">
            <v>CSS</v>
          </cell>
          <cell r="P912">
            <v>0</v>
          </cell>
          <cell r="Q912" t="str">
            <v xml:space="preserve"> </v>
          </cell>
          <cell r="R912"/>
          <cell r="S912"/>
          <cell r="T912" t="str">
            <v>Sin reducción</v>
          </cell>
          <cell r="U912">
            <v>0</v>
          </cell>
          <cell r="V912"/>
          <cell r="W912"/>
          <cell r="X912">
            <v>0</v>
          </cell>
          <cell r="Y912">
            <v>0</v>
          </cell>
          <cell r="Z912">
            <v>0</v>
          </cell>
          <cell r="AA912"/>
          <cell r="AB912" t="str">
            <v>Active - signed</v>
          </cell>
          <cell r="AC912" t="str">
            <v>ACTIVO</v>
          </cell>
          <cell r="AD912"/>
          <cell r="AE912"/>
          <cell r="AF912"/>
          <cell r="AG912"/>
          <cell r="AH912"/>
          <cell r="AI912">
            <v>960453512001</v>
          </cell>
        </row>
        <row r="913">
          <cell r="A913" t="str">
            <v>76641326J</v>
          </cell>
          <cell r="B913" t="str">
            <v>Postigo Martínez</v>
          </cell>
          <cell r="C913" t="str">
            <v>Javier</v>
          </cell>
          <cell r="D913" t="str">
            <v>Postigo Martínez, Javier</v>
          </cell>
          <cell r="E913" t="str">
            <v>jpostigom@professor.universidadviu.com</v>
          </cell>
          <cell r="F913" t="str">
            <v>jpostigom@professor.universidadviu.com</v>
          </cell>
          <cell r="G913" t="str">
            <v>Yes</v>
          </cell>
          <cell r="H913" t="str">
            <v>NO</v>
          </cell>
          <cell r="I913" t="str">
            <v>Psicología</v>
          </cell>
          <cell r="J913" t="str">
            <v>Grado en Criminología</v>
          </cell>
          <cell r="K913" t="str">
            <v>Licenciado en Psicología</v>
          </cell>
          <cell r="L913" t="str">
            <v>Licenciado en Psicología</v>
          </cell>
          <cell r="M913" t="str">
            <v>Labour</v>
          </cell>
          <cell r="N913" t="str">
            <v>Rama Galdón, Encarnación</v>
          </cell>
          <cell r="O913" t="str">
            <v>CSS</v>
          </cell>
          <cell r="P913">
            <v>40</v>
          </cell>
          <cell r="Q913" t="str">
            <v>32</v>
          </cell>
          <cell r="R913"/>
          <cell r="S913"/>
          <cell r="T913" t="str">
            <v>Sin reducción</v>
          </cell>
          <cell r="U913">
            <v>0</v>
          </cell>
          <cell r="V913">
            <v>2</v>
          </cell>
          <cell r="W913" t="str">
            <v>JURÍDICO</v>
          </cell>
          <cell r="X913">
            <v>32.200000000000003</v>
          </cell>
          <cell r="Y913">
            <v>0</v>
          </cell>
          <cell r="Z913">
            <v>0</v>
          </cell>
          <cell r="AA913"/>
          <cell r="AB913" t="str">
            <v>Active - signed</v>
          </cell>
          <cell r="AC913" t="str">
            <v>ACTIVO</v>
          </cell>
          <cell r="AD913"/>
          <cell r="AE913"/>
          <cell r="AF913"/>
          <cell r="AG913"/>
          <cell r="AH913"/>
          <cell r="AI913" t="str">
            <v>76641326J</v>
          </cell>
        </row>
        <row r="914">
          <cell r="A914" t="str">
            <v>53428642x</v>
          </cell>
          <cell r="B914" t="str">
            <v>Poveda García</v>
          </cell>
          <cell r="C914" t="str">
            <v>Ana</v>
          </cell>
          <cell r="D914" t="str">
            <v>Poveda García, Ana</v>
          </cell>
          <cell r="E914" t="str">
            <v>ana.poveda</v>
          </cell>
          <cell r="F914" t="str">
            <v>ana.poveda@professional.universidadviu.com</v>
          </cell>
          <cell r="G914" t="str">
            <v>Yes</v>
          </cell>
          <cell r="H914" t="str">
            <v>NO</v>
          </cell>
          <cell r="I914" t="str">
            <v>Doctorado en Ciencias de la Salud</v>
          </cell>
          <cell r="J914" t="str">
            <v>Grado en Terapia Ocupacional</v>
          </cell>
          <cell r="K914" t="str">
            <v>Master Neurocontrol Motor</v>
          </cell>
          <cell r="L914" t="str">
            <v/>
          </cell>
          <cell r="M914" t="str">
            <v>Professional</v>
          </cell>
          <cell r="N914" t="str">
            <v/>
          </cell>
          <cell r="O914" t="str">
            <v>CSS</v>
          </cell>
          <cell r="P914">
            <v>0</v>
          </cell>
          <cell r="Q914" t="str">
            <v xml:space="preserve"> </v>
          </cell>
          <cell r="R914"/>
          <cell r="S914"/>
          <cell r="T914" t="str">
            <v>Sin reducción</v>
          </cell>
          <cell r="U914">
            <v>0</v>
          </cell>
          <cell r="V914"/>
          <cell r="W914"/>
          <cell r="X914">
            <v>0</v>
          </cell>
          <cell r="Y914">
            <v>0</v>
          </cell>
          <cell r="Z914">
            <v>0</v>
          </cell>
          <cell r="AA914"/>
          <cell r="AB914" t="str">
            <v>Active - signed</v>
          </cell>
          <cell r="AC914" t="str">
            <v>ACTIVO</v>
          </cell>
          <cell r="AD914"/>
          <cell r="AE914"/>
          <cell r="AF914"/>
          <cell r="AG914"/>
          <cell r="AH914"/>
          <cell r="AI914" t="str">
            <v>53428642x</v>
          </cell>
        </row>
        <row r="915">
          <cell r="A915" t="str">
            <v>53638148D</v>
          </cell>
          <cell r="B915" t="str">
            <v>Poveda Moral</v>
          </cell>
          <cell r="C915" t="str">
            <v>Silvia</v>
          </cell>
          <cell r="D915" t="str">
            <v>Poveda Moral, Silvia</v>
          </cell>
          <cell r="E915" t="str">
            <v>spovedam@professional.universidadviu.com</v>
          </cell>
          <cell r="F915" t="str">
            <v>spovedam@professional.universidadviu.com</v>
          </cell>
          <cell r="G915" t="str">
            <v>Yes</v>
          </cell>
          <cell r="H915" t="str">
            <v>NO</v>
          </cell>
          <cell r="I915" t="str">
            <v>Doctorada en Enfermería y Salud</v>
          </cell>
          <cell r="J915" t="str">
            <v>Graduada en Enfermería</v>
          </cell>
          <cell r="K915" t="str">
            <v/>
          </cell>
          <cell r="L915" t="str">
            <v/>
          </cell>
          <cell r="M915" t="str">
            <v>Professional</v>
          </cell>
          <cell r="N915"/>
          <cell r="O915" t="str">
            <v>CBS</v>
          </cell>
          <cell r="P915">
            <v>0</v>
          </cell>
          <cell r="Q915" t="str">
            <v xml:space="preserve"> </v>
          </cell>
          <cell r="R915"/>
          <cell r="S915"/>
          <cell r="T915" t="str">
            <v>Sin reducción</v>
          </cell>
          <cell r="U915">
            <v>0</v>
          </cell>
          <cell r="V915"/>
          <cell r="W915"/>
          <cell r="X915">
            <v>0</v>
          </cell>
          <cell r="Y915">
            <v>0</v>
          </cell>
          <cell r="Z915">
            <v>0</v>
          </cell>
          <cell r="AA915"/>
          <cell r="AB915" t="str">
            <v>Active - signed</v>
          </cell>
          <cell r="AC915" t="str">
            <v>ACTIVO</v>
          </cell>
          <cell r="AD915"/>
          <cell r="AE915"/>
          <cell r="AF915"/>
          <cell r="AG915"/>
          <cell r="AH915"/>
          <cell r="AI915" t="str">
            <v>53638148D</v>
          </cell>
        </row>
        <row r="916">
          <cell r="A916" t="str">
            <v>49005959C</v>
          </cell>
          <cell r="B916" t="str">
            <v>Poyato Vega</v>
          </cell>
          <cell r="C916" t="str">
            <v>Natalia</v>
          </cell>
          <cell r="D916" t="str">
            <v>Poyato Vega, Natalia</v>
          </cell>
          <cell r="E916" t="str">
            <v>npoyatov@professional.universidadviu.com</v>
          </cell>
          <cell r="F916" t="str">
            <v>npoyatov@professional.universidadviu.com</v>
          </cell>
          <cell r="G916" t="str">
            <v>Yes</v>
          </cell>
          <cell r="H916" t="str">
            <v>NO</v>
          </cell>
          <cell r="I916" t="str">
            <v>Doctorado en Atención selectiva y respuestas psicofisiológicas durante la anticipación de resultados emocionales recurrentes emocionales recurrentes</v>
          </cell>
          <cell r="J916" t="str">
            <v>Máster en Psicología General Sanitaria</v>
          </cell>
          <cell r="K916" t="str">
            <v>Licenciatura en Psicología</v>
          </cell>
          <cell r="L916" t="str">
            <v/>
          </cell>
          <cell r="M916" t="str">
            <v>Professional</v>
          </cell>
          <cell r="N916" t="str">
            <v/>
          </cell>
          <cell r="O916" t="str">
            <v>CSS</v>
          </cell>
          <cell r="P916">
            <v>0</v>
          </cell>
          <cell r="Q916" t="str">
            <v xml:space="preserve"> </v>
          </cell>
          <cell r="R916"/>
          <cell r="S916"/>
          <cell r="T916" t="str">
            <v>Sin reducción</v>
          </cell>
          <cell r="U916">
            <v>0</v>
          </cell>
          <cell r="V916"/>
          <cell r="W916"/>
          <cell r="X916">
            <v>0</v>
          </cell>
          <cell r="Y916">
            <v>0</v>
          </cell>
          <cell r="Z916">
            <v>0</v>
          </cell>
          <cell r="AA916"/>
          <cell r="AB916" t="str">
            <v>Active - signed</v>
          </cell>
          <cell r="AC916" t="str">
            <v>ACTIVO</v>
          </cell>
          <cell r="AD916"/>
          <cell r="AE916"/>
          <cell r="AF916"/>
          <cell r="AG916"/>
          <cell r="AH916"/>
          <cell r="AI916" t="str">
            <v>49005959C</v>
          </cell>
        </row>
        <row r="917">
          <cell r="A917" t="str">
            <v>51352162Q</v>
          </cell>
          <cell r="B917" t="str">
            <v>Pradas Montilla</v>
          </cell>
          <cell r="C917" t="str">
            <v>Silvia</v>
          </cell>
          <cell r="D917" t="str">
            <v>Pradas Montilla, Silvia</v>
          </cell>
          <cell r="E917" t="str">
            <v>spradasm@professional.universidadviu.com</v>
          </cell>
          <cell r="F917" t="str">
            <v>spradasm@professional.universidadviu.com</v>
          </cell>
          <cell r="G917" t="str">
            <v>Yes</v>
          </cell>
          <cell r="H917" t="str">
            <v>Yes</v>
          </cell>
          <cell r="I917" t="str">
            <v>Doctorado en Ciencias de la Educación</v>
          </cell>
          <cell r="J917" t="str">
            <v>Bachelor of education</v>
          </cell>
          <cell r="K917" t="str">
            <v>Licenciada en Psicopedagogía</v>
          </cell>
          <cell r="L917" t="str">
            <v/>
          </cell>
          <cell r="M917" t="str">
            <v>Professional</v>
          </cell>
          <cell r="N917"/>
          <cell r="O917" t="str">
            <v>CSS</v>
          </cell>
          <cell r="P917">
            <v>0</v>
          </cell>
          <cell r="Q917" t="str">
            <v xml:space="preserve"> </v>
          </cell>
          <cell r="R917"/>
          <cell r="S917"/>
          <cell r="T917" t="str">
            <v>Sin reducción</v>
          </cell>
          <cell r="U917">
            <v>0</v>
          </cell>
          <cell r="V917"/>
          <cell r="W917"/>
          <cell r="X917">
            <v>0</v>
          </cell>
          <cell r="Y917">
            <v>0</v>
          </cell>
          <cell r="Z917">
            <v>0</v>
          </cell>
          <cell r="AA917"/>
          <cell r="AB917" t="str">
            <v>Active - signed</v>
          </cell>
          <cell r="AC917" t="str">
            <v>ACTIVO</v>
          </cell>
          <cell r="AD917"/>
          <cell r="AE917"/>
          <cell r="AF917"/>
          <cell r="AG917"/>
          <cell r="AH917"/>
          <cell r="AI917" t="str">
            <v>51352162Q</v>
          </cell>
        </row>
        <row r="918">
          <cell r="A918" t="str">
            <v>30360134L</v>
          </cell>
          <cell r="B918" t="str">
            <v>Preciado Mora</v>
          </cell>
          <cell r="C918" t="str">
            <v>Mónica María</v>
          </cell>
          <cell r="D918" t="str">
            <v>Preciado Mora, Mónica María</v>
          </cell>
          <cell r="E918" t="str">
            <v>monicam.preciado@professor.universidadviu.com</v>
          </cell>
          <cell r="F918" t="str">
            <v>monicam.preciado@professor.universidadviu.com</v>
          </cell>
          <cell r="G918" t="str">
            <v>Yes</v>
          </cell>
          <cell r="H918" t="str">
            <v>NO</v>
          </cell>
          <cell r="I918" t="str">
            <v>Enfermería</v>
          </cell>
          <cell r="J918" t="str">
            <v>Máster universitario de cuidados en enfermería: metodología y aplicaciones</v>
          </cell>
          <cell r="K918" t="str">
            <v>Diplomado/a en Enfermeria (Título homologado)</v>
          </cell>
          <cell r="L918" t="str">
            <v/>
          </cell>
          <cell r="M918" t="str">
            <v>Labour</v>
          </cell>
          <cell r="N918" t="str">
            <v>Rama Galdón, Encarnación</v>
          </cell>
          <cell r="O918" t="str">
            <v>CSS</v>
          </cell>
          <cell r="P918">
            <v>50</v>
          </cell>
          <cell r="Q918" t="str">
            <v>38</v>
          </cell>
          <cell r="R918"/>
          <cell r="S918"/>
          <cell r="T918" t="str">
            <v>Sin reducción</v>
          </cell>
          <cell r="U918">
            <v>0</v>
          </cell>
          <cell r="V918"/>
          <cell r="W918"/>
          <cell r="X918">
            <v>37.1</v>
          </cell>
          <cell r="Y918">
            <v>0</v>
          </cell>
          <cell r="Z918">
            <v>0</v>
          </cell>
          <cell r="AA918"/>
          <cell r="AB918" t="str">
            <v>Active - signed</v>
          </cell>
          <cell r="AC918" t="str">
            <v>ACTIVO</v>
          </cell>
          <cell r="AD918"/>
          <cell r="AE918"/>
          <cell r="AF918"/>
          <cell r="AG918"/>
          <cell r="AH918"/>
          <cell r="AI918" t="str">
            <v>30360134L</v>
          </cell>
        </row>
        <row r="919">
          <cell r="A919" t="str">
            <v>70939728T</v>
          </cell>
          <cell r="B919" t="str">
            <v>Prieto Fernández</v>
          </cell>
          <cell r="C919" t="str">
            <v>Paula</v>
          </cell>
          <cell r="D919" t="str">
            <v>Prieto Fernández, Paula</v>
          </cell>
          <cell r="E919" t="str">
            <v>pprietof@professor.universidadviu.com</v>
          </cell>
          <cell r="F919" t="str">
            <v>pprietof@professor.universidadviu.com</v>
          </cell>
          <cell r="G919" t="str">
            <v>Yes</v>
          </cell>
          <cell r="H919" t="str">
            <v>NO</v>
          </cell>
          <cell r="I919" t="str">
            <v/>
          </cell>
          <cell r="J919" t="str">
            <v/>
          </cell>
          <cell r="K919" t="str">
            <v/>
          </cell>
          <cell r="L919" t="str">
            <v/>
          </cell>
          <cell r="M919" t="str">
            <v>Labour</v>
          </cell>
          <cell r="N919"/>
          <cell r="O919" t="str">
            <v>CSS</v>
          </cell>
          <cell r="P919">
            <v>6</v>
          </cell>
          <cell r="Q919" t="str">
            <v>6</v>
          </cell>
          <cell r="R919"/>
          <cell r="S919"/>
          <cell r="T919" t="str">
            <v>Sin reducción</v>
          </cell>
          <cell r="U919">
            <v>0</v>
          </cell>
          <cell r="V919"/>
          <cell r="W919"/>
          <cell r="X919">
            <v>0</v>
          </cell>
          <cell r="Y919">
            <v>0</v>
          </cell>
          <cell r="Z919">
            <v>0</v>
          </cell>
          <cell r="AA919"/>
          <cell r="AB919" t="str">
            <v>Active - signed</v>
          </cell>
          <cell r="AC919" t="str">
            <v>NO ACTIVO</v>
          </cell>
          <cell r="AD919"/>
          <cell r="AE919"/>
          <cell r="AF919">
            <v>46068</v>
          </cell>
          <cell r="AG919" t="str">
            <v>CESE DE CONTRATO</v>
          </cell>
          <cell r="AH919" t="str">
            <v xml:space="preserve">fecha fin aprox. </v>
          </cell>
          <cell r="AI919" t="str">
            <v>70939728T</v>
          </cell>
        </row>
        <row r="920">
          <cell r="A920" t="str">
            <v>70347096D</v>
          </cell>
          <cell r="B920" t="str">
            <v>Privado Zamorano</v>
          </cell>
          <cell r="C920" t="str">
            <v>Jesús</v>
          </cell>
          <cell r="D920" t="str">
            <v>Privado Zamorano, Jesús</v>
          </cell>
          <cell r="E920" t="str">
            <v>jesus.privado</v>
          </cell>
          <cell r="F920" t="str">
            <v>jesus.privado@professor.universidadviu.com</v>
          </cell>
          <cell r="G920" t="str">
            <v>Yes</v>
          </cell>
          <cell r="H920" t="str">
            <v>Yes</v>
          </cell>
          <cell r="I920" t="str">
            <v>Máster universitario en Metodología de las Ciencias del Comportamiento y de la Salud</v>
          </cell>
          <cell r="J920" t="str">
            <v>Programa de doctorado INTELIGENCIA, PERSONALIDAD Y PSICOLOGÍA DEL TRABAJO</v>
          </cell>
          <cell r="K920" t="str">
            <v>Licenciado en Psicología</v>
          </cell>
          <cell r="L920" t="str">
            <v/>
          </cell>
          <cell r="M920" t="str">
            <v>Labour</v>
          </cell>
          <cell r="N920" t="str">
            <v>Rama Galdón, Encarnación</v>
          </cell>
          <cell r="O920" t="str">
            <v>CSS</v>
          </cell>
          <cell r="P920">
            <v>100</v>
          </cell>
          <cell r="Q920" t="str">
            <v>50</v>
          </cell>
          <cell r="R920"/>
          <cell r="S920"/>
          <cell r="T920" t="str">
            <v>Sin reducción</v>
          </cell>
          <cell r="U920">
            <v>0</v>
          </cell>
          <cell r="V920"/>
          <cell r="W920"/>
          <cell r="X920">
            <v>30.2</v>
          </cell>
          <cell r="Y920">
            <v>20</v>
          </cell>
          <cell r="Z920">
            <v>0</v>
          </cell>
          <cell r="AA920"/>
          <cell r="AB920" t="str">
            <v>Active - signed</v>
          </cell>
          <cell r="AC920" t="str">
            <v>ACTIVO</v>
          </cell>
          <cell r="AD920"/>
          <cell r="AE920"/>
          <cell r="AF920"/>
          <cell r="AG920"/>
          <cell r="AH920"/>
          <cell r="AI920" t="str">
            <v>70347096D</v>
          </cell>
        </row>
        <row r="921">
          <cell r="A921" t="str">
            <v>20464667A</v>
          </cell>
          <cell r="B921" t="str">
            <v>Puchol Soriano</v>
          </cell>
          <cell r="C921" t="str">
            <v>Sara</v>
          </cell>
          <cell r="D921" t="str">
            <v>Puchol Soriano, Sara</v>
          </cell>
          <cell r="E921" t="str">
            <v>spuchols@professional.universidadviu.com</v>
          </cell>
          <cell r="F921" t="str">
            <v>spuchols@professional.universidadviu.com</v>
          </cell>
          <cell r="G921" t="str">
            <v>Yes</v>
          </cell>
          <cell r="H921" t="str">
            <v>NO</v>
          </cell>
          <cell r="I921" t="str">
            <v>PORGRAMA DE DOCTORADO EN CIENCIA Y TECNOLOGIA DE LA PRODUCCION ANIMAL</v>
          </cell>
          <cell r="J921" t="str">
            <v>Máster en acuicultura</v>
          </cell>
          <cell r="K921" t="str">
            <v>Licenciatura en Biología</v>
          </cell>
          <cell r="L921" t="str">
            <v/>
          </cell>
          <cell r="M921" t="str">
            <v>Professional</v>
          </cell>
          <cell r="N921" t="str">
            <v/>
          </cell>
          <cell r="O921" t="str">
            <v>CBS</v>
          </cell>
          <cell r="P921">
            <v>0</v>
          </cell>
          <cell r="Q921" t="str">
            <v xml:space="preserve"> </v>
          </cell>
          <cell r="R921"/>
          <cell r="S921"/>
          <cell r="T921" t="str">
            <v>Sin reducción</v>
          </cell>
          <cell r="U921">
            <v>0</v>
          </cell>
          <cell r="V921"/>
          <cell r="W921"/>
          <cell r="X921">
            <v>0</v>
          </cell>
          <cell r="Y921">
            <v>0</v>
          </cell>
          <cell r="Z921">
            <v>0</v>
          </cell>
          <cell r="AA921"/>
          <cell r="AB921" t="str">
            <v>Active - signed</v>
          </cell>
          <cell r="AC921" t="str">
            <v>ACTIVO</v>
          </cell>
          <cell r="AD921"/>
          <cell r="AE921"/>
          <cell r="AF921"/>
          <cell r="AG921"/>
          <cell r="AH921"/>
          <cell r="AI921" t="str">
            <v>20464667A</v>
          </cell>
        </row>
        <row r="922">
          <cell r="A922" t="str">
            <v>76121999A</v>
          </cell>
          <cell r="B922" t="str">
            <v>Puertas Martín</v>
          </cell>
          <cell r="C922" t="str">
            <v>Verónica</v>
          </cell>
          <cell r="D922" t="str">
            <v>Puertas Martín, Verónica</v>
          </cell>
          <cell r="E922" t="str">
            <v>veronica.puertas</v>
          </cell>
          <cell r="F922" t="str">
            <v>veronica.puertas@professional.universidadviu.com</v>
          </cell>
          <cell r="G922" t="str">
            <v>Yes</v>
          </cell>
          <cell r="H922" t="str">
            <v>Yes</v>
          </cell>
          <cell r="I922" t="str">
            <v>Psicología</v>
          </cell>
          <cell r="J922" t="str">
            <v>Máster en Neuropsicología Clínica infantil y de adultos</v>
          </cell>
          <cell r="K922" t="str">
            <v>Postgrado Actualización en Psicopatología Clinica</v>
          </cell>
          <cell r="L922" t="str">
            <v>Doctorado</v>
          </cell>
          <cell r="M922" t="str">
            <v>Professional</v>
          </cell>
          <cell r="N922" t="str">
            <v/>
          </cell>
          <cell r="O922" t="str">
            <v>CSS</v>
          </cell>
          <cell r="P922">
            <v>0</v>
          </cell>
          <cell r="Q922" t="str">
            <v xml:space="preserve"> </v>
          </cell>
          <cell r="R922"/>
          <cell r="S922"/>
          <cell r="T922" t="str">
            <v>Sin reducción</v>
          </cell>
          <cell r="U922">
            <v>0</v>
          </cell>
          <cell r="V922"/>
          <cell r="W922"/>
          <cell r="X922">
            <v>0</v>
          </cell>
          <cell r="Y922">
            <v>0</v>
          </cell>
          <cell r="Z922">
            <v>0</v>
          </cell>
          <cell r="AA922"/>
          <cell r="AB922" t="str">
            <v>Concluded</v>
          </cell>
          <cell r="AC922" t="str">
            <v>NO ACTIVO</v>
          </cell>
          <cell r="AD922"/>
          <cell r="AE922"/>
          <cell r="AF922">
            <v>45217</v>
          </cell>
          <cell r="AG922" t="str">
            <v>CESE DE CONTRATO</v>
          </cell>
          <cell r="AH922"/>
          <cell r="AI922" t="str">
            <v>76121999A</v>
          </cell>
        </row>
        <row r="923">
          <cell r="A923" t="str">
            <v>08991521Q</v>
          </cell>
          <cell r="B923" t="str">
            <v>Puertas Yáñez</v>
          </cell>
          <cell r="C923" t="str">
            <v>María Amaya</v>
          </cell>
          <cell r="D923" t="str">
            <v>Puertas Yáñez, María Amaya</v>
          </cell>
          <cell r="E923" t="str">
            <v>mpuertasy@professional.universidadviu.com</v>
          </cell>
          <cell r="F923" t="str">
            <v>mpuertasy@professional.universidadviu.com</v>
          </cell>
          <cell r="G923" t="str">
            <v>Yes</v>
          </cell>
          <cell r="H923" t="str">
            <v>NO</v>
          </cell>
          <cell r="I923" t="str">
            <v>Pedagogía. Programa de Investigación Transdisciplinar en Educación</v>
          </cell>
          <cell r="J923" t="str">
            <v>Máster Enseñanza del Inglés como Lengua Extranjera. Especialidad Teaching Through English in Bilingual Schools</v>
          </cell>
          <cell r="K923" t="str">
            <v>Master en Dirección y Gestión de Centros Educativos</v>
          </cell>
          <cell r="L923" t="str">
            <v/>
          </cell>
          <cell r="M923" t="str">
            <v>Professional</v>
          </cell>
          <cell r="N923"/>
          <cell r="O923" t="str">
            <v>CSS</v>
          </cell>
          <cell r="P923"/>
          <cell r="Q923" t="str">
            <v xml:space="preserve"> </v>
          </cell>
          <cell r="R923"/>
          <cell r="S923"/>
          <cell r="T923" t="str">
            <v>Sin reducción</v>
          </cell>
          <cell r="U923">
            <v>0</v>
          </cell>
          <cell r="V923"/>
          <cell r="W923"/>
          <cell r="X923">
            <v>0</v>
          </cell>
          <cell r="Y923">
            <v>0</v>
          </cell>
          <cell r="Z923">
            <v>0</v>
          </cell>
          <cell r="AA923"/>
          <cell r="AB923" t="str">
            <v>Active - signed</v>
          </cell>
          <cell r="AC923" t="str">
            <v>ACTIVO</v>
          </cell>
          <cell r="AD923"/>
          <cell r="AE923"/>
          <cell r="AF923"/>
          <cell r="AG923"/>
          <cell r="AH923"/>
          <cell r="AI923" t="str">
            <v>08991521Q</v>
          </cell>
        </row>
        <row r="924">
          <cell r="A924" t="str">
            <v>20060011D</v>
          </cell>
          <cell r="B924" t="str">
            <v>Puig Herreros</v>
          </cell>
          <cell r="C924" t="str">
            <v>Clara</v>
          </cell>
          <cell r="D924" t="str">
            <v>Puig Herreros, Clara</v>
          </cell>
          <cell r="E924" t="str">
            <v>clara.puig</v>
          </cell>
          <cell r="F924" t="str">
            <v>clara.puig@professor.universidadviu.com</v>
          </cell>
          <cell r="G924" t="str">
            <v>Yes</v>
          </cell>
          <cell r="H924" t="str">
            <v>NO</v>
          </cell>
          <cell r="I924" t="str">
            <v>Doctorado</v>
          </cell>
          <cell r="J924" t="str">
            <v>Doctorado</v>
          </cell>
          <cell r="K924" t="str">
            <v>Graduada en Logopedia</v>
          </cell>
          <cell r="L924" t="str">
            <v/>
          </cell>
          <cell r="M924" t="str">
            <v>Labour</v>
          </cell>
          <cell r="N924"/>
          <cell r="O924" t="str">
            <v>CBS</v>
          </cell>
          <cell r="P924" t="str">
            <v>12,00</v>
          </cell>
          <cell r="Q924" t="b">
            <v>0</v>
          </cell>
          <cell r="R924"/>
          <cell r="S924"/>
          <cell r="T924" t="str">
            <v>Sin reducción</v>
          </cell>
          <cell r="U924">
            <v>0</v>
          </cell>
          <cell r="V924"/>
          <cell r="W924"/>
          <cell r="X924">
            <v>0</v>
          </cell>
          <cell r="Y924">
            <v>0</v>
          </cell>
          <cell r="Z924">
            <v>0</v>
          </cell>
          <cell r="AA924"/>
          <cell r="AB924" t="str">
            <v>Concluded</v>
          </cell>
          <cell r="AC924" t="str">
            <v>NO ACTIVO</v>
          </cell>
          <cell r="AD924"/>
          <cell r="AE924"/>
          <cell r="AF924">
            <v>45138</v>
          </cell>
          <cell r="AG924" t="str">
            <v>CESE DE CONTRATO</v>
          </cell>
          <cell r="AH924"/>
          <cell r="AI924" t="str">
            <v>20060011D</v>
          </cell>
        </row>
        <row r="925">
          <cell r="A925" t="str">
            <v>20846724F</v>
          </cell>
          <cell r="B925" t="str">
            <v>Puig Pérez</v>
          </cell>
          <cell r="C925" t="str">
            <v>Sara</v>
          </cell>
          <cell r="D925" t="str">
            <v>Puig Pérez, Sara</v>
          </cell>
          <cell r="E925" t="str">
            <v>sara.puig</v>
          </cell>
          <cell r="F925" t="str">
            <v>sara.puig@professor.universidadviu.com</v>
          </cell>
          <cell r="G925" t="str">
            <v>Yes</v>
          </cell>
          <cell r="H925" t="str">
            <v>Yes</v>
          </cell>
          <cell r="I925" t="str">
            <v>Doctorado en Neurociencias</v>
          </cell>
          <cell r="J925" t="str">
            <v>Doctorado en Neurociencias</v>
          </cell>
          <cell r="K925" t="str">
            <v>Licenciado en Psicología</v>
          </cell>
          <cell r="L925" t="str">
            <v/>
          </cell>
          <cell r="M925" t="str">
            <v>Labour</v>
          </cell>
          <cell r="N925" t="str">
            <v>Consultar a VR Investigación</v>
          </cell>
          <cell r="O925" t="str">
            <v>CSS</v>
          </cell>
          <cell r="P925">
            <v>100</v>
          </cell>
          <cell r="Q925" t="str">
            <v>50</v>
          </cell>
          <cell r="R925"/>
          <cell r="S925" t="str">
            <v>2012-2017 / 2018-2023</v>
          </cell>
          <cell r="T925" t="str">
            <v>Director/a VIU</v>
          </cell>
          <cell r="U925" t="str">
            <v>38</v>
          </cell>
          <cell r="V925"/>
          <cell r="W925"/>
          <cell r="X925">
            <v>10</v>
          </cell>
          <cell r="Y925">
            <v>0</v>
          </cell>
          <cell r="Z925">
            <v>10</v>
          </cell>
          <cell r="AA925"/>
          <cell r="AB925" t="str">
            <v>Active - signed</v>
          </cell>
          <cell r="AC925" t="str">
            <v>ACTIVO</v>
          </cell>
          <cell r="AD925"/>
          <cell r="AE925"/>
          <cell r="AF925"/>
          <cell r="AG925"/>
          <cell r="AH925"/>
          <cell r="AI925" t="str">
            <v>20846724F</v>
          </cell>
        </row>
        <row r="926">
          <cell r="A926" t="str">
            <v>29218635X</v>
          </cell>
          <cell r="B926" t="str">
            <v>Pujol Fuentes</v>
          </cell>
          <cell r="C926" t="str">
            <v>Clara</v>
          </cell>
          <cell r="D926" t="str">
            <v>Pujol Fuentes, Clara</v>
          </cell>
          <cell r="E926" t="str">
            <v>cpujolf@professional.universidadviu.com</v>
          </cell>
          <cell r="F926" t="str">
            <v>cpujolf@professional.universidadviu.com</v>
          </cell>
          <cell r="G926" t="str">
            <v>NO</v>
          </cell>
          <cell r="H926" t="str">
            <v>NO</v>
          </cell>
          <cell r="I926" t="str">
            <v/>
          </cell>
          <cell r="J926" t="str">
            <v/>
          </cell>
          <cell r="K926" t="str">
            <v/>
          </cell>
          <cell r="L926" t="str">
            <v/>
          </cell>
          <cell r="M926" t="str">
            <v>Professional</v>
          </cell>
          <cell r="N926"/>
          <cell r="O926" t="str">
            <v>CBS</v>
          </cell>
          <cell r="P926">
            <v>0</v>
          </cell>
          <cell r="Q926" t="str">
            <v xml:space="preserve"> </v>
          </cell>
          <cell r="R926"/>
          <cell r="S926"/>
          <cell r="T926" t="str">
            <v>Sin reducción</v>
          </cell>
          <cell r="U926">
            <v>0</v>
          </cell>
          <cell r="V926"/>
          <cell r="W926"/>
          <cell r="X926">
            <v>0</v>
          </cell>
          <cell r="Y926">
            <v>0</v>
          </cell>
          <cell r="Z926">
            <v>0</v>
          </cell>
          <cell r="AA926"/>
          <cell r="AB926" t="str">
            <v>Active - signed</v>
          </cell>
          <cell r="AC926" t="str">
            <v>ACTIVO</v>
          </cell>
          <cell r="AD926"/>
          <cell r="AE926"/>
          <cell r="AF926"/>
          <cell r="AG926"/>
          <cell r="AH926"/>
          <cell r="AI926" t="str">
            <v>29218635X</v>
          </cell>
        </row>
        <row r="927">
          <cell r="A927" t="str">
            <v>73398962M</v>
          </cell>
          <cell r="B927" t="str">
            <v>Querol Reverte</v>
          </cell>
          <cell r="C927" t="str">
            <v>Anabel</v>
          </cell>
          <cell r="D927" t="str">
            <v>Querol Reverte, Anabel</v>
          </cell>
          <cell r="E927" t="str">
            <v>aquerolr@professional.universidadviu.com</v>
          </cell>
          <cell r="F927" t="str">
            <v>aquerolr@professional.universidadviu.com</v>
          </cell>
          <cell r="G927" t="str">
            <v>Yes</v>
          </cell>
          <cell r="H927" t="str">
            <v>NO</v>
          </cell>
          <cell r="I927" t="str">
            <v/>
          </cell>
          <cell r="J927" t="str">
            <v/>
          </cell>
          <cell r="K927" t="str">
            <v/>
          </cell>
          <cell r="L927" t="str">
            <v/>
          </cell>
          <cell r="M927" t="str">
            <v>Professional</v>
          </cell>
          <cell r="N927"/>
          <cell r="O927" t="str">
            <v>CSS</v>
          </cell>
          <cell r="P927">
            <v>0</v>
          </cell>
          <cell r="Q927" t="str">
            <v xml:space="preserve"> </v>
          </cell>
          <cell r="R927"/>
          <cell r="S927"/>
          <cell r="T927" t="str">
            <v>Sin reducción</v>
          </cell>
          <cell r="U927">
            <v>0</v>
          </cell>
          <cell r="V927"/>
          <cell r="W927"/>
          <cell r="X927">
            <v>0</v>
          </cell>
          <cell r="Y927">
            <v>0</v>
          </cell>
          <cell r="Z927">
            <v>0</v>
          </cell>
          <cell r="AA927"/>
          <cell r="AB927" t="str">
            <v>Active - signed</v>
          </cell>
          <cell r="AC927" t="str">
            <v>ACTIVO</v>
          </cell>
          <cell r="AD927"/>
          <cell r="AE927"/>
          <cell r="AF927"/>
          <cell r="AG927"/>
          <cell r="AH927"/>
          <cell r="AI927" t="str">
            <v>73398962M</v>
          </cell>
        </row>
        <row r="928">
          <cell r="A928" t="str">
            <v>47273176B</v>
          </cell>
          <cell r="B928" t="str">
            <v>Quifer Rada</v>
          </cell>
          <cell r="C928" t="str">
            <v>Paula</v>
          </cell>
          <cell r="D928" t="str">
            <v>Quifer Rada, Paula</v>
          </cell>
          <cell r="E928" t="str">
            <v>paula.quifer</v>
          </cell>
          <cell r="F928" t="str">
            <v>paula.quifer@professional.universidadviu.com</v>
          </cell>
          <cell r="G928" t="str">
            <v>Yes</v>
          </cell>
          <cell r="H928" t="str">
            <v>Yes</v>
          </cell>
          <cell r="I928" t="str">
            <v>Ciencia y tecnología de los alimentos</v>
          </cell>
          <cell r="J928" t="str">
            <v>Programa Doctorado en Alimentación y Nutrición</v>
          </cell>
          <cell r="K928" t="str">
            <v/>
          </cell>
          <cell r="L928" t="str">
            <v/>
          </cell>
          <cell r="M928" t="str">
            <v>Professional</v>
          </cell>
          <cell r="N928" t="str">
            <v/>
          </cell>
          <cell r="O928" t="str">
            <v>CBS</v>
          </cell>
          <cell r="P928">
            <v>0</v>
          </cell>
          <cell r="Q928" t="str">
            <v xml:space="preserve"> </v>
          </cell>
          <cell r="R928"/>
          <cell r="S928"/>
          <cell r="T928" t="str">
            <v>Sin reducción</v>
          </cell>
          <cell r="U928">
            <v>0</v>
          </cell>
          <cell r="V928"/>
          <cell r="W928"/>
          <cell r="X928">
            <v>0</v>
          </cell>
          <cell r="Y928">
            <v>0</v>
          </cell>
          <cell r="Z928">
            <v>0</v>
          </cell>
          <cell r="AA928"/>
          <cell r="AB928" t="str">
            <v>Active - signed</v>
          </cell>
          <cell r="AC928" t="str">
            <v>ACTIVO</v>
          </cell>
          <cell r="AD928"/>
          <cell r="AE928"/>
          <cell r="AF928"/>
          <cell r="AG928"/>
          <cell r="AH928"/>
          <cell r="AI928" t="str">
            <v>47273176B</v>
          </cell>
        </row>
        <row r="929">
          <cell r="A929" t="str">
            <v>22581248D</v>
          </cell>
          <cell r="B929" t="str">
            <v>Quiles Catalá</v>
          </cell>
          <cell r="C929" t="str">
            <v>Amparo</v>
          </cell>
          <cell r="D929" t="str">
            <v>Quiles Catalá, Amparo</v>
          </cell>
          <cell r="E929" t="str">
            <v>amparo.quiles</v>
          </cell>
          <cell r="F929" t="str">
            <v>amparo.quiles@professional.universidadviu.com</v>
          </cell>
          <cell r="G929" t="str">
            <v>Yes</v>
          </cell>
          <cell r="H929" t="str">
            <v>NO</v>
          </cell>
          <cell r="I929" t="str">
            <v>Medicina</v>
          </cell>
          <cell r="J929" t="str">
            <v>Titulo oficial de medica especialista en pediatria y sus areas especificas</v>
          </cell>
          <cell r="K929" t="str">
            <v>Doctorado en Medicina</v>
          </cell>
          <cell r="L929" t="str">
            <v/>
          </cell>
          <cell r="M929" t="str">
            <v>Professional</v>
          </cell>
          <cell r="N929" t="str">
            <v/>
          </cell>
          <cell r="O929" t="str">
            <v>CBS</v>
          </cell>
          <cell r="P929">
            <v>0</v>
          </cell>
          <cell r="Q929" t="str">
            <v xml:space="preserve"> </v>
          </cell>
          <cell r="R929"/>
          <cell r="S929"/>
          <cell r="T929" t="str">
            <v>Sin reducción</v>
          </cell>
          <cell r="U929">
            <v>0</v>
          </cell>
          <cell r="V929"/>
          <cell r="W929"/>
          <cell r="X929">
            <v>0</v>
          </cell>
          <cell r="Y929">
            <v>0</v>
          </cell>
          <cell r="Z929">
            <v>0</v>
          </cell>
          <cell r="AA929"/>
          <cell r="AB929" t="str">
            <v>Active - signed</v>
          </cell>
          <cell r="AC929" t="str">
            <v>ACTIVO</v>
          </cell>
          <cell r="AD929"/>
          <cell r="AE929"/>
          <cell r="AF929"/>
          <cell r="AG929"/>
          <cell r="AH929"/>
          <cell r="AI929" t="str">
            <v>22581248D</v>
          </cell>
        </row>
        <row r="930">
          <cell r="A930" t="str">
            <v>73084518V</v>
          </cell>
          <cell r="B930" t="str">
            <v>Quílez Robres</v>
          </cell>
          <cell r="C930" t="str">
            <v>Alberto</v>
          </cell>
          <cell r="D930" t="str">
            <v>Quílez Robres, Alberto</v>
          </cell>
          <cell r="E930" t="str">
            <v>aquilezr@professional.universidadviu.com</v>
          </cell>
          <cell r="F930" t="str">
            <v>aquilezr@professional.universidadviu.com</v>
          </cell>
          <cell r="G930" t="str">
            <v>Yes</v>
          </cell>
          <cell r="H930" t="str">
            <v>Yes</v>
          </cell>
          <cell r="I930" t="str">
            <v>Doctorado en Educación</v>
          </cell>
          <cell r="J930" t="str">
            <v>Grado en Psicología</v>
          </cell>
          <cell r="K930" t="str">
            <v>Grado de Maestro en Educación Primaria</v>
          </cell>
          <cell r="L930" t="str">
            <v/>
          </cell>
          <cell r="M930" t="str">
            <v>Professional</v>
          </cell>
          <cell r="N930" t="str">
            <v/>
          </cell>
          <cell r="O930" t="str">
            <v>CSS</v>
          </cell>
          <cell r="P930">
            <v>0</v>
          </cell>
          <cell r="Q930" t="str">
            <v xml:space="preserve"> </v>
          </cell>
          <cell r="R930"/>
          <cell r="S930"/>
          <cell r="T930" t="str">
            <v>Sin reducción</v>
          </cell>
          <cell r="U930">
            <v>0</v>
          </cell>
          <cell r="V930"/>
          <cell r="W930"/>
          <cell r="X930">
            <v>0</v>
          </cell>
          <cell r="Y930">
            <v>0</v>
          </cell>
          <cell r="Z930">
            <v>0</v>
          </cell>
          <cell r="AA930"/>
          <cell r="AB930" t="str">
            <v>Active - signed</v>
          </cell>
          <cell r="AC930" t="str">
            <v>ACTIVO</v>
          </cell>
          <cell r="AD930"/>
          <cell r="AE930"/>
          <cell r="AF930"/>
          <cell r="AG930"/>
          <cell r="AH930"/>
          <cell r="AI930" t="str">
            <v>73084518V</v>
          </cell>
        </row>
        <row r="931">
          <cell r="A931" t="str">
            <v>42875307H</v>
          </cell>
          <cell r="B931" t="str">
            <v>Quintana Hernández</v>
          </cell>
          <cell r="C931" t="str">
            <v>Domingo Jesús</v>
          </cell>
          <cell r="D931" t="str">
            <v>Quintana Hernández, Domingo Jesús</v>
          </cell>
          <cell r="E931" t="str">
            <v>domingo.quintana@professional.universidadviu.com</v>
          </cell>
          <cell r="F931" t="str">
            <v>domingo.quintana@professional.universidadviu.com</v>
          </cell>
          <cell r="G931" t="str">
            <v>Yes</v>
          </cell>
          <cell r="H931" t="str">
            <v>Yes</v>
          </cell>
          <cell r="I931" t="str">
            <v>Psicología</v>
          </cell>
          <cell r="J931" t="str">
            <v>Doctorado en Psicología Clínica</v>
          </cell>
          <cell r="K931" t="str">
            <v>Máster en Atención Integral Centrada en la Persona</v>
          </cell>
          <cell r="L931" t="str">
            <v/>
          </cell>
          <cell r="M931" t="str">
            <v>Labour</v>
          </cell>
          <cell r="N931" t="str">
            <v/>
          </cell>
          <cell r="O931" t="str">
            <v>CSS</v>
          </cell>
          <cell r="P931">
            <v>40</v>
          </cell>
          <cell r="Q931" t="str">
            <v>32</v>
          </cell>
          <cell r="R931" t="str">
            <v>Laboralización abril</v>
          </cell>
          <cell r="S931"/>
          <cell r="T931" t="str">
            <v>Sin reducción</v>
          </cell>
          <cell r="U931">
            <v>0</v>
          </cell>
          <cell r="V931"/>
          <cell r="W931"/>
          <cell r="X931">
            <v>24</v>
          </cell>
          <cell r="Y931">
            <v>0</v>
          </cell>
          <cell r="Z931">
            <v>0</v>
          </cell>
          <cell r="AA931"/>
          <cell r="AB931" t="str">
            <v>Active - signed</v>
          </cell>
          <cell r="AC931" t="str">
            <v>ACTIVO</v>
          </cell>
          <cell r="AD931"/>
          <cell r="AE931"/>
          <cell r="AF931"/>
          <cell r="AG931"/>
          <cell r="AH931" t="str">
            <v>PTE. LABORALIZACIÓN/ PROPUESTA LABORAL</v>
          </cell>
          <cell r="AI931" t="str">
            <v>42875307H</v>
          </cell>
        </row>
        <row r="932">
          <cell r="A932" t="str">
            <v>77557162N</v>
          </cell>
          <cell r="B932" t="str">
            <v>Quintana López</v>
          </cell>
          <cell r="C932" t="str">
            <v>Alida Verónica</v>
          </cell>
          <cell r="D932" t="str">
            <v>Quintana López, Alida Verónica</v>
          </cell>
          <cell r="E932" t="str">
            <v>alidaveronica.quintana</v>
          </cell>
          <cell r="F932" t="str">
            <v>alidaveronica.quintana@professional.universidadviu.com</v>
          </cell>
          <cell r="G932" t="str">
            <v>Yes</v>
          </cell>
          <cell r="H932" t="str">
            <v>NO</v>
          </cell>
          <cell r="I932" t="str">
            <v>Nutrición y Dietética</v>
          </cell>
          <cell r="J932" t="str">
            <v>Título de Experta Propio en Alimentos Funcionales y Nutracéuticos</v>
          </cell>
          <cell r="K932" t="str">
            <v>Programa Doctorado en Nutrición Humana</v>
          </cell>
          <cell r="L932" t="str">
            <v>Licenciada en Nutrición</v>
          </cell>
          <cell r="M932" t="str">
            <v>Professional</v>
          </cell>
          <cell r="N932" t="str">
            <v/>
          </cell>
          <cell r="O932" t="str">
            <v>CBS</v>
          </cell>
          <cell r="P932">
            <v>0</v>
          </cell>
          <cell r="Q932" t="str">
            <v xml:space="preserve"> </v>
          </cell>
          <cell r="R932"/>
          <cell r="S932"/>
          <cell r="T932" t="str">
            <v>Sin reducción</v>
          </cell>
          <cell r="U932">
            <v>0</v>
          </cell>
          <cell r="V932"/>
          <cell r="W932"/>
          <cell r="X932">
            <v>0</v>
          </cell>
          <cell r="Y932">
            <v>0</v>
          </cell>
          <cell r="Z932">
            <v>0</v>
          </cell>
          <cell r="AA932"/>
          <cell r="AB932" t="str">
            <v>Active - signed</v>
          </cell>
          <cell r="AC932" t="str">
            <v>ACTIVO</v>
          </cell>
          <cell r="AD932"/>
          <cell r="AE932"/>
          <cell r="AF932"/>
          <cell r="AG932"/>
          <cell r="AH932"/>
          <cell r="AI932" t="str">
            <v>77557162N</v>
          </cell>
        </row>
        <row r="933">
          <cell r="A933" t="str">
            <v>FR28989967229</v>
          </cell>
          <cell r="B933" t="str">
            <v>Quiun Montes</v>
          </cell>
          <cell r="C933" t="str">
            <v>Laura Fabiola</v>
          </cell>
          <cell r="D933" t="str">
            <v>Quiun Montes, Laura Fabiola</v>
          </cell>
          <cell r="E933" t="str">
            <v>lquiunm@professional.universidadviu.com</v>
          </cell>
          <cell r="F933" t="str">
            <v>lquiunm@professional.universidadviu.com</v>
          </cell>
          <cell r="G933" t="str">
            <v>Yes</v>
          </cell>
          <cell r="H933" t="str">
            <v>No</v>
          </cell>
          <cell r="I933" t="str">
            <v>Doctorado en Psicología Clínica y de la Salud</v>
          </cell>
          <cell r="J933" t="str">
            <v>Licenciada en comunicación Audiovisual</v>
          </cell>
          <cell r="K933" t="str">
            <v/>
          </cell>
          <cell r="L933" t="str">
            <v/>
          </cell>
          <cell r="M933" t="str">
            <v>Professional</v>
          </cell>
          <cell r="N933" t="str">
            <v/>
          </cell>
          <cell r="O933" t="str">
            <v>CSS</v>
          </cell>
          <cell r="P933" t="str">
            <v xml:space="preserve"> </v>
          </cell>
          <cell r="Q933" t="b">
            <v>0</v>
          </cell>
          <cell r="R933"/>
          <cell r="S933"/>
          <cell r="T933" t="str">
            <v>Sin reducción</v>
          </cell>
          <cell r="U933">
            <v>0</v>
          </cell>
          <cell r="V933"/>
          <cell r="W933"/>
          <cell r="X933">
            <v>0</v>
          </cell>
          <cell r="Y933">
            <v>0</v>
          </cell>
          <cell r="Z933">
            <v>0</v>
          </cell>
          <cell r="AA933"/>
          <cell r="AB933" t="e">
            <v>#VALUE!</v>
          </cell>
          <cell r="AC933" t="str">
            <v>ACTIVO</v>
          </cell>
          <cell r="AD933"/>
          <cell r="AE933"/>
          <cell r="AF933"/>
          <cell r="AG933"/>
          <cell r="AH933"/>
          <cell r="AI933" t="str">
            <v>FR28989967229</v>
          </cell>
        </row>
        <row r="934">
          <cell r="A934" t="str">
            <v>20848398W</v>
          </cell>
          <cell r="B934" t="str">
            <v>Rama Galdón</v>
          </cell>
          <cell r="C934" t="str">
            <v>Encarnación</v>
          </cell>
          <cell r="D934" t="str">
            <v>Rama Galdón, Encarnación</v>
          </cell>
          <cell r="E934" t="str">
            <v>encarnacion.rama</v>
          </cell>
          <cell r="F934" t="str">
            <v>encarnacion.rama@professor.universidadviu.com</v>
          </cell>
          <cell r="G934" t="str">
            <v>Yes</v>
          </cell>
          <cell r="H934" t="str">
            <v>NO</v>
          </cell>
          <cell r="I934" t="str">
            <v>Programa de Doctorado en Neurociencias</v>
          </cell>
          <cell r="J934" t="str">
            <v>Programa de Doctorado en Neurociencias</v>
          </cell>
          <cell r="K934" t="str">
            <v>Licenciado en Psicología</v>
          </cell>
          <cell r="L934" t="str">
            <v/>
          </cell>
          <cell r="M934" t="str">
            <v>Labour</v>
          </cell>
          <cell r="N934" t="str">
            <v>Duque Moreno, María Aranzazu</v>
          </cell>
          <cell r="O934" t="str">
            <v>CSS</v>
          </cell>
          <cell r="P934">
            <v>100</v>
          </cell>
          <cell r="Q934" t="str">
            <v>50</v>
          </cell>
          <cell r="R934"/>
          <cell r="S934"/>
          <cell r="T934" t="str">
            <v>Director/a grado</v>
          </cell>
          <cell r="U934" t="str">
            <v>38</v>
          </cell>
          <cell r="V934"/>
          <cell r="W934"/>
          <cell r="X934">
            <v>6</v>
          </cell>
          <cell r="Y934">
            <v>0</v>
          </cell>
          <cell r="Z934">
            <v>0</v>
          </cell>
          <cell r="AA934"/>
          <cell r="AB934" t="str">
            <v>Active - signed</v>
          </cell>
          <cell r="AC934" t="str">
            <v>ACTIVO</v>
          </cell>
          <cell r="AD934"/>
          <cell r="AE934"/>
          <cell r="AF934"/>
          <cell r="AG934"/>
          <cell r="AH934"/>
          <cell r="AI934" t="str">
            <v>20848398W</v>
          </cell>
        </row>
        <row r="935">
          <cell r="A935" t="str">
            <v>49076501K</v>
          </cell>
          <cell r="B935" t="str">
            <v>Ramírez Pérez</v>
          </cell>
          <cell r="C935" t="str">
            <v>Paula</v>
          </cell>
          <cell r="D935" t="str">
            <v>Ramírez Pérez, Paula</v>
          </cell>
          <cell r="E935" t="str">
            <v>pramirezp@professional.universidadviu.com</v>
          </cell>
          <cell r="F935" t="str">
            <v>pramirezp@professional.universidadviu.com</v>
          </cell>
          <cell r="G935" t="str">
            <v>NO</v>
          </cell>
          <cell r="H935" t="str">
            <v>NO</v>
          </cell>
          <cell r="I935" t="str">
            <v/>
          </cell>
          <cell r="J935" t="str">
            <v/>
          </cell>
          <cell r="K935" t="str">
            <v/>
          </cell>
          <cell r="L935" t="str">
            <v/>
          </cell>
          <cell r="M935" t="str">
            <v>Professional</v>
          </cell>
          <cell r="N935"/>
          <cell r="O935" t="str">
            <v>CSS</v>
          </cell>
          <cell r="P935">
            <v>0</v>
          </cell>
          <cell r="Q935" t="str">
            <v xml:space="preserve"> </v>
          </cell>
          <cell r="R935"/>
          <cell r="S935"/>
          <cell r="T935" t="str">
            <v>Sin reducción</v>
          </cell>
          <cell r="U935">
            <v>0</v>
          </cell>
          <cell r="V935"/>
          <cell r="W935"/>
          <cell r="X935">
            <v>0</v>
          </cell>
          <cell r="Y935">
            <v>0</v>
          </cell>
          <cell r="Z935">
            <v>0</v>
          </cell>
          <cell r="AA935"/>
          <cell r="AB935" t="str">
            <v>Active - signed</v>
          </cell>
          <cell r="AC935" t="str">
            <v>ACTIVO</v>
          </cell>
          <cell r="AD935"/>
          <cell r="AE935"/>
          <cell r="AF935"/>
          <cell r="AG935"/>
          <cell r="AH935"/>
          <cell r="AI935" t="str">
            <v>49076501K</v>
          </cell>
        </row>
        <row r="936">
          <cell r="A936" t="str">
            <v>50907255K</v>
          </cell>
          <cell r="B936" t="str">
            <v>Ramiro Cortijo</v>
          </cell>
          <cell r="C936" t="str">
            <v>David</v>
          </cell>
          <cell r="D936" t="str">
            <v>Ramiro Cortijo, David</v>
          </cell>
          <cell r="E936" t="str">
            <v>david.ramiro</v>
          </cell>
          <cell r="F936" t="str">
            <v>david.ramiro@professional.universidadviu.com</v>
          </cell>
          <cell r="G936" t="str">
            <v>Yes</v>
          </cell>
          <cell r="H936" t="str">
            <v>Yes</v>
          </cell>
          <cell r="I936" t="str">
            <v>Biología y Genética</v>
          </cell>
          <cell r="J936" t="str">
            <v>Farmacología y Fisiología</v>
          </cell>
          <cell r="K936" t="str">
            <v>Master Oficial en Investigación Farmacología</v>
          </cell>
          <cell r="L936" t="str">
            <v/>
          </cell>
          <cell r="M936" t="str">
            <v>Professional</v>
          </cell>
          <cell r="N936" t="str">
            <v/>
          </cell>
          <cell r="O936" t="str">
            <v>CBS</v>
          </cell>
          <cell r="P936">
            <v>0</v>
          </cell>
          <cell r="Q936" t="str">
            <v xml:space="preserve"> </v>
          </cell>
          <cell r="R936"/>
          <cell r="S936"/>
          <cell r="T936" t="str">
            <v>Sin reducción</v>
          </cell>
          <cell r="U936">
            <v>0</v>
          </cell>
          <cell r="V936"/>
          <cell r="W936"/>
          <cell r="X936">
            <v>0</v>
          </cell>
          <cell r="Y936">
            <v>0</v>
          </cell>
          <cell r="Z936">
            <v>0</v>
          </cell>
          <cell r="AA936"/>
          <cell r="AB936" t="str">
            <v>Concluded</v>
          </cell>
          <cell r="AC936" t="str">
            <v>NO ACTIVO</v>
          </cell>
          <cell r="AD936"/>
          <cell r="AE936"/>
          <cell r="AF936">
            <v>45623</v>
          </cell>
          <cell r="AG936" t="str">
            <v>CESE DE CONTRATO</v>
          </cell>
          <cell r="AH936"/>
          <cell r="AI936" t="str">
            <v>50907255K</v>
          </cell>
        </row>
        <row r="937">
          <cell r="A937" t="str">
            <v>77360556X</v>
          </cell>
          <cell r="B937" t="str">
            <v>Ramiro Mena</v>
          </cell>
          <cell r="C937" t="str">
            <v>Francisco de Borja</v>
          </cell>
          <cell r="D937" t="str">
            <v>Ramiro Mena, Francisco de Borja</v>
          </cell>
          <cell r="E937" t="str">
            <v>francisco.ramiro@professor.universidadviu.com</v>
          </cell>
          <cell r="F937" t="str">
            <v>franciscodeborja.ramiro@professor.universidadviu.com</v>
          </cell>
          <cell r="G937" t="str">
            <v>NO</v>
          </cell>
          <cell r="H937" t="str">
            <v>NO</v>
          </cell>
          <cell r="I937" t="str">
            <v>Máster Universitario en Dirección, Gestión y Emprendimiento de Centros y Servicios Sociosanitarios</v>
          </cell>
          <cell r="J937" t="str">
            <v>Diplomado en Trabajo Social</v>
          </cell>
          <cell r="K937" t="str">
            <v/>
          </cell>
          <cell r="L937" t="str">
            <v/>
          </cell>
          <cell r="M937" t="str">
            <v>Labour</v>
          </cell>
          <cell r="N937" t="str">
            <v>Mesas Fernández, Javier</v>
          </cell>
          <cell r="O937" t="str">
            <v>CSS</v>
          </cell>
          <cell r="P937">
            <v>10</v>
          </cell>
          <cell r="Q937" t="str">
            <v>10</v>
          </cell>
          <cell r="R937"/>
          <cell r="S937"/>
          <cell r="T937" t="str">
            <v>Sin reducción</v>
          </cell>
          <cell r="U937">
            <v>0</v>
          </cell>
          <cell r="V937"/>
          <cell r="W937"/>
          <cell r="X937">
            <v>0</v>
          </cell>
          <cell r="Y937">
            <v>0</v>
          </cell>
          <cell r="Z937">
            <v>10.199999999999999</v>
          </cell>
          <cell r="AA937"/>
          <cell r="AB937" t="str">
            <v>Active - signed</v>
          </cell>
          <cell r="AC937" t="str">
            <v>ACTIVO</v>
          </cell>
          <cell r="AD937"/>
          <cell r="AE937"/>
          <cell r="AF937"/>
          <cell r="AG937"/>
          <cell r="AH937"/>
          <cell r="AI937" t="str">
            <v>77360556X</v>
          </cell>
        </row>
        <row r="938">
          <cell r="A938" t="str">
            <v>25477396C</v>
          </cell>
          <cell r="B938" t="str">
            <v>Ramón Arbués</v>
          </cell>
          <cell r="C938" t="str">
            <v>Enrique</v>
          </cell>
          <cell r="D938" t="str">
            <v>Ramón Arbués, Enrique</v>
          </cell>
          <cell r="E938" t="str">
            <v>eramona@professional.universidadviu.com</v>
          </cell>
          <cell r="F938" t="str">
            <v>eramona@professional.universidadviu.com</v>
          </cell>
          <cell r="G938" t="str">
            <v>Yes</v>
          </cell>
          <cell r="H938" t="str">
            <v>Yes</v>
          </cell>
          <cell r="I938" t="str">
            <v>Programa Oficial de Doctorado en Ciencias de la Salud</v>
          </cell>
          <cell r="J938" t="str">
            <v>Grado en Fisioterapia</v>
          </cell>
          <cell r="K938" t="str">
            <v>Diplomatura en Enfermería</v>
          </cell>
          <cell r="L938" t="str">
            <v/>
          </cell>
          <cell r="M938" t="str">
            <v>Professional</v>
          </cell>
          <cell r="N938" t="str">
            <v/>
          </cell>
          <cell r="O938" t="str">
            <v>CBS</v>
          </cell>
          <cell r="P938">
            <v>0</v>
          </cell>
          <cell r="Q938" t="str">
            <v xml:space="preserve"> </v>
          </cell>
          <cell r="R938"/>
          <cell r="S938"/>
          <cell r="T938" t="str">
            <v>Sin reducción</v>
          </cell>
          <cell r="U938">
            <v>0</v>
          </cell>
          <cell r="V938"/>
          <cell r="W938"/>
          <cell r="X938">
            <v>0</v>
          </cell>
          <cell r="Y938">
            <v>0</v>
          </cell>
          <cell r="Z938">
            <v>0</v>
          </cell>
          <cell r="AA938"/>
          <cell r="AB938" t="str">
            <v>Active - signed</v>
          </cell>
          <cell r="AC938" t="str">
            <v>ACTIVO</v>
          </cell>
          <cell r="AD938"/>
          <cell r="AE938"/>
          <cell r="AF938"/>
          <cell r="AG938"/>
          <cell r="AH938"/>
          <cell r="AI938" t="str">
            <v>25477396C</v>
          </cell>
        </row>
        <row r="939">
          <cell r="A939" t="str">
            <v>05402019D</v>
          </cell>
          <cell r="B939" t="str">
            <v>Ramos Cantó</v>
          </cell>
          <cell r="C939" t="str">
            <v>Juana</v>
          </cell>
          <cell r="D939" t="str">
            <v>Ramos Cantó, Juana</v>
          </cell>
          <cell r="E939" t="str">
            <v>jramosc@professor.universidadviu.com</v>
          </cell>
          <cell r="F939" t="str">
            <v>jramosc@professor.universidadviu.com</v>
          </cell>
          <cell r="G939" t="str">
            <v>Yes</v>
          </cell>
          <cell r="H939" t="str">
            <v>NO</v>
          </cell>
          <cell r="I939" t="str">
            <v/>
          </cell>
          <cell r="J939" t="str">
            <v/>
          </cell>
          <cell r="K939" t="str">
            <v/>
          </cell>
          <cell r="L939" t="str">
            <v/>
          </cell>
          <cell r="M939" t="str">
            <v>Labour</v>
          </cell>
          <cell r="N939"/>
          <cell r="O939" t="str">
            <v>CSS</v>
          </cell>
          <cell r="P939">
            <v>12</v>
          </cell>
          <cell r="Q939" t="str">
            <v>12</v>
          </cell>
          <cell r="R939"/>
          <cell r="S939"/>
          <cell r="T939" t="str">
            <v>Sin reducción</v>
          </cell>
          <cell r="U939">
            <v>0</v>
          </cell>
          <cell r="V939"/>
          <cell r="W939"/>
          <cell r="X939">
            <v>0</v>
          </cell>
          <cell r="Y939">
            <v>0</v>
          </cell>
          <cell r="Z939">
            <v>12</v>
          </cell>
          <cell r="AA939"/>
          <cell r="AB939" t="str">
            <v>Active - signed</v>
          </cell>
          <cell r="AC939" t="str">
            <v>ACTIVO</v>
          </cell>
          <cell r="AD939"/>
          <cell r="AE939"/>
          <cell r="AF939"/>
          <cell r="AG939"/>
          <cell r="AH939"/>
          <cell r="AI939" t="str">
            <v>05402019D</v>
          </cell>
        </row>
        <row r="940">
          <cell r="A940" t="str">
            <v>10202550A</v>
          </cell>
          <cell r="B940" t="str">
            <v>Ramos Josa</v>
          </cell>
          <cell r="C940" t="str">
            <v>Pedro Francisco</v>
          </cell>
          <cell r="D940" t="str">
            <v>Ramos Josa, Pedro Francisco</v>
          </cell>
          <cell r="E940" t="str">
            <v>pedrofrancisco.ramos</v>
          </cell>
          <cell r="F940" t="str">
            <v>pedrofrancisco.ramos@professor.universidadviu.com</v>
          </cell>
          <cell r="G940" t="str">
            <v>Yes</v>
          </cell>
          <cell r="H940" t="str">
            <v>NO</v>
          </cell>
          <cell r="I940" t="str">
            <v>Programa de Paz y Seguridad Internacional</v>
          </cell>
          <cell r="J940" t="str">
            <v>Programa de Paz y Seguridad Internacional</v>
          </cell>
          <cell r="K940" t="str">
            <v xml:space="preserve">Máster Intervención criminológica y victimológica </v>
          </cell>
          <cell r="L940" t="str">
            <v>Licenciado en Ciencias Políticas y Sociología</v>
          </cell>
          <cell r="M940" t="str">
            <v>Labour</v>
          </cell>
          <cell r="N940" t="str">
            <v>Consultar a Facultad Ciencias Sociales y Jurídicas</v>
          </cell>
          <cell r="O940" t="str">
            <v>CBS</v>
          </cell>
          <cell r="P940">
            <v>100</v>
          </cell>
          <cell r="Q940" t="str">
            <v>50</v>
          </cell>
          <cell r="R940"/>
          <cell r="S940"/>
          <cell r="T940" t="str">
            <v>Sin reducción</v>
          </cell>
          <cell r="U940">
            <v>0</v>
          </cell>
          <cell r="V940">
            <v>44</v>
          </cell>
          <cell r="W940" t="str">
            <v>JURÍDICO</v>
          </cell>
          <cell r="X940">
            <v>0</v>
          </cell>
          <cell r="Y940">
            <v>0</v>
          </cell>
          <cell r="Z940">
            <v>6</v>
          </cell>
          <cell r="AA940"/>
          <cell r="AB940" t="str">
            <v>Active - signed</v>
          </cell>
          <cell r="AC940" t="str">
            <v>ACTIVO</v>
          </cell>
          <cell r="AD940"/>
          <cell r="AE940"/>
          <cell r="AF940"/>
          <cell r="AG940"/>
          <cell r="AH940"/>
          <cell r="AI940" t="str">
            <v>10202550A</v>
          </cell>
        </row>
        <row r="941">
          <cell r="A941">
            <v>12655265</v>
          </cell>
          <cell r="B941" t="str">
            <v>Ramos Serra</v>
          </cell>
          <cell r="C941" t="str">
            <v>Lidia María</v>
          </cell>
          <cell r="D941" t="str">
            <v>Ramos Serra, Lidia María</v>
          </cell>
          <cell r="E941" t="str">
            <v>lidiamaria.ramos</v>
          </cell>
          <cell r="F941" t="str">
            <v>lidiamaria.ramos@professional.universidadviu.com</v>
          </cell>
          <cell r="G941" t="str">
            <v>Yes</v>
          </cell>
          <cell r="H941" t="str">
            <v>NO</v>
          </cell>
          <cell r="I941" t="str">
            <v>Máster en neuropsicologia</v>
          </cell>
          <cell r="J941" t="str">
            <v>Doctorado en Neuropsicologia</v>
          </cell>
          <cell r="K941" t="str">
            <v/>
          </cell>
          <cell r="L941" t="str">
            <v/>
          </cell>
          <cell r="M941" t="str">
            <v>Professional</v>
          </cell>
          <cell r="N941" t="str">
            <v/>
          </cell>
          <cell r="O941" t="str">
            <v>CSS</v>
          </cell>
          <cell r="P941">
            <v>0</v>
          </cell>
          <cell r="Q941" t="str">
            <v xml:space="preserve"> </v>
          </cell>
          <cell r="R941"/>
          <cell r="S941"/>
          <cell r="T941" t="str">
            <v>Sin reducción</v>
          </cell>
          <cell r="U941">
            <v>0</v>
          </cell>
          <cell r="V941"/>
          <cell r="W941"/>
          <cell r="X941">
            <v>0</v>
          </cell>
          <cell r="Y941">
            <v>0</v>
          </cell>
          <cell r="Z941">
            <v>0</v>
          </cell>
          <cell r="AA941"/>
          <cell r="AB941" t="str">
            <v>Active - signed</v>
          </cell>
          <cell r="AC941" t="str">
            <v>ACTIVO</v>
          </cell>
          <cell r="AD941"/>
          <cell r="AE941"/>
          <cell r="AF941"/>
          <cell r="AG941"/>
          <cell r="AH941"/>
          <cell r="AI941">
            <v>12655265</v>
          </cell>
        </row>
        <row r="942">
          <cell r="A942" t="str">
            <v>79131525W</v>
          </cell>
          <cell r="B942" t="str">
            <v>Ramos Usuga</v>
          </cell>
          <cell r="C942" t="str">
            <v>Daniela</v>
          </cell>
          <cell r="D942" t="str">
            <v>Ramos Usuga, Daniela</v>
          </cell>
          <cell r="E942" t="str">
            <v>daniela.ramos.u</v>
          </cell>
          <cell r="F942" t="str">
            <v>daniela.ramos.u@professional.universidadviu.com</v>
          </cell>
          <cell r="G942" t="str">
            <v>Yes</v>
          </cell>
          <cell r="H942" t="str">
            <v>NO</v>
          </cell>
          <cell r="I942" t="str">
            <v>Programa de doctorado de investigación Biomédical.</v>
          </cell>
          <cell r="J942" t="str">
            <v>Máster universitario en Neuropsicología Clínica</v>
          </cell>
          <cell r="K942" t="str">
            <v>Grado en psicología</v>
          </cell>
          <cell r="L942" t="str">
            <v/>
          </cell>
          <cell r="M942" t="str">
            <v>Professional</v>
          </cell>
          <cell r="N942" t="str">
            <v/>
          </cell>
          <cell r="O942" t="str">
            <v>CSS</v>
          </cell>
          <cell r="P942">
            <v>0</v>
          </cell>
          <cell r="Q942" t="str">
            <v xml:space="preserve"> </v>
          </cell>
          <cell r="R942"/>
          <cell r="S942"/>
          <cell r="T942" t="str">
            <v>Sin reducción</v>
          </cell>
          <cell r="U942">
            <v>0</v>
          </cell>
          <cell r="V942"/>
          <cell r="W942"/>
          <cell r="X942">
            <v>0</v>
          </cell>
          <cell r="Y942">
            <v>0</v>
          </cell>
          <cell r="Z942">
            <v>0</v>
          </cell>
          <cell r="AA942"/>
          <cell r="AB942" t="str">
            <v>Active - signed</v>
          </cell>
          <cell r="AC942" t="str">
            <v>ACTIVO</v>
          </cell>
          <cell r="AD942"/>
          <cell r="AE942"/>
          <cell r="AF942"/>
          <cell r="AG942"/>
          <cell r="AH942"/>
          <cell r="AI942" t="str">
            <v>79131525W</v>
          </cell>
        </row>
        <row r="943">
          <cell r="A943" t="str">
            <v>Y4531494W</v>
          </cell>
          <cell r="B943" t="str">
            <v>Randazzo</v>
          </cell>
          <cell r="C943" t="str">
            <v>Walter</v>
          </cell>
          <cell r="D943" t="str">
            <v>Randazzo, Walter</v>
          </cell>
          <cell r="E943" t="str">
            <v>walter.randazzo</v>
          </cell>
          <cell r="F943" t="str">
            <v>walter.randazzo@professor.universidadviu.com</v>
          </cell>
          <cell r="G943" t="str">
            <v>Yes</v>
          </cell>
          <cell r="H943" t="str">
            <v>Yes</v>
          </cell>
          <cell r="I943" t="str">
            <v>Doctorado en microbiologia agraria y alimentaria</v>
          </cell>
          <cell r="J943" t="str">
            <v>Doctorado en microbiologia agraria y alimentaria</v>
          </cell>
          <cell r="K943" t="str">
            <v>Licenciado en Ciencias de las Producciones y de las Tecnologías Agrarias</v>
          </cell>
          <cell r="L943" t="str">
            <v/>
          </cell>
          <cell r="M943" t="str">
            <v>Labour</v>
          </cell>
          <cell r="N943"/>
          <cell r="O943" t="str">
            <v>CBS</v>
          </cell>
          <cell r="P943" t="str">
            <v>20,00</v>
          </cell>
          <cell r="Q943" t="b">
            <v>0</v>
          </cell>
          <cell r="R943"/>
          <cell r="S943"/>
          <cell r="T943" t="str">
            <v>Investigador/a Senior</v>
          </cell>
          <cell r="U943" t="str">
            <v>38</v>
          </cell>
          <cell r="V943"/>
          <cell r="W943"/>
          <cell r="X943">
            <v>0</v>
          </cell>
          <cell r="Y943">
            <v>0</v>
          </cell>
          <cell r="Z943">
            <v>0</v>
          </cell>
          <cell r="AA943"/>
          <cell r="AB943" t="str">
            <v>Concluded</v>
          </cell>
          <cell r="AC943" t="str">
            <v>NO ACTIVO</v>
          </cell>
          <cell r="AD943"/>
          <cell r="AE943"/>
          <cell r="AF943">
            <v>45281</v>
          </cell>
          <cell r="AG943" t="str">
            <v>CESE DE CONTRATO</v>
          </cell>
          <cell r="AH943"/>
          <cell r="AI943" t="str">
            <v>Y4531494W</v>
          </cell>
        </row>
        <row r="944">
          <cell r="A944" t="str">
            <v>52709692V</v>
          </cell>
          <cell r="B944" t="str">
            <v>Rasal Cantó</v>
          </cell>
          <cell r="C944" t="str">
            <v>Paloma</v>
          </cell>
          <cell r="D944" t="str">
            <v>Rasal Cantó, Paloma</v>
          </cell>
          <cell r="E944" t="str">
            <v>paloma.rasal</v>
          </cell>
          <cell r="F944" t="str">
            <v>paloma.rasal@professor.universidadviu.com</v>
          </cell>
          <cell r="G944" t="str">
            <v>Yes</v>
          </cell>
          <cell r="H944" t="str">
            <v>Yes</v>
          </cell>
          <cell r="I944" t="str">
            <v>Programa de doctorado Psicología de la personalidad, intervención áreas clínicas y sociales</v>
          </cell>
          <cell r="J944" t="str">
            <v>Programa de doctorado Psicología de la personalidad, intervención áreas clínicas y sociales</v>
          </cell>
          <cell r="K944" t="str">
            <v>Licenciado en Psicología</v>
          </cell>
          <cell r="L944" t="str">
            <v/>
          </cell>
          <cell r="M944" t="str">
            <v>Labour</v>
          </cell>
          <cell r="N944" t="str">
            <v>Iranzo Ejarque, Begoña</v>
          </cell>
          <cell r="O944" t="str">
            <v>CSS</v>
          </cell>
          <cell r="P944">
            <v>100</v>
          </cell>
          <cell r="Q944" t="str">
            <v>50</v>
          </cell>
          <cell r="R944"/>
          <cell r="S944"/>
          <cell r="T944" t="str">
            <v>Sin reducción</v>
          </cell>
          <cell r="U944">
            <v>0</v>
          </cell>
          <cell r="V944"/>
          <cell r="W944"/>
          <cell r="X944">
            <v>44.4</v>
          </cell>
          <cell r="Y944">
            <v>0</v>
          </cell>
          <cell r="Z944">
            <v>0</v>
          </cell>
          <cell r="AA944"/>
          <cell r="AB944" t="str">
            <v>Active - signed</v>
          </cell>
          <cell r="AC944" t="str">
            <v>ACTIVO</v>
          </cell>
          <cell r="AD944"/>
          <cell r="AE944"/>
          <cell r="AF944"/>
          <cell r="AG944"/>
          <cell r="AH944"/>
          <cell r="AI944" t="str">
            <v>52709692V</v>
          </cell>
        </row>
        <row r="945">
          <cell r="A945" t="str">
            <v>NL428427844B99</v>
          </cell>
          <cell r="B945" t="str">
            <v>Raspa</v>
          </cell>
          <cell r="C945" t="str">
            <v>Giannantonio</v>
          </cell>
          <cell r="D945" t="str">
            <v>Raspa, Giannantonio</v>
          </cell>
          <cell r="E945" t="str">
            <v>giannantonio.raspa@professional.universidadviu.com</v>
          </cell>
          <cell r="F945" t="str">
            <v>giannantonio.raspa@professional.universidadviu.com</v>
          </cell>
          <cell r="G945" t="str">
            <v>Yes</v>
          </cell>
          <cell r="H945" t="str">
            <v>NO</v>
          </cell>
          <cell r="I945" t="str">
            <v>Doctorado en Ciencias Gerenciales</v>
          </cell>
          <cell r="J945" t="str">
            <v>Magister Scientiarium en Gerencia Educativa</v>
          </cell>
          <cell r="K945" t="str">
            <v>Licenciado en Educación, Mención Biología</v>
          </cell>
          <cell r="L945" t="str">
            <v/>
          </cell>
          <cell r="M945" t="str">
            <v>Professional</v>
          </cell>
          <cell r="N945" t="str">
            <v/>
          </cell>
          <cell r="O945" t="str">
            <v>CSS</v>
          </cell>
          <cell r="P945">
            <v>0</v>
          </cell>
          <cell r="Q945" t="str">
            <v xml:space="preserve"> </v>
          </cell>
          <cell r="R945"/>
          <cell r="S945"/>
          <cell r="T945" t="str">
            <v>Sin reducción</v>
          </cell>
          <cell r="U945">
            <v>0</v>
          </cell>
          <cell r="V945"/>
          <cell r="W945"/>
          <cell r="X945">
            <v>0</v>
          </cell>
          <cell r="Y945">
            <v>0</v>
          </cell>
          <cell r="Z945">
            <v>0</v>
          </cell>
          <cell r="AA945"/>
          <cell r="AB945" t="str">
            <v>Active - signed</v>
          </cell>
          <cell r="AC945" t="str">
            <v>ACTIVO</v>
          </cell>
          <cell r="AD945"/>
          <cell r="AE945"/>
          <cell r="AF945"/>
          <cell r="AG945"/>
          <cell r="AH945"/>
          <cell r="AI945" t="str">
            <v>NL428427844B99</v>
          </cell>
        </row>
        <row r="946">
          <cell r="A946" t="str">
            <v>50873545Y</v>
          </cell>
          <cell r="B946" t="str">
            <v>Rebolleda Gil</v>
          </cell>
          <cell r="C946" t="str">
            <v>Carlos</v>
          </cell>
          <cell r="D946" t="str">
            <v>Rebolleda Gil, Carlos</v>
          </cell>
          <cell r="E946" t="str">
            <v>carlos.rebolleda</v>
          </cell>
          <cell r="F946" t="str">
            <v>carlos.rebolleda@professional.universidadviu.com</v>
          </cell>
          <cell r="G946" t="str">
            <v>Yes</v>
          </cell>
          <cell r="H946" t="str">
            <v>NO</v>
          </cell>
          <cell r="I946" t="str">
            <v>Psicología</v>
          </cell>
          <cell r="J946" t="str">
            <v>Máster oficial universitario en investigación en psicologia</v>
          </cell>
          <cell r="K946" t="str">
            <v>Máster en psicologia clinica y de la salud</v>
          </cell>
          <cell r="L946" t="str">
            <v>Licenciatura en Psicología</v>
          </cell>
          <cell r="M946" t="str">
            <v>Professional</v>
          </cell>
          <cell r="N946" t="str">
            <v/>
          </cell>
          <cell r="O946" t="str">
            <v>CSS</v>
          </cell>
          <cell r="P946">
            <v>0</v>
          </cell>
          <cell r="Q946" t="str">
            <v xml:space="preserve"> </v>
          </cell>
          <cell r="R946"/>
          <cell r="S946"/>
          <cell r="T946" t="str">
            <v>Sin reducción</v>
          </cell>
          <cell r="U946">
            <v>0</v>
          </cell>
          <cell r="V946"/>
          <cell r="W946"/>
          <cell r="X946">
            <v>0</v>
          </cell>
          <cell r="Y946">
            <v>0</v>
          </cell>
          <cell r="Z946">
            <v>0</v>
          </cell>
          <cell r="AA946"/>
          <cell r="AB946" t="str">
            <v>Active - signed</v>
          </cell>
          <cell r="AC946" t="str">
            <v>ACTIVO</v>
          </cell>
          <cell r="AD946"/>
          <cell r="AE946"/>
          <cell r="AF946"/>
          <cell r="AG946"/>
          <cell r="AH946"/>
          <cell r="AI946" t="str">
            <v>50873545Y</v>
          </cell>
        </row>
        <row r="947">
          <cell r="A947" t="str">
            <v>78995850G</v>
          </cell>
          <cell r="B947" t="str">
            <v>Recio Barbero</v>
          </cell>
          <cell r="C947" t="str">
            <v>María</v>
          </cell>
          <cell r="D947" t="str">
            <v>Recio Barbero, María</v>
          </cell>
          <cell r="E947" t="str">
            <v>mreciob@professional.universidadviu.com</v>
          </cell>
          <cell r="F947" t="str">
            <v>mreciob@professional.universidadviu.com</v>
          </cell>
          <cell r="G947" t="str">
            <v>NO</v>
          </cell>
          <cell r="H947" t="str">
            <v>NO</v>
          </cell>
          <cell r="I947" t="str">
            <v>Doctorado en Neurociencias</v>
          </cell>
          <cell r="J947" t="str">
            <v>Master Universitario en Neurociencias</v>
          </cell>
          <cell r="K947" t="str">
            <v>Grado en Psicología</v>
          </cell>
          <cell r="L947" t="str">
            <v/>
          </cell>
          <cell r="M947" t="str">
            <v>Professional</v>
          </cell>
          <cell r="N947" t="str">
            <v/>
          </cell>
          <cell r="O947" t="str">
            <v>CSS</v>
          </cell>
          <cell r="P947">
            <v>0</v>
          </cell>
          <cell r="Q947" t="str">
            <v xml:space="preserve"> </v>
          </cell>
          <cell r="R947"/>
          <cell r="S947"/>
          <cell r="T947" t="str">
            <v>Sin reducción</v>
          </cell>
          <cell r="U947">
            <v>0</v>
          </cell>
          <cell r="V947"/>
          <cell r="W947"/>
          <cell r="X947">
            <v>0</v>
          </cell>
          <cell r="Y947">
            <v>0</v>
          </cell>
          <cell r="Z947">
            <v>0</v>
          </cell>
          <cell r="AA947"/>
          <cell r="AB947" t="str">
            <v>Active - signed</v>
          </cell>
          <cell r="AC947" t="str">
            <v>ACTIVO</v>
          </cell>
          <cell r="AD947"/>
          <cell r="AE947"/>
          <cell r="AF947"/>
          <cell r="AG947"/>
          <cell r="AH947"/>
          <cell r="AI947" t="str">
            <v>78995850G</v>
          </cell>
        </row>
        <row r="948">
          <cell r="A948" t="str">
            <v>73993402X</v>
          </cell>
          <cell r="B948" t="str">
            <v>Reig García-Galbis</v>
          </cell>
          <cell r="C948" t="str">
            <v>Manuel</v>
          </cell>
          <cell r="D948" t="str">
            <v>Reig García-Galbis, Manuel</v>
          </cell>
          <cell r="E948" t="str">
            <v>mreigga@professional.universidadviu.com</v>
          </cell>
          <cell r="F948" t="str">
            <v>mreigga@professional.universidadviu.com</v>
          </cell>
          <cell r="G948" t="str">
            <v>Yes</v>
          </cell>
          <cell r="H948" t="str">
            <v>Yes</v>
          </cell>
          <cell r="I948" t="str">
            <v>Doctorado en Enfermería y Cultura de los cuidados</v>
          </cell>
          <cell r="J948" t="str">
            <v>Licenciado en Tecnología de los Alimentos</v>
          </cell>
          <cell r="K948" t="str">
            <v>Diplomatura de Nutrición Humana y Dietética</v>
          </cell>
          <cell r="L948" t="str">
            <v/>
          </cell>
          <cell r="M948" t="str">
            <v>Professional</v>
          </cell>
          <cell r="N948" t="str">
            <v/>
          </cell>
          <cell r="O948" t="str">
            <v>CBS</v>
          </cell>
          <cell r="P948">
            <v>0</v>
          </cell>
          <cell r="Q948" t="str">
            <v xml:space="preserve"> </v>
          </cell>
          <cell r="R948"/>
          <cell r="S948"/>
          <cell r="T948" t="str">
            <v>Sin reducción</v>
          </cell>
          <cell r="U948">
            <v>0</v>
          </cell>
          <cell r="V948"/>
          <cell r="W948"/>
          <cell r="X948">
            <v>0</v>
          </cell>
          <cell r="Y948">
            <v>0</v>
          </cell>
          <cell r="Z948">
            <v>0</v>
          </cell>
          <cell r="AA948"/>
          <cell r="AB948" t="str">
            <v>Active - signed</v>
          </cell>
          <cell r="AC948" t="str">
            <v>ACTIVO</v>
          </cell>
          <cell r="AD948"/>
          <cell r="AE948"/>
          <cell r="AF948"/>
          <cell r="AG948"/>
          <cell r="AH948"/>
          <cell r="AI948" t="str">
            <v>73993402X</v>
          </cell>
        </row>
        <row r="949">
          <cell r="A949" t="str">
            <v>44876979T</v>
          </cell>
          <cell r="B949" t="str">
            <v>Rentero Garrido</v>
          </cell>
          <cell r="C949" t="str">
            <v>Pilar</v>
          </cell>
          <cell r="D949" t="str">
            <v>Rentero Garrido, Pilar</v>
          </cell>
          <cell r="E949" t="str">
            <v>pilar.rentero</v>
          </cell>
          <cell r="F949" t="str">
            <v>pilar.rentero@professional.universidadviu.com</v>
          </cell>
          <cell r="G949" t="str">
            <v>Yes</v>
          </cell>
          <cell r="H949" t="str">
            <v>Yes</v>
          </cell>
          <cell r="I949" t="str">
            <v>Bioquímica</v>
          </cell>
          <cell r="J949" t="str">
            <v>Programa Oficial de Doctorado en Bioquímica y Biomedicina</v>
          </cell>
          <cell r="K949" t="str">
            <v>Licenciada en Biología</v>
          </cell>
          <cell r="L949" t="str">
            <v>Máster Universitario en Investigación en Biología Molecular, Celular y Genética</v>
          </cell>
          <cell r="M949" t="str">
            <v>Professional</v>
          </cell>
          <cell r="N949" t="str">
            <v/>
          </cell>
          <cell r="O949" t="str">
            <v>CBS</v>
          </cell>
          <cell r="P949">
            <v>0</v>
          </cell>
          <cell r="Q949" t="str">
            <v xml:space="preserve"> </v>
          </cell>
          <cell r="R949"/>
          <cell r="S949"/>
          <cell r="T949" t="str">
            <v>Sin reducción</v>
          </cell>
          <cell r="U949">
            <v>0</v>
          </cell>
          <cell r="V949"/>
          <cell r="W949"/>
          <cell r="X949">
            <v>0</v>
          </cell>
          <cell r="Y949">
            <v>0</v>
          </cell>
          <cell r="Z949">
            <v>0</v>
          </cell>
          <cell r="AA949"/>
          <cell r="AB949" t="str">
            <v>Active - signed</v>
          </cell>
          <cell r="AC949" t="str">
            <v>ACTIVO</v>
          </cell>
          <cell r="AD949"/>
          <cell r="AE949"/>
          <cell r="AF949"/>
          <cell r="AG949"/>
          <cell r="AH949"/>
          <cell r="AI949" t="str">
            <v>44876979T</v>
          </cell>
        </row>
        <row r="950">
          <cell r="A950" t="str">
            <v>49150554Z</v>
          </cell>
          <cell r="B950" t="str">
            <v>Requena Ocaña</v>
          </cell>
          <cell r="C950" t="str">
            <v>Nerea</v>
          </cell>
          <cell r="D950" t="str">
            <v>Requena Ocaña, Nerea</v>
          </cell>
          <cell r="E950" t="str">
            <v>nrequenao1@professional.universidadviu.com</v>
          </cell>
          <cell r="F950" t="str">
            <v>nrequenao1@professional.universidadviu.com</v>
          </cell>
          <cell r="G950" t="str">
            <v>Yes</v>
          </cell>
          <cell r="H950" t="str">
            <v>NO</v>
          </cell>
          <cell r="I950" t="str">
            <v>Doctorado en Psicología</v>
          </cell>
          <cell r="J950" t="str">
            <v>Graduada en Psicología</v>
          </cell>
          <cell r="K950" t="str">
            <v>Máster en Neurociencia Cognitiva y del Comportamiento</v>
          </cell>
          <cell r="L950" t="str">
            <v/>
          </cell>
          <cell r="M950" t="str">
            <v>Professional</v>
          </cell>
          <cell r="N950" t="str">
            <v/>
          </cell>
          <cell r="O950" t="str">
            <v>CSS</v>
          </cell>
          <cell r="P950">
            <v>0</v>
          </cell>
          <cell r="Q950" t="str">
            <v xml:space="preserve"> </v>
          </cell>
          <cell r="R950"/>
          <cell r="S950"/>
          <cell r="T950" t="str">
            <v>Sin reducción</v>
          </cell>
          <cell r="U950">
            <v>0</v>
          </cell>
          <cell r="V950"/>
          <cell r="W950"/>
          <cell r="X950">
            <v>0</v>
          </cell>
          <cell r="Y950">
            <v>0</v>
          </cell>
          <cell r="Z950">
            <v>0</v>
          </cell>
          <cell r="AA950"/>
          <cell r="AB950" t="str">
            <v>Active - signed</v>
          </cell>
          <cell r="AC950" t="str">
            <v>ACTIVO</v>
          </cell>
          <cell r="AD950"/>
          <cell r="AE950"/>
          <cell r="AF950"/>
          <cell r="AG950"/>
          <cell r="AH950"/>
          <cell r="AI950" t="str">
            <v>49150554Z</v>
          </cell>
        </row>
        <row r="951">
          <cell r="A951" t="str">
            <v>33422358T</v>
          </cell>
          <cell r="B951" t="str">
            <v>Revenga Frauca</v>
          </cell>
          <cell r="C951" t="str">
            <v>Juan</v>
          </cell>
          <cell r="D951" t="str">
            <v>Revenga Frauca, Juan</v>
          </cell>
          <cell r="E951" t="str">
            <v>jrevengaf@professor.universidadviu.com</v>
          </cell>
          <cell r="F951" t="str">
            <v>jrevengaf@professor.universidadviu.com</v>
          </cell>
          <cell r="G951" t="str">
            <v>NO</v>
          </cell>
          <cell r="H951" t="str">
            <v>NO</v>
          </cell>
          <cell r="I951" t="str">
            <v/>
          </cell>
          <cell r="J951" t="str">
            <v/>
          </cell>
          <cell r="K951" t="str">
            <v/>
          </cell>
          <cell r="L951" t="str">
            <v/>
          </cell>
          <cell r="M951" t="str">
            <v>Labour</v>
          </cell>
          <cell r="N951" t="str">
            <v>García Tejedor, Aurora</v>
          </cell>
          <cell r="O951" t="str">
            <v>CBS</v>
          </cell>
          <cell r="P951">
            <v>100</v>
          </cell>
          <cell r="Q951" t="str">
            <v>50</v>
          </cell>
          <cell r="R951" t="str">
            <v>ampliación febrero</v>
          </cell>
          <cell r="S951"/>
          <cell r="T951" t="str">
            <v>Director/a experto/a</v>
          </cell>
          <cell r="U951">
            <v>26</v>
          </cell>
          <cell r="V951"/>
          <cell r="W951"/>
          <cell r="X951">
            <v>0</v>
          </cell>
          <cell r="Y951">
            <v>23.6</v>
          </cell>
          <cell r="Z951">
            <v>0</v>
          </cell>
          <cell r="AA951"/>
          <cell r="AB951" t="str">
            <v>Active - signed</v>
          </cell>
          <cell r="AC951" t="str">
            <v>ACTIVO</v>
          </cell>
          <cell r="AD951"/>
          <cell r="AE951"/>
          <cell r="AF951"/>
          <cell r="AG951"/>
          <cell r="AH951"/>
          <cell r="AI951" t="str">
            <v>33422358T</v>
          </cell>
        </row>
        <row r="952">
          <cell r="A952" t="str">
            <v>25182787H</v>
          </cell>
          <cell r="B952" t="str">
            <v>Rey López</v>
          </cell>
          <cell r="C952" t="str">
            <v>Juan Pablo</v>
          </cell>
          <cell r="D952" t="str">
            <v>Rey López, Juan Pablo</v>
          </cell>
          <cell r="E952" t="str">
            <v>juanpablo.rey</v>
          </cell>
          <cell r="F952" t="str">
            <v>juanpablo.rey@professor.universidadviu.com</v>
          </cell>
          <cell r="G952" t="str">
            <v>Yes</v>
          </cell>
          <cell r="H952" t="str">
            <v>Yes</v>
          </cell>
          <cell r="I952" t="str">
            <v>Doctorado</v>
          </cell>
          <cell r="J952" t="str">
            <v>Doctorado</v>
          </cell>
          <cell r="K952" t="str">
            <v>Licenciado en Ciencias de la Actividad Física y del Deporte</v>
          </cell>
          <cell r="L952" t="str">
            <v/>
          </cell>
          <cell r="M952" t="str">
            <v>Labour</v>
          </cell>
          <cell r="N952" t="str">
            <v>Consultar Vicerrectorado de Investigación</v>
          </cell>
          <cell r="O952" t="str">
            <v>CBS</v>
          </cell>
          <cell r="P952">
            <v>100</v>
          </cell>
          <cell r="Q952" t="str">
            <v>50</v>
          </cell>
          <cell r="R952"/>
          <cell r="S952" t="str">
            <v>2016-2021</v>
          </cell>
          <cell r="T952" t="str">
            <v>Investigador/a Senior</v>
          </cell>
          <cell r="U952" t="str">
            <v>38</v>
          </cell>
          <cell r="V952"/>
          <cell r="W952"/>
          <cell r="X952">
            <v>0</v>
          </cell>
          <cell r="Y952">
            <v>0</v>
          </cell>
          <cell r="Z952">
            <v>0</v>
          </cell>
          <cell r="AA952"/>
          <cell r="AB952" t="str">
            <v>Active - signed</v>
          </cell>
          <cell r="AC952" t="str">
            <v>ACTIVO</v>
          </cell>
          <cell r="AD952"/>
          <cell r="AE952"/>
          <cell r="AF952"/>
          <cell r="AG952"/>
          <cell r="AH952"/>
          <cell r="AI952" t="str">
            <v>25182787H</v>
          </cell>
        </row>
        <row r="953">
          <cell r="A953" t="str">
            <v>12484324Q</v>
          </cell>
          <cell r="B953" t="str">
            <v>Reyes Rodríguez</v>
          </cell>
          <cell r="C953" t="str">
            <v>Paulina Alejandra</v>
          </cell>
          <cell r="D953" t="str">
            <v>Reyes Rodríguez, Paulina Alejandra</v>
          </cell>
          <cell r="E953" t="str">
            <v>preyesr@professional.universidadviu.com</v>
          </cell>
          <cell r="F953" t="str">
            <v>preyesr@professional.universidadviu.com</v>
          </cell>
          <cell r="G953" t="str">
            <v>Yes</v>
          </cell>
          <cell r="H953" t="str">
            <v>NO</v>
          </cell>
          <cell r="I953" t="str">
            <v>Licenciado en PsicologÍA</v>
          </cell>
          <cell r="J953" t="str">
            <v>DOCTORADO EN PSICOLOGIA</v>
          </cell>
          <cell r="K953" t="str">
            <v/>
          </cell>
          <cell r="L953" t="str">
            <v/>
          </cell>
          <cell r="M953" t="str">
            <v>Professional</v>
          </cell>
          <cell r="N953" t="str">
            <v/>
          </cell>
          <cell r="O953" t="str">
            <v>CSS</v>
          </cell>
          <cell r="P953">
            <v>0</v>
          </cell>
          <cell r="Q953" t="str">
            <v xml:space="preserve"> </v>
          </cell>
          <cell r="R953"/>
          <cell r="S953"/>
          <cell r="T953" t="str">
            <v>Sin reducción</v>
          </cell>
          <cell r="U953">
            <v>0</v>
          </cell>
          <cell r="V953"/>
          <cell r="W953"/>
          <cell r="X953">
            <v>0</v>
          </cell>
          <cell r="Y953">
            <v>0</v>
          </cell>
          <cell r="Z953">
            <v>0</v>
          </cell>
          <cell r="AA953"/>
          <cell r="AB953" t="str">
            <v>Active - signed</v>
          </cell>
          <cell r="AC953" t="str">
            <v>ACTIVO</v>
          </cell>
          <cell r="AD953"/>
          <cell r="AE953"/>
          <cell r="AF953"/>
          <cell r="AG953"/>
          <cell r="AH953"/>
          <cell r="AI953" t="str">
            <v>12484324Q</v>
          </cell>
        </row>
        <row r="954">
          <cell r="A954" t="str">
            <v>20249715D</v>
          </cell>
          <cell r="B954" t="str">
            <v>Ribes Fortanet</v>
          </cell>
          <cell r="C954" t="str">
            <v>Diana</v>
          </cell>
          <cell r="D954" t="str">
            <v>Ribes Fortanet, Diana</v>
          </cell>
          <cell r="E954" t="str">
            <v>diana.ribes</v>
          </cell>
          <cell r="F954" t="str">
            <v>diana.ribes@professor.universidadviu.com</v>
          </cell>
          <cell r="G954" t="str">
            <v>Yes</v>
          </cell>
          <cell r="H954" t="str">
            <v>Yes</v>
          </cell>
          <cell r="I954" t="str">
            <v>Programa de Doctorado en Neurotoxicología y Psicofarmacología</v>
          </cell>
          <cell r="J954" t="str">
            <v>Programa de Doctorado en Neurotoxicología y Psicofarmacología</v>
          </cell>
          <cell r="K954" t="str">
            <v>Licenciado en Psicología</v>
          </cell>
          <cell r="L954" t="str">
            <v/>
          </cell>
          <cell r="M954" t="str">
            <v>Labour</v>
          </cell>
          <cell r="N954" t="str">
            <v>Rama Galdón, Encarnación</v>
          </cell>
          <cell r="O954" t="str">
            <v>CSS</v>
          </cell>
          <cell r="P954">
            <v>100</v>
          </cell>
          <cell r="Q954" t="str">
            <v>50</v>
          </cell>
          <cell r="R954"/>
          <cell r="S954"/>
          <cell r="T954" t="str">
            <v>Sin reducción</v>
          </cell>
          <cell r="U954">
            <v>0</v>
          </cell>
          <cell r="V954"/>
          <cell r="W954"/>
          <cell r="X954">
            <v>49.8</v>
          </cell>
          <cell r="Y954">
            <v>0</v>
          </cell>
          <cell r="Z954">
            <v>1.4</v>
          </cell>
          <cell r="AA954"/>
          <cell r="AB954" t="str">
            <v>Active - signed</v>
          </cell>
          <cell r="AC954" t="str">
            <v>ACTIVO</v>
          </cell>
          <cell r="AD954"/>
          <cell r="AE954"/>
          <cell r="AF954"/>
          <cell r="AG954"/>
          <cell r="AH954"/>
          <cell r="AI954" t="str">
            <v>20249715D</v>
          </cell>
        </row>
        <row r="955">
          <cell r="A955" t="str">
            <v>Y1643865T</v>
          </cell>
          <cell r="B955" t="str">
            <v>Riffo Campos</v>
          </cell>
          <cell r="C955" t="str">
            <v>Ángela L.</v>
          </cell>
          <cell r="D955" t="str">
            <v>Riffo Campos, Ángela L.</v>
          </cell>
          <cell r="E955" t="str">
            <v>angelal.riffo@professional.universidadviu.com</v>
          </cell>
          <cell r="F955" t="str">
            <v>angelal.riffo@professional.universidadviu.com</v>
          </cell>
          <cell r="G955" t="str">
            <v>Yes</v>
          </cell>
          <cell r="H955" t="str">
            <v>NO</v>
          </cell>
          <cell r="I955" t="str">
            <v>Biotecnología</v>
          </cell>
          <cell r="J955" t="str">
            <v>Máster oficial en Bioinformática</v>
          </cell>
          <cell r="K955" t="str">
            <v>Doctorado en Biomedicina y Biotecnología</v>
          </cell>
          <cell r="L955" t="str">
            <v/>
          </cell>
          <cell r="M955" t="str">
            <v>Professional</v>
          </cell>
          <cell r="N955" t="str">
            <v/>
          </cell>
          <cell r="O955" t="str">
            <v>CBS</v>
          </cell>
          <cell r="P955">
            <v>0</v>
          </cell>
          <cell r="Q955" t="str">
            <v xml:space="preserve"> </v>
          </cell>
          <cell r="R955"/>
          <cell r="S955"/>
          <cell r="T955" t="str">
            <v>Sin reducción</v>
          </cell>
          <cell r="U955">
            <v>0</v>
          </cell>
          <cell r="V955"/>
          <cell r="W955"/>
          <cell r="X955">
            <v>0</v>
          </cell>
          <cell r="Y955">
            <v>0</v>
          </cell>
          <cell r="Z955">
            <v>0</v>
          </cell>
          <cell r="AA955"/>
          <cell r="AB955" t="str">
            <v>Active - signed</v>
          </cell>
          <cell r="AC955" t="str">
            <v>ACTIVO</v>
          </cell>
          <cell r="AD955"/>
          <cell r="AE955"/>
          <cell r="AF955"/>
          <cell r="AG955"/>
          <cell r="AH955"/>
          <cell r="AI955" t="str">
            <v>Y1643865T</v>
          </cell>
        </row>
        <row r="956">
          <cell r="A956" t="str">
            <v>32954893X</v>
          </cell>
          <cell r="B956" t="str">
            <v>Rincón Neira</v>
          </cell>
          <cell r="C956" t="str">
            <v>Liliana</v>
          </cell>
          <cell r="D956" t="str">
            <v>Rincón Neira, Liliana</v>
          </cell>
          <cell r="E956" t="str">
            <v>liliana.rincon@professional.universidadviu.com</v>
          </cell>
          <cell r="F956" t="str">
            <v>liliana.rincon@professional.universidadviu.com</v>
          </cell>
          <cell r="G956" t="str">
            <v>Yes</v>
          </cell>
          <cell r="H956" t="str">
            <v>NO</v>
          </cell>
          <cell r="I956" t="str">
            <v>Doctorado en Psicología</v>
          </cell>
          <cell r="J956" t="str">
            <v>Doctorado en Psicología</v>
          </cell>
          <cell r="K956" t="str">
            <v>Máster Universitario Intervención interdisciplinar en violencia de género</v>
          </cell>
          <cell r="L956" t="str">
            <v>Licenciatura en Psicología (Homologado x universidad Granada)</v>
          </cell>
          <cell r="M956" t="str">
            <v>Professional</v>
          </cell>
          <cell r="N956"/>
          <cell r="O956" t="str">
            <v>CSS</v>
          </cell>
          <cell r="P956">
            <v>0</v>
          </cell>
          <cell r="Q956" t="str">
            <v xml:space="preserve"> </v>
          </cell>
          <cell r="R956"/>
          <cell r="S956"/>
          <cell r="T956" t="str">
            <v>Sin reducción</v>
          </cell>
          <cell r="U956">
            <v>0</v>
          </cell>
          <cell r="V956"/>
          <cell r="W956"/>
          <cell r="X956">
            <v>0</v>
          </cell>
          <cell r="Y956">
            <v>0</v>
          </cell>
          <cell r="Z956">
            <v>0</v>
          </cell>
          <cell r="AA956"/>
          <cell r="AB956" t="str">
            <v>Active - signed</v>
          </cell>
          <cell r="AC956" t="str">
            <v>ACTIVO</v>
          </cell>
          <cell r="AD956"/>
          <cell r="AE956"/>
          <cell r="AF956"/>
          <cell r="AG956"/>
          <cell r="AH956"/>
          <cell r="AI956" t="str">
            <v>32954893X</v>
          </cell>
        </row>
        <row r="957">
          <cell r="A957" t="str">
            <v>78739196F</v>
          </cell>
          <cell r="B957" t="str">
            <v>Río Martínez</v>
          </cell>
          <cell r="C957" t="str">
            <v>Laura</v>
          </cell>
          <cell r="D957" t="str">
            <v>Río Martínez, Laura</v>
          </cell>
          <cell r="E957" t="str">
            <v>laura.rio</v>
          </cell>
          <cell r="F957" t="str">
            <v>laura.rio@professional.universidadviu.com</v>
          </cell>
          <cell r="G957" t="str">
            <v>Yes</v>
          </cell>
          <cell r="H957" t="str">
            <v>NO</v>
          </cell>
          <cell r="I957" t="str">
            <v>Psicología</v>
          </cell>
          <cell r="J957" t="str">
            <v>Doctorada Psicología Clínica y de la Salud</v>
          </cell>
          <cell r="K957" t="str">
            <v>Máster universitario en Psicología clínica y de la salud</v>
          </cell>
          <cell r="L957" t="str">
            <v>Máster universitario en Psilogía general sanitaria</v>
          </cell>
          <cell r="M957" t="str">
            <v>Professional</v>
          </cell>
          <cell r="N957" t="str">
            <v/>
          </cell>
          <cell r="O957" t="str">
            <v>CSS</v>
          </cell>
          <cell r="P957">
            <v>0</v>
          </cell>
          <cell r="Q957" t="str">
            <v xml:space="preserve"> </v>
          </cell>
          <cell r="R957"/>
          <cell r="S957"/>
          <cell r="T957" t="str">
            <v>Sin reducción</v>
          </cell>
          <cell r="U957">
            <v>0</v>
          </cell>
          <cell r="V957"/>
          <cell r="W957"/>
          <cell r="X957">
            <v>0</v>
          </cell>
          <cell r="Y957">
            <v>0</v>
          </cell>
          <cell r="Z957">
            <v>0</v>
          </cell>
          <cell r="AA957"/>
          <cell r="AB957" t="str">
            <v>Active - signed</v>
          </cell>
          <cell r="AC957" t="str">
            <v>ACTIVO</v>
          </cell>
          <cell r="AD957"/>
          <cell r="AE957"/>
          <cell r="AF957"/>
          <cell r="AG957"/>
          <cell r="AH957"/>
          <cell r="AI957" t="str">
            <v>78739196F</v>
          </cell>
        </row>
        <row r="958">
          <cell r="A958" t="str">
            <v>71902373A</v>
          </cell>
          <cell r="B958" t="str">
            <v>Riobello Suárez</v>
          </cell>
          <cell r="C958" t="str">
            <v>Cristina</v>
          </cell>
          <cell r="D958" t="str">
            <v>Riobello Suárez, Cristina</v>
          </cell>
          <cell r="E958" t="str">
            <v>criobellos@professional.universidadviu.com</v>
          </cell>
          <cell r="F958" t="str">
            <v>criobellos@professional.universidadviu.com</v>
          </cell>
          <cell r="G958" t="str">
            <v>Yes</v>
          </cell>
          <cell r="H958" t="str">
            <v>NO</v>
          </cell>
          <cell r="I958" t="str">
            <v/>
          </cell>
          <cell r="J958" t="str">
            <v/>
          </cell>
          <cell r="K958" t="str">
            <v/>
          </cell>
          <cell r="L958" t="str">
            <v/>
          </cell>
          <cell r="M958" t="str">
            <v>Professional</v>
          </cell>
          <cell r="N958" t="str">
            <v/>
          </cell>
          <cell r="O958" t="str">
            <v>CBS</v>
          </cell>
          <cell r="P958">
            <v>0</v>
          </cell>
          <cell r="Q958" t="str">
            <v xml:space="preserve"> </v>
          </cell>
          <cell r="R958"/>
          <cell r="S958"/>
          <cell r="T958" t="str">
            <v>Sin reducción</v>
          </cell>
          <cell r="U958">
            <v>0</v>
          </cell>
          <cell r="V958"/>
          <cell r="W958"/>
          <cell r="X958">
            <v>0</v>
          </cell>
          <cell r="Y958">
            <v>0</v>
          </cell>
          <cell r="Z958">
            <v>0</v>
          </cell>
          <cell r="AA958"/>
          <cell r="AB958" t="str">
            <v>Active - signed</v>
          </cell>
          <cell r="AC958" t="str">
            <v>ACTIVO</v>
          </cell>
          <cell r="AD958"/>
          <cell r="AE958"/>
          <cell r="AF958"/>
          <cell r="AG958"/>
          <cell r="AH958"/>
          <cell r="AI958" t="str">
            <v>71902373A</v>
          </cell>
        </row>
        <row r="959">
          <cell r="A959" t="str">
            <v>25632563Y</v>
          </cell>
          <cell r="B959" t="str">
            <v>Rioja Moreno</v>
          </cell>
          <cell r="C959" t="str">
            <v>Laura</v>
          </cell>
          <cell r="D959" t="str">
            <v>Rioja Moreno, Laura</v>
          </cell>
          <cell r="E959" t="str">
            <v>lriojam@professor.universidadviu.com</v>
          </cell>
          <cell r="F959" t="str">
            <v>lriojam@professor.universidadviu.com</v>
          </cell>
          <cell r="G959" t="str">
            <v>NO</v>
          </cell>
          <cell r="H959" t="str">
            <v>NO</v>
          </cell>
          <cell r="I959" t="str">
            <v>Máster en psicología general sanitaria</v>
          </cell>
          <cell r="J959" t="str">
            <v>Máster en sexología y terapia de parejs</v>
          </cell>
          <cell r="K959" t="str">
            <v/>
          </cell>
          <cell r="L959" t="str">
            <v/>
          </cell>
          <cell r="M959" t="str">
            <v>Labour</v>
          </cell>
          <cell r="N959"/>
          <cell r="O959" t="str">
            <v>CSS</v>
          </cell>
          <cell r="P959">
            <v>100</v>
          </cell>
          <cell r="Q959" t="str">
            <v>50</v>
          </cell>
          <cell r="R959"/>
          <cell r="S959"/>
          <cell r="T959" t="str">
            <v>Sin reducción</v>
          </cell>
          <cell r="U959">
            <v>0</v>
          </cell>
          <cell r="V959"/>
          <cell r="W959"/>
          <cell r="X959">
            <v>44.7</v>
          </cell>
          <cell r="Y959">
            <v>0</v>
          </cell>
          <cell r="Z959">
            <v>0</v>
          </cell>
          <cell r="AA959"/>
          <cell r="AB959" t="str">
            <v>Active - signed</v>
          </cell>
          <cell r="AC959" t="str">
            <v>ACTIVO</v>
          </cell>
          <cell r="AD959"/>
          <cell r="AE959"/>
          <cell r="AF959"/>
          <cell r="AG959"/>
          <cell r="AH959"/>
          <cell r="AI959" t="str">
            <v>25632563Y</v>
          </cell>
        </row>
        <row r="960">
          <cell r="A960" t="str">
            <v>27344428G</v>
          </cell>
          <cell r="B960" t="str">
            <v>Ríos Blázquez</v>
          </cell>
          <cell r="C960" t="str">
            <v>José Carlos</v>
          </cell>
          <cell r="D960" t="str">
            <v>Ríos Blázquez, José Carlos</v>
          </cell>
          <cell r="E960" t="str">
            <v>jriosb@professional.universidadviu.com</v>
          </cell>
          <cell r="F960" t="str">
            <v>jriosb@professional.universidadviu.com</v>
          </cell>
          <cell r="G960" t="str">
            <v>NO</v>
          </cell>
          <cell r="H960" t="str">
            <v>NO</v>
          </cell>
          <cell r="I960" t="str">
            <v>MASTER JURÍDICO Y FORENSE</v>
          </cell>
          <cell r="J960" t="str">
            <v>LICENCIADO EN PSICOLOGÍA</v>
          </cell>
          <cell r="K960" t="str">
            <v/>
          </cell>
          <cell r="L960" t="str">
            <v/>
          </cell>
          <cell r="M960" t="str">
            <v>Professional</v>
          </cell>
          <cell r="N960" t="str">
            <v/>
          </cell>
          <cell r="O960" t="str">
            <v>CSS</v>
          </cell>
          <cell r="P960">
            <v>0</v>
          </cell>
          <cell r="Q960" t="str">
            <v xml:space="preserve"> </v>
          </cell>
          <cell r="R960"/>
          <cell r="S960"/>
          <cell r="T960" t="str">
            <v>Sin reducción</v>
          </cell>
          <cell r="U960">
            <v>0</v>
          </cell>
          <cell r="V960"/>
          <cell r="W960"/>
          <cell r="X960">
            <v>0</v>
          </cell>
          <cell r="Y960">
            <v>0</v>
          </cell>
          <cell r="Z960">
            <v>0</v>
          </cell>
          <cell r="AA960"/>
          <cell r="AB960" t="str">
            <v>Active - signed</v>
          </cell>
          <cell r="AC960" t="str">
            <v>ACTIVO</v>
          </cell>
          <cell r="AD960"/>
          <cell r="AE960"/>
          <cell r="AF960"/>
          <cell r="AG960"/>
          <cell r="AH960"/>
          <cell r="AI960" t="str">
            <v>27344428G</v>
          </cell>
        </row>
        <row r="961">
          <cell r="A961" t="str">
            <v>74661199W</v>
          </cell>
          <cell r="B961" t="str">
            <v>Rivas García</v>
          </cell>
          <cell r="C961" t="str">
            <v>Francisco</v>
          </cell>
          <cell r="D961" t="str">
            <v>Rivas García, Francisco</v>
          </cell>
          <cell r="E961" t="str">
            <v>francisco.rivas@professional.universidadviu.com</v>
          </cell>
          <cell r="F961" t="str">
            <v>francisco.rivas@professional.universidadviu.com</v>
          </cell>
          <cell r="G961" t="str">
            <v>Yes</v>
          </cell>
          <cell r="H961" t="str">
            <v>NO</v>
          </cell>
          <cell r="I961" t="str">
            <v>Ciencia y tecnología de los alimentos</v>
          </cell>
          <cell r="J961" t="str">
            <v>Doctor en Programa Nutrición Humana</v>
          </cell>
          <cell r="K961" t="str">
            <v>Graduado en Farmacia</v>
          </cell>
          <cell r="L961" t="str">
            <v/>
          </cell>
          <cell r="M961" t="str">
            <v>Professional</v>
          </cell>
          <cell r="N961" t="str">
            <v/>
          </cell>
          <cell r="O961" t="str">
            <v>CBS</v>
          </cell>
          <cell r="P961">
            <v>0</v>
          </cell>
          <cell r="Q961" t="str">
            <v xml:space="preserve"> </v>
          </cell>
          <cell r="R961"/>
          <cell r="S961"/>
          <cell r="T961" t="str">
            <v>Sin reducción</v>
          </cell>
          <cell r="U961">
            <v>0</v>
          </cell>
          <cell r="V961"/>
          <cell r="W961"/>
          <cell r="X961">
            <v>0</v>
          </cell>
          <cell r="Y961">
            <v>0</v>
          </cell>
          <cell r="Z961">
            <v>0</v>
          </cell>
          <cell r="AA961"/>
          <cell r="AB961" t="str">
            <v>Active - signed</v>
          </cell>
          <cell r="AC961" t="str">
            <v>ACTIVO</v>
          </cell>
          <cell r="AD961"/>
          <cell r="AE961"/>
          <cell r="AF961"/>
          <cell r="AG961"/>
          <cell r="AH961"/>
          <cell r="AI961" t="str">
            <v>74661199W</v>
          </cell>
        </row>
        <row r="962">
          <cell r="A962" t="str">
            <v>75930571G</v>
          </cell>
          <cell r="B962" t="str">
            <v>Rivas García</v>
          </cell>
          <cell r="C962" t="str">
            <v>Sandra María</v>
          </cell>
          <cell r="D962" t="str">
            <v>Rivas García, Sandra María</v>
          </cell>
          <cell r="E962" t="str">
            <v>srivasg@professional.universidadviu.com</v>
          </cell>
          <cell r="F962" t="str">
            <v>srivasg@professional.universidadviu.com</v>
          </cell>
          <cell r="G962" t="str">
            <v>Yes</v>
          </cell>
          <cell r="H962" t="str">
            <v>Yes</v>
          </cell>
          <cell r="I962" t="str">
            <v>Doctorado en Psicología</v>
          </cell>
          <cell r="J962" t="str">
            <v>Máster en Intervención Psicopedagógica</v>
          </cell>
          <cell r="K962" t="str">
            <v>Grado en Pedagogía</v>
          </cell>
          <cell r="L962" t="str">
            <v/>
          </cell>
          <cell r="M962" t="str">
            <v>Professional</v>
          </cell>
          <cell r="N962"/>
          <cell r="O962" t="str">
            <v>CSS</v>
          </cell>
          <cell r="P962">
            <v>0</v>
          </cell>
          <cell r="Q962" t="str">
            <v xml:space="preserve"> </v>
          </cell>
          <cell r="R962"/>
          <cell r="S962"/>
          <cell r="T962" t="str">
            <v>Sin reducción</v>
          </cell>
          <cell r="U962">
            <v>0</v>
          </cell>
          <cell r="V962"/>
          <cell r="W962"/>
          <cell r="X962">
            <v>0</v>
          </cell>
          <cell r="Y962">
            <v>0</v>
          </cell>
          <cell r="Z962">
            <v>0</v>
          </cell>
          <cell r="AA962"/>
          <cell r="AB962" t="str">
            <v>Active - signed</v>
          </cell>
          <cell r="AC962" t="str">
            <v>ACTIVO</v>
          </cell>
          <cell r="AD962"/>
          <cell r="AE962"/>
          <cell r="AF962"/>
          <cell r="AG962"/>
          <cell r="AH962"/>
          <cell r="AI962" t="str">
            <v>75930571G</v>
          </cell>
        </row>
        <row r="963">
          <cell r="A963" t="str">
            <v>75726082P</v>
          </cell>
          <cell r="B963" t="str">
            <v>Rivas García</v>
          </cell>
          <cell r="C963" t="str">
            <v>Lorenzo</v>
          </cell>
          <cell r="D963" t="str">
            <v>Rivas García, Lorenzo</v>
          </cell>
          <cell r="E963" t="str">
            <v>lorenzo.rivas</v>
          </cell>
          <cell r="F963" t="str">
            <v>lorenzo.rivas@professional.universidadviu.com</v>
          </cell>
          <cell r="G963" t="str">
            <v>Yes</v>
          </cell>
          <cell r="H963" t="str">
            <v>Yes</v>
          </cell>
          <cell r="I963" t="str">
            <v>Nutrición y Dietética</v>
          </cell>
          <cell r="J963" t="str">
            <v>Doctorado en Nutrición y ciencias de los alimentos</v>
          </cell>
          <cell r="K963" t="str">
            <v>Máster universitario en nutrición humana</v>
          </cell>
          <cell r="L963" t="str">
            <v>Licenciatura en Farmacia</v>
          </cell>
          <cell r="M963" t="str">
            <v>Professional</v>
          </cell>
          <cell r="N963"/>
          <cell r="O963" t="str">
            <v>CBS</v>
          </cell>
          <cell r="P963">
            <v>0</v>
          </cell>
          <cell r="Q963" t="str">
            <v xml:space="preserve"> </v>
          </cell>
          <cell r="R963"/>
          <cell r="S963"/>
          <cell r="T963" t="str">
            <v>Sin reducción</v>
          </cell>
          <cell r="U963">
            <v>0</v>
          </cell>
          <cell r="V963"/>
          <cell r="W963"/>
          <cell r="X963">
            <v>0</v>
          </cell>
          <cell r="Y963">
            <v>0</v>
          </cell>
          <cell r="Z963">
            <v>0</v>
          </cell>
          <cell r="AA963"/>
          <cell r="AB963" t="str">
            <v>Active - signed</v>
          </cell>
          <cell r="AC963" t="str">
            <v>NO ACTIVO</v>
          </cell>
          <cell r="AD963"/>
          <cell r="AE963"/>
          <cell r="AF963"/>
          <cell r="AG963" t="str">
            <v>CESE DE CONTRATO</v>
          </cell>
          <cell r="AH963" t="str">
            <v>Iba a ser laboralizado, pero incompatibilidad</v>
          </cell>
          <cell r="AI963" t="str">
            <v>75726082P</v>
          </cell>
        </row>
        <row r="964">
          <cell r="A964" t="str">
            <v>47471290A</v>
          </cell>
          <cell r="B964" t="str">
            <v>Roca Morales</v>
          </cell>
          <cell r="C964" t="str">
            <v>Pablo</v>
          </cell>
          <cell r="D964" t="str">
            <v>Roca Morales, Pablo</v>
          </cell>
          <cell r="E964" t="str">
            <v>pablo.roca</v>
          </cell>
          <cell r="F964" t="str">
            <v>pablo.roca@professor.universidadviu.com</v>
          </cell>
          <cell r="G964" t="str">
            <v>Yes</v>
          </cell>
          <cell r="H964" t="str">
            <v>Yes</v>
          </cell>
          <cell r="I964" t="str">
            <v>Psicología</v>
          </cell>
          <cell r="J964" t="str">
            <v>Psicología</v>
          </cell>
          <cell r="K964" t="str">
            <v>Máster en Psicología General Sanitaria</v>
          </cell>
          <cell r="L964" t="str">
            <v>Grado Psicología</v>
          </cell>
          <cell r="M964" t="str">
            <v>Labour</v>
          </cell>
          <cell r="N964"/>
          <cell r="O964" t="str">
            <v>CSS</v>
          </cell>
          <cell r="P964" t="str">
            <v>30,00</v>
          </cell>
          <cell r="Q964" t="b">
            <v>0</v>
          </cell>
          <cell r="R964"/>
          <cell r="S964" t="str">
            <v>2015-2020</v>
          </cell>
          <cell r="T964" t="str">
            <v>Sin reducción</v>
          </cell>
          <cell r="U964">
            <v>0</v>
          </cell>
          <cell r="V964"/>
          <cell r="W964"/>
          <cell r="X964">
            <v>0</v>
          </cell>
          <cell r="Y964">
            <v>0</v>
          </cell>
          <cell r="Z964">
            <v>0</v>
          </cell>
          <cell r="AA964"/>
          <cell r="AB964" t="str">
            <v>Concluded</v>
          </cell>
          <cell r="AC964" t="str">
            <v>NO ACTIVO</v>
          </cell>
          <cell r="AD964"/>
          <cell r="AE964"/>
          <cell r="AF964">
            <v>45412</v>
          </cell>
          <cell r="AG964" t="str">
            <v>CESE DE CONTRATO</v>
          </cell>
          <cell r="AH964"/>
          <cell r="AI964" t="str">
            <v>47471290A</v>
          </cell>
        </row>
        <row r="965">
          <cell r="A965" t="str">
            <v>53395146W</v>
          </cell>
          <cell r="B965" t="str">
            <v>Roca Santos</v>
          </cell>
          <cell r="C965" t="str">
            <v>Mariona</v>
          </cell>
          <cell r="D965" t="str">
            <v>Roca Santos, Mariona</v>
          </cell>
          <cell r="E965" t="str">
            <v>mariona.roca</v>
          </cell>
          <cell r="F965" t="str">
            <v>mariona.roca@professional.universidadviu.com</v>
          </cell>
          <cell r="G965" t="str">
            <v>Yes</v>
          </cell>
          <cell r="H965" t="str">
            <v>NO</v>
          </cell>
          <cell r="I965" t="str">
            <v>Psicología</v>
          </cell>
          <cell r="J965" t="str">
            <v>Máster Universitario en Psicología General Sanitaria</v>
          </cell>
          <cell r="K965" t="str">
            <v>Doctorado en Psicología</v>
          </cell>
          <cell r="L965" t="str">
            <v/>
          </cell>
          <cell r="M965" t="str">
            <v>Professional</v>
          </cell>
          <cell r="N965" t="str">
            <v/>
          </cell>
          <cell r="O965" t="str">
            <v>CSS</v>
          </cell>
          <cell r="P965">
            <v>0</v>
          </cell>
          <cell r="Q965" t="str">
            <v xml:space="preserve"> </v>
          </cell>
          <cell r="R965"/>
          <cell r="S965"/>
          <cell r="T965" t="str">
            <v>Sin reducción</v>
          </cell>
          <cell r="U965">
            <v>0</v>
          </cell>
          <cell r="V965"/>
          <cell r="W965"/>
          <cell r="X965">
            <v>0</v>
          </cell>
          <cell r="Y965">
            <v>0</v>
          </cell>
          <cell r="Z965">
            <v>0</v>
          </cell>
          <cell r="AA965"/>
          <cell r="AB965" t="str">
            <v>Active - signed</v>
          </cell>
          <cell r="AC965" t="str">
            <v>ACTIVO</v>
          </cell>
          <cell r="AD965"/>
          <cell r="AE965"/>
          <cell r="AF965"/>
          <cell r="AG965"/>
          <cell r="AH965"/>
          <cell r="AI965" t="str">
            <v>53395146W</v>
          </cell>
        </row>
        <row r="966">
          <cell r="A966" t="str">
            <v>20867890J</v>
          </cell>
          <cell r="B966" t="str">
            <v>Rocabado Rocha</v>
          </cell>
          <cell r="C966" t="str">
            <v>José Francisco</v>
          </cell>
          <cell r="D966" t="str">
            <v>Rocabado Rocha, José Francisco</v>
          </cell>
          <cell r="E966" t="str">
            <v>jrocabador@professional.universidadviu.com</v>
          </cell>
          <cell r="F966" t="str">
            <v>jrocabador@professional.universidadviu.com</v>
          </cell>
          <cell r="G966" t="str">
            <v>NO</v>
          </cell>
          <cell r="H966" t="str">
            <v>NO</v>
          </cell>
          <cell r="I966" t="str">
            <v>Máster Universitario en Psicología General Sanitaria</v>
          </cell>
          <cell r="J966" t="str">
            <v>Grado en psicologia</v>
          </cell>
          <cell r="K966" t="str">
            <v/>
          </cell>
          <cell r="L966" t="str">
            <v/>
          </cell>
          <cell r="M966" t="str">
            <v>Professional</v>
          </cell>
          <cell r="N966"/>
          <cell r="O966" t="str">
            <v>CSS</v>
          </cell>
          <cell r="P966"/>
          <cell r="Q966" t="str">
            <v xml:space="preserve"> </v>
          </cell>
          <cell r="R966"/>
          <cell r="S966"/>
          <cell r="T966" t="str">
            <v>Sin reducción</v>
          </cell>
          <cell r="U966">
            <v>0</v>
          </cell>
          <cell r="V966"/>
          <cell r="W966"/>
          <cell r="X966">
            <v>0</v>
          </cell>
          <cell r="Y966">
            <v>0</v>
          </cell>
          <cell r="Z966">
            <v>0</v>
          </cell>
          <cell r="AA966"/>
          <cell r="AB966" t="str">
            <v>Active - signed</v>
          </cell>
          <cell r="AC966" t="str">
            <v>ACTIVO</v>
          </cell>
          <cell r="AD966"/>
          <cell r="AE966"/>
          <cell r="AF966"/>
          <cell r="AG966"/>
          <cell r="AH966"/>
          <cell r="AI966" t="str">
            <v>20867890J</v>
          </cell>
        </row>
        <row r="967">
          <cell r="A967" t="str">
            <v>47280677Z</v>
          </cell>
          <cell r="B967" t="str">
            <v>Rocamora González</v>
          </cell>
          <cell r="C967" t="str">
            <v>Cristina</v>
          </cell>
          <cell r="D967" t="str">
            <v>Rocamora González, Cristina</v>
          </cell>
          <cell r="E967" t="str">
            <v>crocamorag@professional.universidadviu.com</v>
          </cell>
          <cell r="F967" t="str">
            <v>crocamorag@professional.universidadviu.com</v>
          </cell>
          <cell r="G967" t="str">
            <v>Yes</v>
          </cell>
          <cell r="H967" t="str">
            <v>NO</v>
          </cell>
          <cell r="I967" t="str">
            <v>Doctorado en medicina y cirugía</v>
          </cell>
          <cell r="J967" t="str">
            <v/>
          </cell>
          <cell r="K967" t="str">
            <v/>
          </cell>
          <cell r="L967" t="str">
            <v/>
          </cell>
          <cell r="M967" t="str">
            <v>Professional</v>
          </cell>
          <cell r="N967" t="str">
            <v/>
          </cell>
          <cell r="O967" t="str">
            <v>CSS</v>
          </cell>
          <cell r="P967">
            <v>0</v>
          </cell>
          <cell r="Q967" t="str">
            <v xml:space="preserve"> </v>
          </cell>
          <cell r="R967"/>
          <cell r="S967"/>
          <cell r="T967" t="str">
            <v>Sin reducción</v>
          </cell>
          <cell r="U967">
            <v>0</v>
          </cell>
          <cell r="V967"/>
          <cell r="W967"/>
          <cell r="X967">
            <v>0</v>
          </cell>
          <cell r="Y967">
            <v>0</v>
          </cell>
          <cell r="Z967">
            <v>0</v>
          </cell>
          <cell r="AA967"/>
          <cell r="AB967" t="str">
            <v>Concluded</v>
          </cell>
          <cell r="AC967" t="str">
            <v>NO ACTIVO</v>
          </cell>
          <cell r="AD967"/>
          <cell r="AE967"/>
          <cell r="AF967"/>
          <cell r="AG967" t="str">
            <v>CESE DE CONTRATO</v>
          </cell>
          <cell r="AH967"/>
          <cell r="AI967" t="str">
            <v>47280677Z</v>
          </cell>
        </row>
        <row r="968">
          <cell r="A968" t="str">
            <v>74520789F</v>
          </cell>
          <cell r="B968" t="str">
            <v>Ródenas González</v>
          </cell>
          <cell r="C968" t="str">
            <v>Francisco</v>
          </cell>
          <cell r="D968" t="str">
            <v>Ródenas González, Francisco</v>
          </cell>
          <cell r="E968" t="str">
            <v>francisco.rodenas</v>
          </cell>
          <cell r="F968" t="str">
            <v>francisco.rodenas@professor.universidadviu.com</v>
          </cell>
          <cell r="G968" t="str">
            <v>Yes</v>
          </cell>
          <cell r="H968" t="str">
            <v>Yes</v>
          </cell>
          <cell r="I968" t="str">
            <v>Psicología</v>
          </cell>
          <cell r="J968" t="str">
            <v>Programa Oficial de Doctorado en Investigación en Psicología</v>
          </cell>
          <cell r="K968" t="str">
            <v>Curso Universitario en formación en experimentación con animales - Función A+B+C Roedores y Lagomorfos</v>
          </cell>
          <cell r="L968" t="str">
            <v>Experto Universitario en Adicción al Juego y otras Adicciones Comportamentales</v>
          </cell>
          <cell r="M968" t="str">
            <v>Labour</v>
          </cell>
          <cell r="N968" t="str">
            <v>Duque Moreno, María Aranzazu</v>
          </cell>
          <cell r="O968" t="str">
            <v>CSS</v>
          </cell>
          <cell r="P968">
            <v>100</v>
          </cell>
          <cell r="Q968" t="str">
            <v>50</v>
          </cell>
          <cell r="R968"/>
          <cell r="S968"/>
          <cell r="T968" t="str">
            <v>Dirección de título Máster Universitario - 2 ediciones</v>
          </cell>
          <cell r="U968">
            <v>38</v>
          </cell>
          <cell r="V968"/>
          <cell r="W968"/>
          <cell r="X968">
            <v>6</v>
          </cell>
          <cell r="Y968">
            <v>0</v>
          </cell>
          <cell r="Z968">
            <v>0</v>
          </cell>
          <cell r="AA968"/>
          <cell r="AB968" t="str">
            <v>Active - signed</v>
          </cell>
          <cell r="AC968" t="str">
            <v>ACTIVO</v>
          </cell>
          <cell r="AD968"/>
          <cell r="AE968"/>
          <cell r="AF968"/>
          <cell r="AG968"/>
          <cell r="AH968"/>
          <cell r="AI968" t="str">
            <v>74520789F</v>
          </cell>
        </row>
        <row r="969">
          <cell r="A969" t="str">
            <v>13319763A</v>
          </cell>
          <cell r="B969" t="str">
            <v>Rodríguez Álvarez</v>
          </cell>
          <cell r="C969" t="str">
            <v>Sonia Elisa</v>
          </cell>
          <cell r="D969" t="str">
            <v>Rodríguez Álvarez, Sonia Elisa</v>
          </cell>
          <cell r="E969" t="str">
            <v>srodrigueza@professor.universidadviu.com</v>
          </cell>
          <cell r="F969" t="str">
            <v>srodrigueza@professor.universidadviu.com</v>
          </cell>
          <cell r="G969" t="str">
            <v>Yes</v>
          </cell>
          <cell r="H969" t="str">
            <v>NO</v>
          </cell>
          <cell r="I969" t="str">
            <v>Programa de doctorado en Psicología</v>
          </cell>
          <cell r="J969" t="str">
            <v>Programa de doctorado en Psicología</v>
          </cell>
          <cell r="K969" t="str">
            <v>Posgrado en Modelo Sistémico</v>
          </cell>
          <cell r="L969" t="str">
            <v>Licenciatura en Psicología</v>
          </cell>
          <cell r="M969" t="str">
            <v>Labour</v>
          </cell>
          <cell r="N969" t="str">
            <v>Ródenas González, Francisco</v>
          </cell>
          <cell r="O969" t="str">
            <v>CSS</v>
          </cell>
          <cell r="P969">
            <v>100</v>
          </cell>
          <cell r="Q969" t="str">
            <v>50</v>
          </cell>
          <cell r="R969"/>
          <cell r="S969"/>
          <cell r="T969" t="str">
            <v>Sin reducción</v>
          </cell>
          <cell r="U969">
            <v>0</v>
          </cell>
          <cell r="V969"/>
          <cell r="W969"/>
          <cell r="X969">
            <v>48.8</v>
          </cell>
          <cell r="Y969">
            <v>0</v>
          </cell>
          <cell r="Z969">
            <v>0</v>
          </cell>
          <cell r="AA969"/>
          <cell r="AB969" t="str">
            <v>Active - signed</v>
          </cell>
          <cell r="AC969" t="str">
            <v>ACTIVO</v>
          </cell>
          <cell r="AD969"/>
          <cell r="AE969"/>
          <cell r="AF969"/>
          <cell r="AG969"/>
          <cell r="AH969"/>
          <cell r="AI969" t="str">
            <v>13319763A</v>
          </cell>
        </row>
        <row r="970">
          <cell r="A970" t="str">
            <v>11854665M</v>
          </cell>
          <cell r="B970" t="str">
            <v>Rodríguez Beltrán</v>
          </cell>
          <cell r="C970" t="str">
            <v>Jerónimo</v>
          </cell>
          <cell r="D970" t="str">
            <v>Rodríguez Beltrán, Jerónimo</v>
          </cell>
          <cell r="E970" t="str">
            <v>jeronimo.rodriguez</v>
          </cell>
          <cell r="F970" t="str">
            <v>jeronimo.rodriguez@professional.universidadviu.com</v>
          </cell>
          <cell r="G970" t="str">
            <v>Yes</v>
          </cell>
          <cell r="H970" t="str">
            <v>NO</v>
          </cell>
          <cell r="I970" t="str">
            <v>Doctorado en Bioquímica, biologia molecular, biomedicina y biotecnología</v>
          </cell>
          <cell r="J970" t="str">
            <v/>
          </cell>
          <cell r="K970" t="str">
            <v/>
          </cell>
          <cell r="L970" t="str">
            <v/>
          </cell>
          <cell r="M970" t="str">
            <v>Professional</v>
          </cell>
          <cell r="N970" t="str">
            <v/>
          </cell>
          <cell r="O970" t="str">
            <v>CBS</v>
          </cell>
          <cell r="P970">
            <v>0</v>
          </cell>
          <cell r="Q970" t="str">
            <v xml:space="preserve"> </v>
          </cell>
          <cell r="R970"/>
          <cell r="S970"/>
          <cell r="T970" t="str">
            <v>Sin reducción</v>
          </cell>
          <cell r="U970">
            <v>0</v>
          </cell>
          <cell r="V970"/>
          <cell r="W970"/>
          <cell r="X970">
            <v>0</v>
          </cell>
          <cell r="Y970">
            <v>0</v>
          </cell>
          <cell r="Z970">
            <v>0</v>
          </cell>
          <cell r="AA970"/>
          <cell r="AB970" t="str">
            <v>Active - signed</v>
          </cell>
          <cell r="AC970" t="str">
            <v>ACTIVO</v>
          </cell>
          <cell r="AD970"/>
          <cell r="AE970"/>
          <cell r="AF970"/>
          <cell r="AG970"/>
          <cell r="AH970"/>
          <cell r="AI970" t="str">
            <v>11854665M</v>
          </cell>
        </row>
        <row r="971">
          <cell r="A971" t="str">
            <v>16076604H</v>
          </cell>
          <cell r="B971" t="str">
            <v>Rodríguez Bermejo</v>
          </cell>
          <cell r="C971" t="str">
            <v>Alicia Aurora</v>
          </cell>
          <cell r="D971" t="str">
            <v>Rodríguez Bermejo, Alicia Aurora</v>
          </cell>
          <cell r="E971" t="str">
            <v>arodriguezb@professional.universidadviu.com</v>
          </cell>
          <cell r="F971" t="str">
            <v>arodriguezb@professional.universidadviu.com</v>
          </cell>
          <cell r="G971" t="str">
            <v>Yes</v>
          </cell>
          <cell r="H971" t="str">
            <v>NO</v>
          </cell>
          <cell r="I971" t="str">
            <v>Doctorado en Psicología</v>
          </cell>
          <cell r="J971" t="str">
            <v>Máster Psicología General Sanitaria y Máster Neuropsicología Clínica</v>
          </cell>
          <cell r="K971" t="str">
            <v>Grado en Psicología</v>
          </cell>
          <cell r="L971" t="str">
            <v/>
          </cell>
          <cell r="M971" t="str">
            <v>Professional</v>
          </cell>
          <cell r="N971" t="str">
            <v/>
          </cell>
          <cell r="O971" t="str">
            <v>CSS</v>
          </cell>
          <cell r="P971">
            <v>0</v>
          </cell>
          <cell r="Q971" t="str">
            <v xml:space="preserve"> </v>
          </cell>
          <cell r="R971"/>
          <cell r="S971"/>
          <cell r="T971" t="str">
            <v>Sin reducción</v>
          </cell>
          <cell r="U971">
            <v>0</v>
          </cell>
          <cell r="V971"/>
          <cell r="W971"/>
          <cell r="X971">
            <v>0</v>
          </cell>
          <cell r="Y971">
            <v>0</v>
          </cell>
          <cell r="Z971">
            <v>0</v>
          </cell>
          <cell r="AA971"/>
          <cell r="AB971" t="str">
            <v>Active - signed</v>
          </cell>
          <cell r="AC971" t="str">
            <v>ACTIVO</v>
          </cell>
          <cell r="AD971"/>
          <cell r="AE971"/>
          <cell r="AF971"/>
          <cell r="AG971"/>
          <cell r="AH971"/>
          <cell r="AI971" t="str">
            <v>16076604H</v>
          </cell>
        </row>
        <row r="972">
          <cell r="A972" t="str">
            <v>70889370N</v>
          </cell>
          <cell r="B972" t="str">
            <v>Rodríguez Cifuentes</v>
          </cell>
          <cell r="C972" t="str">
            <v>Francisco</v>
          </cell>
          <cell r="D972" t="str">
            <v>Rodríguez Cifuentes, Francisco</v>
          </cell>
          <cell r="E972" t="str">
            <v>francisco.rodriguez.c</v>
          </cell>
          <cell r="F972" t="str">
            <v>francisco.rodriguez.c@professional.universidadviu.com</v>
          </cell>
          <cell r="G972" t="str">
            <v>Yes</v>
          </cell>
          <cell r="H972" t="str">
            <v>NO</v>
          </cell>
          <cell r="I972" t="str">
            <v>Psicología</v>
          </cell>
          <cell r="J972" t="str">
            <v>Programa de Doctorado en Psicología de la Salud</v>
          </cell>
          <cell r="K972" t="str">
            <v/>
          </cell>
          <cell r="L972" t="str">
            <v/>
          </cell>
          <cell r="M972" t="str">
            <v>Professional</v>
          </cell>
          <cell r="N972" t="str">
            <v/>
          </cell>
          <cell r="O972" t="str">
            <v>CSS</v>
          </cell>
          <cell r="P972">
            <v>0</v>
          </cell>
          <cell r="Q972" t="str">
            <v xml:space="preserve"> </v>
          </cell>
          <cell r="R972"/>
          <cell r="S972"/>
          <cell r="T972" t="str">
            <v>Sin reducción</v>
          </cell>
          <cell r="U972">
            <v>0</v>
          </cell>
          <cell r="V972"/>
          <cell r="W972"/>
          <cell r="X972">
            <v>0</v>
          </cell>
          <cell r="Y972">
            <v>0</v>
          </cell>
          <cell r="Z972">
            <v>0</v>
          </cell>
          <cell r="AA972"/>
          <cell r="AB972" t="str">
            <v>Active - signed</v>
          </cell>
          <cell r="AC972" t="str">
            <v>ACTIVO</v>
          </cell>
          <cell r="AD972"/>
          <cell r="AE972"/>
          <cell r="AF972"/>
          <cell r="AG972"/>
          <cell r="AH972"/>
          <cell r="AI972" t="str">
            <v>70889370N</v>
          </cell>
        </row>
        <row r="973">
          <cell r="A973" t="str">
            <v>33998035X</v>
          </cell>
          <cell r="B973" t="str">
            <v>Rodríguez Cobo</v>
          </cell>
          <cell r="C973" t="str">
            <v>Iria</v>
          </cell>
          <cell r="D973" t="str">
            <v>Rodríguez Cobo, Iria</v>
          </cell>
          <cell r="E973" t="str">
            <v>irodriguezc@professor.universidadviu.com</v>
          </cell>
          <cell r="F973" t="str">
            <v>irodriguezc@professor.universidadviu.com</v>
          </cell>
          <cell r="G973" t="str">
            <v>NO</v>
          </cell>
          <cell r="H973" t="str">
            <v>NO</v>
          </cell>
          <cell r="I973" t="str">
            <v/>
          </cell>
          <cell r="J973" t="str">
            <v/>
          </cell>
          <cell r="K973" t="str">
            <v/>
          </cell>
          <cell r="L973" t="str">
            <v/>
          </cell>
          <cell r="M973" t="str">
            <v>Labour</v>
          </cell>
          <cell r="N973" t="str">
            <v>Pedelini Gassmann, Leda</v>
          </cell>
          <cell r="O973" t="str">
            <v>CBS</v>
          </cell>
          <cell r="P973">
            <v>12</v>
          </cell>
          <cell r="Q973" t="str">
            <v>12</v>
          </cell>
          <cell r="R973"/>
          <cell r="S973"/>
          <cell r="T973" t="str">
            <v>Sin reducción</v>
          </cell>
          <cell r="U973">
            <v>0</v>
          </cell>
          <cell r="V973"/>
          <cell r="W973"/>
          <cell r="X973">
            <v>0</v>
          </cell>
          <cell r="Y973">
            <v>12</v>
          </cell>
          <cell r="Z973">
            <v>0</v>
          </cell>
          <cell r="AA973"/>
          <cell r="AB973" t="str">
            <v>Active - signed</v>
          </cell>
          <cell r="AC973" t="str">
            <v>ACTIVO</v>
          </cell>
          <cell r="AD973"/>
          <cell r="AE973"/>
          <cell r="AF973"/>
          <cell r="AG973"/>
          <cell r="AH973"/>
          <cell r="AI973" t="str">
            <v>33998035X</v>
          </cell>
        </row>
        <row r="974">
          <cell r="A974" t="str">
            <v>48948359N</v>
          </cell>
          <cell r="B974" t="str">
            <v>Rodríguez Domínguez</v>
          </cell>
          <cell r="C974" t="str">
            <v>María del Carmen</v>
          </cell>
          <cell r="D974" t="str">
            <v>Rodríguez Domínguez, María del Carmen</v>
          </cell>
          <cell r="E974" t="str">
            <v>mrodriguezd@professional.universidadviu.com</v>
          </cell>
          <cell r="F974" t="str">
            <v>mrodriguezd@professional.universidadviu.com</v>
          </cell>
          <cell r="G974" t="str">
            <v>Yes</v>
          </cell>
          <cell r="H974" t="str">
            <v>NO</v>
          </cell>
          <cell r="I974" t="str">
            <v>Doctora en Psicología</v>
          </cell>
          <cell r="J974" t="str">
            <v>Máster en Psicología de la Intervención Social y Comunitaria</v>
          </cell>
          <cell r="K974" t="str">
            <v>Licenciada en Psicología</v>
          </cell>
          <cell r="L974" t="str">
            <v/>
          </cell>
          <cell r="M974" t="str">
            <v>Professional</v>
          </cell>
          <cell r="N974" t="str">
            <v/>
          </cell>
          <cell r="O974" t="str">
            <v>CSS</v>
          </cell>
          <cell r="P974">
            <v>0</v>
          </cell>
          <cell r="Q974" t="str">
            <v xml:space="preserve"> </v>
          </cell>
          <cell r="R974"/>
          <cell r="S974"/>
          <cell r="T974" t="str">
            <v>Sin reducción</v>
          </cell>
          <cell r="U974">
            <v>0</v>
          </cell>
          <cell r="V974"/>
          <cell r="W974"/>
          <cell r="X974">
            <v>0</v>
          </cell>
          <cell r="Y974">
            <v>0</v>
          </cell>
          <cell r="Z974">
            <v>0</v>
          </cell>
          <cell r="AA974"/>
          <cell r="AB974" t="str">
            <v>Active - signed</v>
          </cell>
          <cell r="AC974" t="str">
            <v>ACTIVO</v>
          </cell>
          <cell r="AD974"/>
          <cell r="AE974"/>
          <cell r="AF974"/>
          <cell r="AG974"/>
          <cell r="AH974"/>
          <cell r="AI974" t="str">
            <v>48948359N</v>
          </cell>
        </row>
        <row r="975">
          <cell r="A975" t="str">
            <v>45813335A</v>
          </cell>
          <cell r="B975" t="str">
            <v>Rodríguez Eguren</v>
          </cell>
          <cell r="C975" t="str">
            <v>Adolfo</v>
          </cell>
          <cell r="D975" t="str">
            <v>Rodríguez Eguren, Adolfo</v>
          </cell>
          <cell r="E975" t="str">
            <v>arodrigueze@professional.universidadviu.com</v>
          </cell>
          <cell r="G975" t="str">
            <v>NO</v>
          </cell>
          <cell r="H975" t="str">
            <v>NO</v>
          </cell>
          <cell r="I975" t="str">
            <v/>
          </cell>
          <cell r="J975" t="str">
            <v/>
          </cell>
          <cell r="K975" t="str">
            <v/>
          </cell>
          <cell r="L975" t="str">
            <v/>
          </cell>
          <cell r="M975" t="str">
            <v>Professional</v>
          </cell>
          <cell r="N975"/>
          <cell r="O975" t="str">
            <v>CBS</v>
          </cell>
          <cell r="P975">
            <v>0</v>
          </cell>
          <cell r="Q975" t="str">
            <v xml:space="preserve"> </v>
          </cell>
          <cell r="R975"/>
          <cell r="S975"/>
          <cell r="T975" t="str">
            <v>Sin reducción</v>
          </cell>
          <cell r="U975">
            <v>0</v>
          </cell>
          <cell r="V975"/>
          <cell r="W975"/>
          <cell r="X975">
            <v>0</v>
          </cell>
          <cell r="Y975">
            <v>0</v>
          </cell>
          <cell r="Z975">
            <v>0</v>
          </cell>
          <cell r="AA975"/>
          <cell r="AB975" t="str">
            <v>Active - signed</v>
          </cell>
          <cell r="AC975" t="str">
            <v>ACTIVO</v>
          </cell>
          <cell r="AD975"/>
          <cell r="AE975"/>
          <cell r="AF975"/>
          <cell r="AG975"/>
          <cell r="AH975"/>
          <cell r="AI975" t="str">
            <v>45813335A</v>
          </cell>
        </row>
        <row r="976">
          <cell r="A976" t="str">
            <v>48412840W</v>
          </cell>
          <cell r="B976" t="str">
            <v>Rodríguez Fernández</v>
          </cell>
          <cell r="C976" t="str">
            <v>Lucía</v>
          </cell>
          <cell r="D976" t="str">
            <v>Rodríguez Fernández, Lucía</v>
          </cell>
          <cell r="E976" t="str">
            <v>lucia.rodriguez.f</v>
          </cell>
          <cell r="F976" t="str">
            <v>lucia.rodriguez.f@professional.universidadviu.com</v>
          </cell>
          <cell r="G976" t="str">
            <v>Yes</v>
          </cell>
          <cell r="H976" t="str">
            <v>NO</v>
          </cell>
          <cell r="I976" t="str">
            <v>Farmacia</v>
          </cell>
          <cell r="J976" t="str">
            <v>Máster universitario en aproximaciones moleculares en ciencias de la salud</v>
          </cell>
          <cell r="K976" t="str">
            <v>Licenciada en Farmacia</v>
          </cell>
          <cell r="L976" t="str">
            <v/>
          </cell>
          <cell r="M976" t="str">
            <v>Professional</v>
          </cell>
          <cell r="N976" t="str">
            <v/>
          </cell>
          <cell r="O976" t="str">
            <v>CBS</v>
          </cell>
          <cell r="P976">
            <v>0</v>
          </cell>
          <cell r="Q976" t="str">
            <v xml:space="preserve"> </v>
          </cell>
          <cell r="R976"/>
          <cell r="S976"/>
          <cell r="T976" t="str">
            <v>Sin reducción</v>
          </cell>
          <cell r="U976">
            <v>0</v>
          </cell>
          <cell r="V976"/>
          <cell r="W976"/>
          <cell r="X976">
            <v>0</v>
          </cell>
          <cell r="Y976">
            <v>0</v>
          </cell>
          <cell r="Z976">
            <v>0</v>
          </cell>
          <cell r="AA976"/>
          <cell r="AB976" t="str">
            <v>Active - signed</v>
          </cell>
          <cell r="AC976" t="str">
            <v>ACTIVO</v>
          </cell>
          <cell r="AD976"/>
          <cell r="AE976"/>
          <cell r="AF976"/>
          <cell r="AG976"/>
          <cell r="AH976"/>
          <cell r="AI976" t="str">
            <v>48412840W</v>
          </cell>
        </row>
        <row r="977">
          <cell r="A977" t="str">
            <v>75728190T</v>
          </cell>
          <cell r="B977" t="str">
            <v>Rodríguez Ferrer</v>
          </cell>
          <cell r="C977" t="str">
            <v>José Miguel</v>
          </cell>
          <cell r="D977" t="str">
            <v>Rodríguez Ferrer, José Miguel</v>
          </cell>
          <cell r="E977" t="str">
            <v>josem.rodriguez@professional.universidadviu.com</v>
          </cell>
          <cell r="F977" t="str">
            <v>josem.rodriguez@professional.universidadviu.com</v>
          </cell>
          <cell r="G977" t="str">
            <v>Yes</v>
          </cell>
          <cell r="H977">
            <v>0</v>
          </cell>
          <cell r="I977" t="str">
            <v>Doctorado en ciencias médicas</v>
          </cell>
          <cell r="J977" t="str">
            <v>Master Universitario en Psicología General Sanitaria</v>
          </cell>
          <cell r="K977" t="str">
            <v>Grado en Psicología</v>
          </cell>
          <cell r="L977" t="str">
            <v/>
          </cell>
          <cell r="M977" t="str">
            <v>Professional</v>
          </cell>
          <cell r="N977" t="str">
            <v/>
          </cell>
          <cell r="O977" t="str">
            <v>CSS</v>
          </cell>
          <cell r="P977">
            <v>0</v>
          </cell>
          <cell r="Q977" t="str">
            <v xml:space="preserve"> </v>
          </cell>
          <cell r="R977"/>
          <cell r="S977"/>
          <cell r="T977" t="str">
            <v>Sin reducción</v>
          </cell>
          <cell r="U977">
            <v>0</v>
          </cell>
          <cell r="V977"/>
          <cell r="W977"/>
          <cell r="X977">
            <v>0</v>
          </cell>
          <cell r="Y977">
            <v>0</v>
          </cell>
          <cell r="Z977">
            <v>0</v>
          </cell>
          <cell r="AA977"/>
          <cell r="AB977" t="str">
            <v>Concluded</v>
          </cell>
          <cell r="AC977" t="str">
            <v>NO ACTIVO</v>
          </cell>
          <cell r="AD977"/>
          <cell r="AE977"/>
          <cell r="AF977"/>
          <cell r="AG977" t="str">
            <v>CESE DE CONTRATO</v>
          </cell>
          <cell r="AH977"/>
          <cell r="AI977" t="str">
            <v>75728190T</v>
          </cell>
        </row>
        <row r="978">
          <cell r="A978" t="str">
            <v>44267782G</v>
          </cell>
          <cell r="B978" t="str">
            <v>Rodríguez Fuentes</v>
          </cell>
          <cell r="C978" t="str">
            <v>Antonio Vicente</v>
          </cell>
          <cell r="D978" t="str">
            <v>Rodríguez Fuentes, Antonio Vicente</v>
          </cell>
          <cell r="E978" t="str">
            <v>arodriguezf@professional.universidadviu.com</v>
          </cell>
          <cell r="F978" t="str">
            <v>arodriguezf@professional.universidadviu.com</v>
          </cell>
          <cell r="G978" t="str">
            <v>Yes</v>
          </cell>
          <cell r="H978" t="str">
            <v>NO</v>
          </cell>
          <cell r="I978" t="str">
            <v/>
          </cell>
          <cell r="J978" t="str">
            <v/>
          </cell>
          <cell r="K978" t="str">
            <v/>
          </cell>
          <cell r="L978" t="str">
            <v/>
          </cell>
          <cell r="M978" t="str">
            <v>Professional</v>
          </cell>
          <cell r="N978"/>
          <cell r="O978" t="str">
            <v>CSS</v>
          </cell>
          <cell r="P978">
            <v>0</v>
          </cell>
          <cell r="Q978" t="str">
            <v xml:space="preserve"> </v>
          </cell>
          <cell r="R978"/>
          <cell r="S978"/>
          <cell r="T978" t="str">
            <v>Sin reducción</v>
          </cell>
          <cell r="U978">
            <v>0</v>
          </cell>
          <cell r="V978"/>
          <cell r="W978"/>
          <cell r="X978">
            <v>0</v>
          </cell>
          <cell r="Y978">
            <v>0</v>
          </cell>
          <cell r="Z978">
            <v>0</v>
          </cell>
          <cell r="AA978"/>
          <cell r="AB978" t="str">
            <v>Active - signed</v>
          </cell>
          <cell r="AC978" t="str">
            <v>ACTIVO</v>
          </cell>
          <cell r="AD978"/>
          <cell r="AE978"/>
          <cell r="AF978"/>
          <cell r="AG978"/>
          <cell r="AH978"/>
          <cell r="AI978" t="str">
            <v>44267782G</v>
          </cell>
        </row>
        <row r="979">
          <cell r="A979" t="str">
            <v>76662133M</v>
          </cell>
          <cell r="B979" t="str">
            <v>Rodríguez Gil</v>
          </cell>
          <cell r="C979" t="str">
            <v>María de las Mercedes</v>
          </cell>
          <cell r="D979" t="str">
            <v>Rodríguez Gil, María de las Mercedes</v>
          </cell>
          <cell r="E979" t="str">
            <v>mgrodriguez1@professional.universidadviu.com</v>
          </cell>
          <cell r="F979" t="str">
            <v>mgrodriguez1@professional.universidadviu.com</v>
          </cell>
          <cell r="G979" t="str">
            <v>NO</v>
          </cell>
          <cell r="H979" t="str">
            <v>NO</v>
          </cell>
          <cell r="I979" t="str">
            <v/>
          </cell>
          <cell r="J979" t="str">
            <v/>
          </cell>
          <cell r="K979" t="str">
            <v/>
          </cell>
          <cell r="L979" t="str">
            <v/>
          </cell>
          <cell r="M979" t="str">
            <v>Professional</v>
          </cell>
          <cell r="N979"/>
          <cell r="O979" t="str">
            <v>CBS</v>
          </cell>
          <cell r="P979">
            <v>0</v>
          </cell>
          <cell r="Q979" t="str">
            <v xml:space="preserve"> </v>
          </cell>
          <cell r="R979"/>
          <cell r="S979"/>
          <cell r="T979" t="str">
            <v>Sin reducción</v>
          </cell>
          <cell r="U979">
            <v>0</v>
          </cell>
          <cell r="V979"/>
          <cell r="W979"/>
          <cell r="X979">
            <v>0</v>
          </cell>
          <cell r="Y979">
            <v>0</v>
          </cell>
          <cell r="Z979">
            <v>0</v>
          </cell>
          <cell r="AA979"/>
          <cell r="AB979" t="str">
            <v>Active - signed</v>
          </cell>
          <cell r="AC979" t="str">
            <v>ACTIVO</v>
          </cell>
          <cell r="AD979"/>
          <cell r="AE979"/>
          <cell r="AF979"/>
          <cell r="AG979"/>
          <cell r="AH979"/>
          <cell r="AI979" t="str">
            <v>76662133M</v>
          </cell>
        </row>
        <row r="980">
          <cell r="A980" t="str">
            <v>60479859W</v>
          </cell>
          <cell r="B980" t="str">
            <v>Rodríguez Hernández</v>
          </cell>
          <cell r="C980" t="str">
            <v>Valerie Nicole</v>
          </cell>
          <cell r="D980" t="str">
            <v>Rodríguez Hernández, Valerie Nicole</v>
          </cell>
          <cell r="E980" t="str">
            <v>vrodriguezh@professor.universidadviu.com</v>
          </cell>
          <cell r="F980" t="str">
            <v>vrodriguezh@professor.universidadviu.com</v>
          </cell>
          <cell r="G980" t="str">
            <v>Yes</v>
          </cell>
          <cell r="H980" t="str">
            <v>NO</v>
          </cell>
          <cell r="I980" t="str">
            <v>Doctorado en Neurociencias</v>
          </cell>
          <cell r="J980" t="str">
            <v>Doctorado en Neurociencias</v>
          </cell>
          <cell r="K980" t="str">
            <v>Máster en Neurociencia Cognitiva y del Comportamiento</v>
          </cell>
          <cell r="L980" t="str">
            <v>Grado en Psicología</v>
          </cell>
          <cell r="M980" t="str">
            <v>Labour</v>
          </cell>
          <cell r="N980" t="str">
            <v>Cairós González, Mariana Elena</v>
          </cell>
          <cell r="O980" t="str">
            <v>CSS</v>
          </cell>
          <cell r="P980">
            <v>100</v>
          </cell>
          <cell r="Q980" t="str">
            <v>50</v>
          </cell>
          <cell r="R980"/>
          <cell r="S980"/>
          <cell r="T980" t="str">
            <v>Sin reducción</v>
          </cell>
          <cell r="U980">
            <v>0</v>
          </cell>
          <cell r="V980"/>
          <cell r="W980"/>
          <cell r="X980">
            <v>47.1</v>
          </cell>
          <cell r="Y980">
            <v>0</v>
          </cell>
          <cell r="Z980">
            <v>6</v>
          </cell>
          <cell r="AA980"/>
          <cell r="AB980" t="str">
            <v>Active - signed</v>
          </cell>
          <cell r="AC980" t="str">
            <v>ACTIVO</v>
          </cell>
          <cell r="AD980">
            <v>45701</v>
          </cell>
          <cell r="AE980">
            <v>45803</v>
          </cell>
          <cell r="AF980"/>
          <cell r="AG980"/>
          <cell r="AH980"/>
          <cell r="AI980" t="str">
            <v>60479859W</v>
          </cell>
        </row>
        <row r="981">
          <cell r="A981" t="str">
            <v>74737076W</v>
          </cell>
          <cell r="B981" t="str">
            <v>Rodríguez Herrera</v>
          </cell>
          <cell r="C981" t="str">
            <v>María Ángeles</v>
          </cell>
          <cell r="D981" t="str">
            <v>Rodríguez Herrera, María Ángeles</v>
          </cell>
          <cell r="E981" t="str">
            <v>mariaangeles.rodriguez.h</v>
          </cell>
          <cell r="F981" t="str">
            <v>mariaangeles.rodriguez.h@professional.universidadviu.com</v>
          </cell>
          <cell r="G981" t="str">
            <v>NO</v>
          </cell>
          <cell r="H981" t="str">
            <v>NO</v>
          </cell>
          <cell r="I981" t="str">
            <v/>
          </cell>
          <cell r="J981" t="str">
            <v/>
          </cell>
          <cell r="K981" t="str">
            <v/>
          </cell>
          <cell r="L981" t="str">
            <v/>
          </cell>
          <cell r="M981" t="str">
            <v>Professional</v>
          </cell>
          <cell r="N981" t="str">
            <v/>
          </cell>
          <cell r="O981" t="str">
            <v>CBS</v>
          </cell>
          <cell r="P981">
            <v>0</v>
          </cell>
          <cell r="Q981" t="str">
            <v xml:space="preserve"> </v>
          </cell>
          <cell r="R981"/>
          <cell r="S981"/>
          <cell r="T981" t="str">
            <v>Sin reducción</v>
          </cell>
          <cell r="U981">
            <v>0</v>
          </cell>
          <cell r="V981"/>
          <cell r="W981"/>
          <cell r="X981">
            <v>0</v>
          </cell>
          <cell r="Y981">
            <v>0</v>
          </cell>
          <cell r="Z981">
            <v>0</v>
          </cell>
          <cell r="AA981"/>
          <cell r="AB981" t="str">
            <v>Active - signed</v>
          </cell>
          <cell r="AC981" t="str">
            <v>ACTIVO</v>
          </cell>
          <cell r="AD981"/>
          <cell r="AE981"/>
          <cell r="AF981"/>
          <cell r="AG981"/>
          <cell r="AH981"/>
          <cell r="AI981" t="str">
            <v>74737076W</v>
          </cell>
        </row>
        <row r="982">
          <cell r="A982" t="str">
            <v>48363690A</v>
          </cell>
          <cell r="B982" t="str">
            <v>Rodríguez Herrero</v>
          </cell>
          <cell r="C982" t="str">
            <v>Verónica</v>
          </cell>
          <cell r="D982" t="str">
            <v>Rodríguez Herrero, Verónica</v>
          </cell>
          <cell r="E982" t="str">
            <v>vrodriguez@professor.universidadviu.com</v>
          </cell>
          <cell r="F982" t="str">
            <v>vrodriguez@professor.universidadviu.com</v>
          </cell>
          <cell r="G982" t="str">
            <v>Yes</v>
          </cell>
          <cell r="H982" t="str">
            <v>NO</v>
          </cell>
          <cell r="I982" t="str">
            <v>Biología y Genética</v>
          </cell>
          <cell r="J982" t="str">
            <v>Máster Universitario en Biotecnología y Bioingeniería</v>
          </cell>
          <cell r="K982" t="str">
            <v>Doctorado en Biología experimental y aplicada</v>
          </cell>
          <cell r="L982" t="str">
            <v/>
          </cell>
          <cell r="M982" t="str">
            <v>Labour</v>
          </cell>
          <cell r="N982" t="str">
            <v>Morell Esteve, Pere</v>
          </cell>
          <cell r="O982" t="str">
            <v>CBS</v>
          </cell>
          <cell r="P982">
            <v>12</v>
          </cell>
          <cell r="Q982" t="str">
            <v>12</v>
          </cell>
          <cell r="R982"/>
          <cell r="S982"/>
          <cell r="T982" t="str">
            <v>Sin reducción</v>
          </cell>
          <cell r="U982">
            <v>0</v>
          </cell>
          <cell r="V982"/>
          <cell r="W982"/>
          <cell r="X982">
            <v>0</v>
          </cell>
          <cell r="Y982">
            <v>0</v>
          </cell>
          <cell r="Z982">
            <v>0</v>
          </cell>
          <cell r="AA982"/>
          <cell r="AB982" t="str">
            <v>Active - signed</v>
          </cell>
          <cell r="AC982" t="str">
            <v>NO ACTIVO</v>
          </cell>
          <cell r="AD982"/>
          <cell r="AE982"/>
          <cell r="AF982"/>
          <cell r="AG982" t="str">
            <v>CESE DE CONTRATO</v>
          </cell>
          <cell r="AH982"/>
          <cell r="AI982" t="str">
            <v>48363690A</v>
          </cell>
        </row>
        <row r="983">
          <cell r="A983" t="str">
            <v>32825008Y</v>
          </cell>
          <cell r="B983" t="str">
            <v>Rodríguez Machado</v>
          </cell>
          <cell r="C983" t="str">
            <v>Eduardo Rafael</v>
          </cell>
          <cell r="D983" t="str">
            <v>Rodríguez Machado, Eduardo Rafael</v>
          </cell>
          <cell r="E983" t="str">
            <v>eduardorafael.rodriguez</v>
          </cell>
          <cell r="F983" t="str">
            <v>eduardorafael.rodriguez@professional.universidadviu.com</v>
          </cell>
          <cell r="G983" t="str">
            <v>Yes</v>
          </cell>
          <cell r="H983" t="str">
            <v>Yes</v>
          </cell>
          <cell r="I983" t="str">
            <v>Doctorado en Filosofía y Métodos de Investigación en Educación</v>
          </cell>
          <cell r="J983" t="str">
            <v>Experto en Técnicas de Evauación e Intervención Psicoeducativa en Contextos Escolares y Sociocomunitarios</v>
          </cell>
          <cell r="K983" t="str">
            <v>Licenciado en Psicopedagogía</v>
          </cell>
          <cell r="L983" t="str">
            <v>Maestro Especialidad de Educación Física</v>
          </cell>
          <cell r="M983" t="str">
            <v>Professional</v>
          </cell>
          <cell r="N983"/>
          <cell r="O983" t="str">
            <v>CSS</v>
          </cell>
          <cell r="P983"/>
          <cell r="Q983" t="str">
            <v xml:space="preserve"> </v>
          </cell>
          <cell r="R983"/>
          <cell r="S983"/>
          <cell r="T983" t="str">
            <v>Sin reducción</v>
          </cell>
          <cell r="U983">
            <v>0</v>
          </cell>
          <cell r="V983"/>
          <cell r="W983"/>
          <cell r="X983">
            <v>0</v>
          </cell>
          <cell r="Y983">
            <v>0</v>
          </cell>
          <cell r="Z983">
            <v>0</v>
          </cell>
          <cell r="AA983"/>
          <cell r="AB983" t="str">
            <v>Active - signed</v>
          </cell>
          <cell r="AC983" t="str">
            <v>ACTIVO</v>
          </cell>
          <cell r="AD983"/>
          <cell r="AE983"/>
          <cell r="AF983"/>
          <cell r="AG983"/>
          <cell r="AH983"/>
          <cell r="AI983" t="str">
            <v>32825008Y</v>
          </cell>
        </row>
        <row r="984">
          <cell r="A984" t="str">
            <v>32091923T</v>
          </cell>
          <cell r="B984" t="str">
            <v>Rodríguez Riesco</v>
          </cell>
          <cell r="C984" t="str">
            <v>Lorenzo</v>
          </cell>
          <cell r="D984" t="str">
            <v>Rodríguez Riesco, Lorenzo</v>
          </cell>
          <cell r="E984" t="str">
            <v>lrodriguezr1@professional.universidadviu.com</v>
          </cell>
          <cell r="F984"/>
          <cell r="G984" t="str">
            <v>NO</v>
          </cell>
          <cell r="H984" t="str">
            <v>NO</v>
          </cell>
          <cell r="I984" t="str">
            <v/>
          </cell>
          <cell r="J984" t="str">
            <v/>
          </cell>
          <cell r="K984" t="str">
            <v/>
          </cell>
          <cell r="L984" t="str">
            <v/>
          </cell>
          <cell r="M984" t="str">
            <v>Professional</v>
          </cell>
          <cell r="N984"/>
          <cell r="O984" t="str">
            <v>CSS</v>
          </cell>
          <cell r="P984">
            <v>0</v>
          </cell>
          <cell r="Q984" t="str">
            <v xml:space="preserve"> </v>
          </cell>
          <cell r="R984"/>
          <cell r="S984"/>
          <cell r="T984" t="str">
            <v>Sin reducción</v>
          </cell>
          <cell r="U984">
            <v>0</v>
          </cell>
          <cell r="V984"/>
          <cell r="W984"/>
          <cell r="X984">
            <v>0</v>
          </cell>
          <cell r="Y984">
            <v>0</v>
          </cell>
          <cell r="Z984">
            <v>0</v>
          </cell>
          <cell r="AA984"/>
          <cell r="AB984" t="str">
            <v>Active - signed</v>
          </cell>
          <cell r="AC984" t="str">
            <v>ACTIVO</v>
          </cell>
          <cell r="AD984"/>
          <cell r="AE984"/>
          <cell r="AF984"/>
          <cell r="AG984"/>
          <cell r="AH984"/>
          <cell r="AI984" t="str">
            <v>32091923T</v>
          </cell>
        </row>
        <row r="985">
          <cell r="A985" t="str">
            <v>36171827A</v>
          </cell>
          <cell r="B985" t="str">
            <v>Rodríguez Suárez</v>
          </cell>
          <cell r="C985" t="str">
            <v>Antia</v>
          </cell>
          <cell r="D985" t="str">
            <v>Rodríguez Suárez, Antia</v>
          </cell>
          <cell r="E985" t="str">
            <v>arodriguezs@professional.universidadviu.com</v>
          </cell>
          <cell r="F985" t="str">
            <v>arodriguezs@professional.universidadviu.com</v>
          </cell>
          <cell r="G985" t="str">
            <v>NO</v>
          </cell>
          <cell r="H985" t="str">
            <v>NO</v>
          </cell>
          <cell r="I985" t="str">
            <v>MASTER EN TERAPIA DE CONDUCTA</v>
          </cell>
          <cell r="J985" t="str">
            <v>LICENCIATURA PSICOLOGIA</v>
          </cell>
          <cell r="K985" t="str">
            <v/>
          </cell>
          <cell r="L985" t="str">
            <v/>
          </cell>
          <cell r="M985" t="str">
            <v>Professional</v>
          </cell>
          <cell r="N985" t="str">
            <v/>
          </cell>
          <cell r="O985" t="str">
            <v>CSS</v>
          </cell>
          <cell r="P985">
            <v>0</v>
          </cell>
          <cell r="Q985" t="str">
            <v xml:space="preserve"> </v>
          </cell>
          <cell r="R985"/>
          <cell r="S985"/>
          <cell r="T985" t="str">
            <v>Sin reducción</v>
          </cell>
          <cell r="U985">
            <v>0</v>
          </cell>
          <cell r="V985"/>
          <cell r="W985"/>
          <cell r="X985">
            <v>0</v>
          </cell>
          <cell r="Y985">
            <v>0</v>
          </cell>
          <cell r="Z985">
            <v>0</v>
          </cell>
          <cell r="AA985"/>
          <cell r="AB985" t="str">
            <v>Active - signed</v>
          </cell>
          <cell r="AC985" t="str">
            <v>ACTIVO</v>
          </cell>
          <cell r="AD985"/>
          <cell r="AE985"/>
          <cell r="AF985"/>
          <cell r="AG985"/>
          <cell r="AH985"/>
          <cell r="AI985" t="str">
            <v>36171827A</v>
          </cell>
        </row>
        <row r="986">
          <cell r="A986" t="str">
            <v>22572230F</v>
          </cell>
          <cell r="B986" t="str">
            <v>Rodríguez Valenzuela</v>
          </cell>
          <cell r="C986" t="str">
            <v>María del Valle</v>
          </cell>
          <cell r="D986" t="str">
            <v>Rodríguez Valenzuela, María del Valle</v>
          </cell>
          <cell r="E986" t="str">
            <v>mrodriguezv@professor.universidadviu.com</v>
          </cell>
          <cell r="F986" t="str">
            <v>mrodriguezv@professor.universidadviu.com</v>
          </cell>
          <cell r="G986" t="str">
            <v>Yes</v>
          </cell>
          <cell r="H986" t="str">
            <v>NO</v>
          </cell>
          <cell r="I986" t="str">
            <v>PARTICIPACION Y SATISFACCIÓN VITAL DE PERSONAS CON DISCAPACIDAD FÍSICA QUE VIVEN EN RESIDENCIAS</v>
          </cell>
          <cell r="J986" t="str">
            <v>Máster Universitario en Atención Sociosanitaria a la Dependencia</v>
          </cell>
          <cell r="K986" t="str">
            <v>GRADO EN TRABAJO SOCIAL</v>
          </cell>
          <cell r="L986" t="str">
            <v/>
          </cell>
          <cell r="M986" t="str">
            <v>Labour</v>
          </cell>
          <cell r="N986" t="str">
            <v>Mesas Fernández, Javier</v>
          </cell>
          <cell r="O986" t="str">
            <v>CSS</v>
          </cell>
          <cell r="P986">
            <v>12</v>
          </cell>
          <cell r="Q986" t="str">
            <v>12</v>
          </cell>
          <cell r="R986"/>
          <cell r="S986"/>
          <cell r="T986" t="str">
            <v>Sin reducción</v>
          </cell>
          <cell r="U986">
            <v>0</v>
          </cell>
          <cell r="V986"/>
          <cell r="W986"/>
          <cell r="X986">
            <v>0</v>
          </cell>
          <cell r="Y986">
            <v>0</v>
          </cell>
          <cell r="Z986">
            <v>11.8</v>
          </cell>
          <cell r="AA986"/>
          <cell r="AB986" t="str">
            <v>Active - signed</v>
          </cell>
          <cell r="AC986" t="str">
            <v>ACTIVO</v>
          </cell>
          <cell r="AD986"/>
          <cell r="AE986"/>
          <cell r="AF986"/>
          <cell r="AG986"/>
          <cell r="AH986"/>
          <cell r="AI986" t="str">
            <v>22572230F</v>
          </cell>
        </row>
        <row r="987">
          <cell r="A987" t="str">
            <v>Y8682788A</v>
          </cell>
          <cell r="B987" t="str">
            <v>Rojas Vistorte</v>
          </cell>
          <cell r="C987" t="str">
            <v>Ángel Olider</v>
          </cell>
          <cell r="D987" t="str">
            <v>Rojas Vistorte, Ángel Olider</v>
          </cell>
          <cell r="E987" t="str">
            <v>angelolider.rojas0@professional.universidadviu.com</v>
          </cell>
          <cell r="F987" t="str">
            <v>angelolider.rojas@professional.universidadviu.com</v>
          </cell>
          <cell r="G987" t="str">
            <v>Yes</v>
          </cell>
          <cell r="H987" t="str">
            <v>Yes</v>
          </cell>
          <cell r="I987" t="str">
            <v>Doctor en Psiquiatría y Psicología Médica</v>
          </cell>
          <cell r="J987" t="str">
            <v>Máster en Psicología Clínica</v>
          </cell>
          <cell r="K987" t="str">
            <v>Licenciado en Psicología</v>
          </cell>
          <cell r="L987" t="str">
            <v>Psiquiatría y Psicología Médica</v>
          </cell>
          <cell r="M987" t="str">
            <v>Professional</v>
          </cell>
          <cell r="N987"/>
          <cell r="O987" t="str">
            <v>CSS</v>
          </cell>
          <cell r="P987"/>
          <cell r="Q987" t="str">
            <v xml:space="preserve"> </v>
          </cell>
          <cell r="R987"/>
          <cell r="S987"/>
          <cell r="T987" t="str">
            <v>Sin reducción</v>
          </cell>
          <cell r="U987">
            <v>0</v>
          </cell>
          <cell r="V987"/>
          <cell r="W987"/>
          <cell r="X987">
            <v>0</v>
          </cell>
          <cell r="Y987">
            <v>0</v>
          </cell>
          <cell r="Z987">
            <v>0</v>
          </cell>
          <cell r="AA987"/>
          <cell r="AB987" t="str">
            <v>Active - signed</v>
          </cell>
          <cell r="AC987" t="str">
            <v>ACTIVO</v>
          </cell>
          <cell r="AD987"/>
          <cell r="AE987"/>
          <cell r="AF987"/>
          <cell r="AG987"/>
          <cell r="AH987"/>
          <cell r="AI987" t="str">
            <v>Y8682788A</v>
          </cell>
        </row>
        <row r="988">
          <cell r="A988" t="str">
            <v>39453967C</v>
          </cell>
          <cell r="B988" t="str">
            <v>Rolán González</v>
          </cell>
          <cell r="C988" t="str">
            <v>Katia</v>
          </cell>
          <cell r="D988" t="str">
            <v>Rolán González, Katia</v>
          </cell>
          <cell r="E988" t="str">
            <v>katia.rolan</v>
          </cell>
          <cell r="F988" t="str">
            <v>katia.rolan@professional.universidadviu.com</v>
          </cell>
          <cell r="G988" t="str">
            <v>Yes</v>
          </cell>
          <cell r="H988" t="str">
            <v>Yes</v>
          </cell>
          <cell r="I988" t="str">
            <v>Master universitario en psicologia del trabajo y de las organizaciones, psicologia jurídica-forense e intervención social</v>
          </cell>
          <cell r="J988" t="str">
            <v>Licenciatura en Psicología</v>
          </cell>
          <cell r="K988" t="str">
            <v>Doctorado en gestión y resolución de conflictos</v>
          </cell>
          <cell r="L988" t="str">
            <v/>
          </cell>
          <cell r="M988" t="str">
            <v>Professional</v>
          </cell>
          <cell r="N988" t="str">
            <v/>
          </cell>
          <cell r="O988" t="str">
            <v>CSS</v>
          </cell>
          <cell r="P988">
            <v>0</v>
          </cell>
          <cell r="Q988" t="str">
            <v xml:space="preserve"> </v>
          </cell>
          <cell r="R988"/>
          <cell r="S988"/>
          <cell r="T988" t="str">
            <v>Sin reducción</v>
          </cell>
          <cell r="U988">
            <v>0</v>
          </cell>
          <cell r="V988"/>
          <cell r="W988"/>
          <cell r="X988">
            <v>0</v>
          </cell>
          <cell r="Y988">
            <v>0</v>
          </cell>
          <cell r="Z988">
            <v>0</v>
          </cell>
          <cell r="AA988"/>
          <cell r="AB988" t="str">
            <v>Active - signed</v>
          </cell>
          <cell r="AC988" t="str">
            <v>ACTIVO</v>
          </cell>
          <cell r="AD988"/>
          <cell r="AE988"/>
          <cell r="AF988"/>
          <cell r="AG988"/>
          <cell r="AH988"/>
          <cell r="AI988" t="str">
            <v>39453967C</v>
          </cell>
        </row>
        <row r="989">
          <cell r="A989" t="str">
            <v>53883496Q</v>
          </cell>
          <cell r="B989" t="str">
            <v>Roldán Pardo</v>
          </cell>
          <cell r="C989" t="str">
            <v>Manuel</v>
          </cell>
          <cell r="D989" t="str">
            <v>Roldán Pardo, Manuel</v>
          </cell>
          <cell r="E989" t="str">
            <v>manuel.roldan.p</v>
          </cell>
          <cell r="F989" t="str">
            <v>manuel.roldan.p@professional.universidadviu.com</v>
          </cell>
          <cell r="G989" t="str">
            <v>Yes</v>
          </cell>
          <cell r="H989" t="str">
            <v>NO</v>
          </cell>
          <cell r="I989" t="str">
            <v/>
          </cell>
          <cell r="J989" t="str">
            <v/>
          </cell>
          <cell r="K989" t="str">
            <v/>
          </cell>
          <cell r="L989" t="str">
            <v/>
          </cell>
          <cell r="M989" t="str">
            <v>Professional</v>
          </cell>
          <cell r="N989" t="str">
            <v/>
          </cell>
          <cell r="O989" t="str">
            <v>CSS</v>
          </cell>
          <cell r="P989">
            <v>0</v>
          </cell>
          <cell r="Q989" t="str">
            <v xml:space="preserve"> </v>
          </cell>
          <cell r="R989"/>
          <cell r="S989"/>
          <cell r="T989" t="str">
            <v>Sin reducción</v>
          </cell>
          <cell r="U989">
            <v>0</v>
          </cell>
          <cell r="V989"/>
          <cell r="W989"/>
          <cell r="X989">
            <v>0</v>
          </cell>
          <cell r="Y989">
            <v>0</v>
          </cell>
          <cell r="Z989">
            <v>0</v>
          </cell>
          <cell r="AA989"/>
          <cell r="AB989" t="str">
            <v>Active - signed</v>
          </cell>
          <cell r="AC989" t="str">
            <v>ACTIVO</v>
          </cell>
          <cell r="AD989"/>
          <cell r="AE989"/>
          <cell r="AF989"/>
          <cell r="AG989"/>
          <cell r="AH989"/>
          <cell r="AI989" t="str">
            <v>53883496Q</v>
          </cell>
        </row>
        <row r="990">
          <cell r="A990" t="str">
            <v>22630276R</v>
          </cell>
          <cell r="B990" t="str">
            <v>Rollán García</v>
          </cell>
          <cell r="C990" t="str">
            <v>Pedro</v>
          </cell>
          <cell r="D990" t="str">
            <v>Rollán García, Pedro</v>
          </cell>
          <cell r="E990" t="str">
            <v>pedro.rollan</v>
          </cell>
          <cell r="F990" t="str">
            <v>pedro.rollan@professor.universidadviu.com</v>
          </cell>
          <cell r="G990" t="str">
            <v>NO</v>
          </cell>
          <cell r="H990" t="str">
            <v>NO</v>
          </cell>
          <cell r="I990" t="str">
            <v>Medicina</v>
          </cell>
          <cell r="J990" t="str">
            <v>Medico Especialista en cardiologia</v>
          </cell>
          <cell r="K990" t="str">
            <v>Master Universitario en Gestión Sanitaria</v>
          </cell>
          <cell r="L990" t="str">
            <v>licenciado en Medicina y Cirugia</v>
          </cell>
          <cell r="M990" t="str">
            <v>Labour</v>
          </cell>
          <cell r="N990" t="str">
            <v>García Tejedor, Aurora</v>
          </cell>
          <cell r="O990" t="str">
            <v>CBS</v>
          </cell>
          <cell r="P990">
            <v>100</v>
          </cell>
          <cell r="Q990" t="str">
            <v>50</v>
          </cell>
          <cell r="R990"/>
          <cell r="S990"/>
          <cell r="T990" t="str">
            <v>Director/a experto/a</v>
          </cell>
          <cell r="U990">
            <v>26</v>
          </cell>
          <cell r="V990"/>
          <cell r="W990"/>
          <cell r="X990">
            <v>0</v>
          </cell>
          <cell r="Y990">
            <v>0</v>
          </cell>
          <cell r="Z990">
            <v>0</v>
          </cell>
          <cell r="AA990"/>
          <cell r="AB990" t="str">
            <v>Concluded</v>
          </cell>
          <cell r="AC990" t="str">
            <v>ACTIVO</v>
          </cell>
          <cell r="AD990">
            <v>45705</v>
          </cell>
          <cell r="AE990">
            <v>46070</v>
          </cell>
          <cell r="AF990"/>
          <cell r="AG990" t="str">
            <v>EXCEDENCIA</v>
          </cell>
          <cell r="AH990"/>
          <cell r="AI990" t="str">
            <v>22630276R</v>
          </cell>
        </row>
        <row r="991">
          <cell r="A991">
            <v>22736489</v>
          </cell>
          <cell r="B991" t="str">
            <v>Romero Acosta</v>
          </cell>
          <cell r="C991" t="str">
            <v>Kelly Carolina</v>
          </cell>
          <cell r="D991" t="str">
            <v>Romero Acosta, Kelly Carolina</v>
          </cell>
          <cell r="E991" t="str">
            <v>kellycarolina.romero</v>
          </cell>
          <cell r="F991" t="str">
            <v>kellycarolina.romero@professional.universidadviu.com</v>
          </cell>
          <cell r="G991" t="str">
            <v>Yes</v>
          </cell>
          <cell r="H991" t="str">
            <v>NO</v>
          </cell>
          <cell r="I991" t="str">
            <v>Psicología</v>
          </cell>
          <cell r="J991" t="str">
            <v>Psicopatología de niños, adolescentes y adultos</v>
          </cell>
          <cell r="K991" t="str">
            <v>Psicopatología de niños, adolescentes y adultos</v>
          </cell>
          <cell r="L991" t="str">
            <v>Maestría en psicología clínica infanto-juvenil</v>
          </cell>
          <cell r="M991" t="str">
            <v>Professional</v>
          </cell>
          <cell r="N991" t="str">
            <v/>
          </cell>
          <cell r="O991" t="str">
            <v>CSS</v>
          </cell>
          <cell r="P991">
            <v>0</v>
          </cell>
          <cell r="Q991" t="str">
            <v xml:space="preserve"> </v>
          </cell>
          <cell r="R991"/>
          <cell r="S991"/>
          <cell r="T991" t="str">
            <v>Sin reducción</v>
          </cell>
          <cell r="U991">
            <v>0</v>
          </cell>
          <cell r="V991"/>
          <cell r="W991"/>
          <cell r="X991">
            <v>0</v>
          </cell>
          <cell r="Y991">
            <v>0</v>
          </cell>
          <cell r="Z991">
            <v>0</v>
          </cell>
          <cell r="AA991"/>
          <cell r="AB991" t="str">
            <v>Active - signed</v>
          </cell>
          <cell r="AC991" t="str">
            <v>ACTIVO</v>
          </cell>
          <cell r="AD991"/>
          <cell r="AE991"/>
          <cell r="AF991"/>
          <cell r="AG991"/>
          <cell r="AH991"/>
          <cell r="AI991">
            <v>22736489</v>
          </cell>
        </row>
        <row r="992">
          <cell r="A992" t="str">
            <v>74518241N</v>
          </cell>
          <cell r="B992" t="str">
            <v>Romero Cuadrado</v>
          </cell>
          <cell r="C992" t="str">
            <v>Antonia Maria</v>
          </cell>
          <cell r="D992" t="str">
            <v>Romero Cuadrado, Antonia Maria</v>
          </cell>
          <cell r="E992" t="str">
            <v>antoniamaria.romero</v>
          </cell>
          <cell r="F992" t="str">
            <v>antoniamaria.romero@professional.universidadviu.com</v>
          </cell>
          <cell r="G992" t="str">
            <v>Yes</v>
          </cell>
          <cell r="H992" t="str">
            <v>NO</v>
          </cell>
          <cell r="I992" t="str">
            <v>Biología y Genética</v>
          </cell>
          <cell r="J992" t="str">
            <v>Programa Doctorado en Biomedicina y Biotecnología</v>
          </cell>
          <cell r="K992" t="str">
            <v>Máster en Investigación en Biología Molecular, Celular y Genética</v>
          </cell>
          <cell r="L992" t="str">
            <v/>
          </cell>
          <cell r="M992" t="str">
            <v>Professional</v>
          </cell>
          <cell r="N992" t="str">
            <v/>
          </cell>
          <cell r="O992" t="str">
            <v>CBS</v>
          </cell>
          <cell r="P992">
            <v>0</v>
          </cell>
          <cell r="Q992" t="str">
            <v xml:space="preserve"> </v>
          </cell>
          <cell r="R992"/>
          <cell r="S992"/>
          <cell r="T992" t="str">
            <v>Sin reducción</v>
          </cell>
          <cell r="U992">
            <v>0</v>
          </cell>
          <cell r="V992"/>
          <cell r="W992"/>
          <cell r="X992">
            <v>0</v>
          </cell>
          <cell r="Y992">
            <v>0</v>
          </cell>
          <cell r="Z992">
            <v>0</v>
          </cell>
          <cell r="AA992"/>
          <cell r="AB992" t="str">
            <v>Active - signed</v>
          </cell>
          <cell r="AC992" t="str">
            <v>ACTIVO</v>
          </cell>
          <cell r="AD992"/>
          <cell r="AE992"/>
          <cell r="AF992"/>
          <cell r="AG992"/>
          <cell r="AH992"/>
          <cell r="AI992" t="str">
            <v>74518241N</v>
          </cell>
        </row>
        <row r="993">
          <cell r="A993" t="str">
            <v>75171490S</v>
          </cell>
          <cell r="B993" t="str">
            <v>Romero González</v>
          </cell>
          <cell r="C993" t="str">
            <v>Borja</v>
          </cell>
          <cell r="D993" t="str">
            <v>Romero González, Borja</v>
          </cell>
          <cell r="E993" t="str">
            <v>bromerog@professional.universidadviu.com</v>
          </cell>
          <cell r="F993" t="str">
            <v>bromerog@professional.universidadviu.com</v>
          </cell>
          <cell r="G993" t="str">
            <v>Yes</v>
          </cell>
          <cell r="H993" t="str">
            <v>Yes</v>
          </cell>
          <cell r="I993" t="str">
            <v>Doctorado en Psicología</v>
          </cell>
          <cell r="J993" t="str">
            <v>MÁSTER EN PSICOLOGÍA GENERAL SANITARIA</v>
          </cell>
          <cell r="K993" t="str">
            <v>GRADO EN PSICOLOGÍA</v>
          </cell>
          <cell r="L993" t="str">
            <v/>
          </cell>
          <cell r="M993" t="str">
            <v>Professional</v>
          </cell>
          <cell r="N993"/>
          <cell r="O993" t="str">
            <v>CSS</v>
          </cell>
          <cell r="P993"/>
          <cell r="Q993" t="str">
            <v xml:space="preserve"> </v>
          </cell>
          <cell r="R993"/>
          <cell r="S993"/>
          <cell r="T993" t="str">
            <v>Sin reducción</v>
          </cell>
          <cell r="U993">
            <v>0</v>
          </cell>
          <cell r="V993"/>
          <cell r="W993"/>
          <cell r="X993">
            <v>0</v>
          </cell>
          <cell r="Y993">
            <v>0</v>
          </cell>
          <cell r="Z993">
            <v>0</v>
          </cell>
          <cell r="AA993"/>
          <cell r="AB993" t="str">
            <v>Active - signed</v>
          </cell>
          <cell r="AC993" t="str">
            <v>ACTIVO</v>
          </cell>
          <cell r="AD993"/>
          <cell r="AE993"/>
          <cell r="AF993"/>
          <cell r="AG993"/>
          <cell r="AH993"/>
          <cell r="AI993" t="str">
            <v>75171490S</v>
          </cell>
        </row>
        <row r="994">
          <cell r="A994" t="str">
            <v>35448928V</v>
          </cell>
          <cell r="B994" t="str">
            <v>Romero Lorenzo</v>
          </cell>
          <cell r="C994" t="str">
            <v>Juan Manuel</v>
          </cell>
          <cell r="D994" t="str">
            <v>Romero Lorenzo, Juan Manuel</v>
          </cell>
          <cell r="E994" t="str">
            <v>jromerol@professional.universidadviu.com</v>
          </cell>
          <cell r="F994" t="str">
            <v>jromerol@professional.universidadviu.com</v>
          </cell>
          <cell r="G994" t="str">
            <v>Yes</v>
          </cell>
          <cell r="H994" t="str">
            <v>NO</v>
          </cell>
          <cell r="I994" t="str">
            <v>Máster Universitario en Metodología de las Ciencias del Comportamiento y de la Salud</v>
          </cell>
          <cell r="J994" t="str">
            <v>Licenciatura en Psicología</v>
          </cell>
          <cell r="K994" t="str">
            <v>Licenciatura en Psicología</v>
          </cell>
          <cell r="L994" t="str">
            <v/>
          </cell>
          <cell r="M994" t="str">
            <v>Professional</v>
          </cell>
          <cell r="N994" t="str">
            <v/>
          </cell>
          <cell r="O994" t="str">
            <v>CSS</v>
          </cell>
          <cell r="P994">
            <v>0</v>
          </cell>
          <cell r="Q994" t="str">
            <v xml:space="preserve"> </v>
          </cell>
          <cell r="R994"/>
          <cell r="S994"/>
          <cell r="T994" t="str">
            <v>Sin reducción</v>
          </cell>
          <cell r="U994">
            <v>0</v>
          </cell>
          <cell r="V994"/>
          <cell r="W994"/>
          <cell r="X994">
            <v>0</v>
          </cell>
          <cell r="Y994">
            <v>0</v>
          </cell>
          <cell r="Z994">
            <v>0</v>
          </cell>
          <cell r="AA994"/>
          <cell r="AB994" t="str">
            <v>Active - signed</v>
          </cell>
          <cell r="AC994" t="str">
            <v>ACTIVO</v>
          </cell>
          <cell r="AD994"/>
          <cell r="AE994"/>
          <cell r="AF994"/>
          <cell r="AG994"/>
          <cell r="AH994"/>
          <cell r="AI994" t="str">
            <v>35448928V</v>
          </cell>
        </row>
        <row r="995">
          <cell r="A995" t="str">
            <v>73572645S</v>
          </cell>
          <cell r="B995" t="str">
            <v>Rosaleny Castell</v>
          </cell>
          <cell r="C995" t="str">
            <v>Ramón</v>
          </cell>
          <cell r="D995" t="str">
            <v>Rosaleny Castell, Ramón</v>
          </cell>
          <cell r="E995" t="str">
            <v>ramon.rosaleny</v>
          </cell>
          <cell r="F995" t="str">
            <v>ramon.rosaleny@professor.universidadviu.com</v>
          </cell>
          <cell r="G995" t="str">
            <v>Yes</v>
          </cell>
          <cell r="H995" t="str">
            <v>NO</v>
          </cell>
          <cell r="I995" t="str">
            <v>Programa de Doctorado en Ciencias Sociales</v>
          </cell>
          <cell r="J995" t="str">
            <v>Programa de Doctorado en Ciencias Sociales</v>
          </cell>
          <cell r="K995" t="str">
            <v>Máster Universitario en Bienestar social: Intervención Individual, Familiar y de Grupo</v>
          </cell>
          <cell r="L995" t="str">
            <v>Diplomado en Trabajo Social</v>
          </cell>
          <cell r="M995" t="str">
            <v>Labour</v>
          </cell>
          <cell r="N995"/>
          <cell r="O995" t="str">
            <v>CSS</v>
          </cell>
          <cell r="P995" t="str">
            <v>12,00</v>
          </cell>
          <cell r="Q995" t="b">
            <v>0</v>
          </cell>
          <cell r="R995"/>
          <cell r="S995"/>
          <cell r="T995" t="str">
            <v>Sin reducción</v>
          </cell>
          <cell r="U995">
            <v>0</v>
          </cell>
          <cell r="V995"/>
          <cell r="W995"/>
          <cell r="X995">
            <v>0</v>
          </cell>
          <cell r="Y995">
            <v>0</v>
          </cell>
          <cell r="Z995">
            <v>0</v>
          </cell>
          <cell r="AA995"/>
          <cell r="AB995" t="str">
            <v>Concluded</v>
          </cell>
          <cell r="AC995" t="str">
            <v>NO ACTIVO</v>
          </cell>
          <cell r="AD995">
            <v>45785</v>
          </cell>
          <cell r="AE995"/>
          <cell r="AF995">
            <v>45807</v>
          </cell>
          <cell r="AG995" t="str">
            <v>CESE DE CONTRATO</v>
          </cell>
          <cell r="AH995"/>
          <cell r="AI995" t="str">
            <v>73572645S</v>
          </cell>
        </row>
        <row r="996">
          <cell r="A996" t="str">
            <v>G30901334</v>
          </cell>
          <cell r="B996" t="str">
            <v>Rosas García</v>
          </cell>
          <cell r="C996" t="str">
            <v>María Daniela</v>
          </cell>
          <cell r="D996" t="str">
            <v>Rosas García, María Daniela</v>
          </cell>
          <cell r="E996" t="str">
            <v>mariadaniela.rosas</v>
          </cell>
          <cell r="F996" t="str">
            <v>mariadaniela.rosas@professional.universidadviu.com</v>
          </cell>
          <cell r="G996" t="str">
            <v>NO</v>
          </cell>
          <cell r="H996" t="str">
            <v>NO</v>
          </cell>
          <cell r="I996" t="str">
            <v>Psicología</v>
          </cell>
          <cell r="J996" t="str">
            <v>Programa Doctorado en Ciencias de la Salud Pública</v>
          </cell>
          <cell r="K996" t="str">
            <v/>
          </cell>
          <cell r="L996" t="str">
            <v/>
          </cell>
          <cell r="M996" t="str">
            <v>Professional</v>
          </cell>
          <cell r="N996" t="str">
            <v/>
          </cell>
          <cell r="O996" t="str">
            <v>CSS</v>
          </cell>
          <cell r="P996">
            <v>0</v>
          </cell>
          <cell r="Q996" t="str">
            <v xml:space="preserve"> </v>
          </cell>
          <cell r="R996"/>
          <cell r="S996"/>
          <cell r="T996" t="str">
            <v>Sin reducción</v>
          </cell>
          <cell r="U996">
            <v>0</v>
          </cell>
          <cell r="V996"/>
          <cell r="W996"/>
          <cell r="X996">
            <v>0</v>
          </cell>
          <cell r="Y996">
            <v>0</v>
          </cell>
          <cell r="Z996">
            <v>0</v>
          </cell>
          <cell r="AA996"/>
          <cell r="AB996" t="str">
            <v>Active - signed</v>
          </cell>
          <cell r="AC996" t="str">
            <v>ACTIVO</v>
          </cell>
          <cell r="AD996"/>
          <cell r="AE996"/>
          <cell r="AF996"/>
          <cell r="AG996"/>
          <cell r="AH996"/>
          <cell r="AI996" t="str">
            <v>G30901334</v>
          </cell>
        </row>
        <row r="997">
          <cell r="A997" t="str">
            <v>ROTE6712208B1</v>
          </cell>
          <cell r="B997" t="str">
            <v>Rosas Tapia</v>
          </cell>
          <cell r="C997" t="str">
            <v>María Elizabeth</v>
          </cell>
          <cell r="D997" t="str">
            <v>Rosas Tapia, María Elizabeth</v>
          </cell>
          <cell r="E997" t="str">
            <v>mrosast@professional.universidadviu.com</v>
          </cell>
          <cell r="F997" t="str">
            <v>mrosast@professional.universidadviu.com</v>
          </cell>
          <cell r="G997" t="str">
            <v>Yes</v>
          </cell>
          <cell r="H997" t="str">
            <v>NO</v>
          </cell>
          <cell r="I997" t="str">
            <v/>
          </cell>
          <cell r="J997" t="str">
            <v/>
          </cell>
          <cell r="K997" t="str">
            <v/>
          </cell>
          <cell r="L997" t="str">
            <v/>
          </cell>
          <cell r="M997" t="str">
            <v>Professional</v>
          </cell>
          <cell r="N997"/>
          <cell r="O997" t="str">
            <v>CSS</v>
          </cell>
          <cell r="P997">
            <v>0</v>
          </cell>
          <cell r="Q997" t="str">
            <v xml:space="preserve"> </v>
          </cell>
          <cell r="R997"/>
          <cell r="S997"/>
          <cell r="T997" t="str">
            <v>Sin reducción</v>
          </cell>
          <cell r="U997">
            <v>0</v>
          </cell>
          <cell r="V997"/>
          <cell r="W997"/>
          <cell r="X997">
            <v>0</v>
          </cell>
          <cell r="Y997">
            <v>0</v>
          </cell>
          <cell r="Z997">
            <v>0</v>
          </cell>
          <cell r="AA997"/>
          <cell r="AB997" t="str">
            <v>Active - signed</v>
          </cell>
          <cell r="AC997" t="str">
            <v>ACTIVO</v>
          </cell>
          <cell r="AD997"/>
          <cell r="AE997"/>
          <cell r="AF997"/>
          <cell r="AG997"/>
          <cell r="AH997"/>
          <cell r="AI997" t="str">
            <v>ROTE6712208B1</v>
          </cell>
        </row>
        <row r="998">
          <cell r="A998" t="str">
            <v>71027597D</v>
          </cell>
          <cell r="B998" t="str">
            <v>Rosón Burgo</v>
          </cell>
          <cell r="C998" t="str">
            <v>Beatriz</v>
          </cell>
          <cell r="D998" t="str">
            <v>Rosón Burgo, Beatriz</v>
          </cell>
          <cell r="E998" t="str">
            <v>beatriz.roson</v>
          </cell>
          <cell r="F998" t="str">
            <v>beatriz.roson@professional.universidadviu.com</v>
          </cell>
          <cell r="G998" t="str">
            <v>Yes</v>
          </cell>
          <cell r="H998" t="str">
            <v>NO</v>
          </cell>
          <cell r="I998" t="str">
            <v>Biología y Genética</v>
          </cell>
          <cell r="J998" t="str">
            <v>Doctorado en Biología y Clínica del Cáncer</v>
          </cell>
          <cell r="K998" t="str">
            <v>Licenciada en Biología</v>
          </cell>
          <cell r="L998" t="str">
            <v/>
          </cell>
          <cell r="M998" t="str">
            <v>Professional</v>
          </cell>
          <cell r="N998" t="str">
            <v/>
          </cell>
          <cell r="O998" t="str">
            <v>CBS</v>
          </cell>
          <cell r="P998">
            <v>0</v>
          </cell>
          <cell r="Q998" t="str">
            <v xml:space="preserve"> </v>
          </cell>
          <cell r="R998"/>
          <cell r="S998"/>
          <cell r="T998" t="str">
            <v>Sin reducción</v>
          </cell>
          <cell r="U998">
            <v>0</v>
          </cell>
          <cell r="V998"/>
          <cell r="W998"/>
          <cell r="X998">
            <v>0</v>
          </cell>
          <cell r="Y998">
            <v>0</v>
          </cell>
          <cell r="Z998">
            <v>0</v>
          </cell>
          <cell r="AA998"/>
          <cell r="AB998" t="str">
            <v>Active - signed</v>
          </cell>
          <cell r="AC998" t="str">
            <v>ACTIVO</v>
          </cell>
          <cell r="AD998"/>
          <cell r="AE998"/>
          <cell r="AF998"/>
          <cell r="AG998"/>
          <cell r="AH998"/>
          <cell r="AI998" t="str">
            <v>71027597D</v>
          </cell>
        </row>
        <row r="999">
          <cell r="A999" t="str">
            <v>74718506Q</v>
          </cell>
          <cell r="B999" t="str">
            <v>Rubiño Díaz</v>
          </cell>
          <cell r="C999" t="str">
            <v>José Ángel</v>
          </cell>
          <cell r="D999" t="str">
            <v>Rubiño Díaz, José Ángel</v>
          </cell>
          <cell r="E999" t="str">
            <v>joseangel.rubino</v>
          </cell>
          <cell r="F999" t="str">
            <v>joseangel.rubino@professional.universidadviu.com</v>
          </cell>
          <cell r="G999" t="str">
            <v>Yes</v>
          </cell>
          <cell r="H999" t="str">
            <v>Yes</v>
          </cell>
          <cell r="I999" t="str">
            <v>Doctorado en Neurociencias</v>
          </cell>
          <cell r="J999" t="str">
            <v>DIPLOMADO EN ENFERMERÍA</v>
          </cell>
          <cell r="K999" t="str">
            <v>LICENCIADO GRADO EN PSICOLOGÍA</v>
          </cell>
          <cell r="L999" t="str">
            <v/>
          </cell>
          <cell r="M999" t="str">
            <v>Labour</v>
          </cell>
          <cell r="N999" t="str">
            <v>Mariana Elena Cairos</v>
          </cell>
          <cell r="O999" t="str">
            <v>CSS</v>
          </cell>
          <cell r="P999">
            <v>15</v>
          </cell>
          <cell r="Q999" t="str">
            <v>15</v>
          </cell>
          <cell r="R999" t="str">
            <v>Laboralización marzo</v>
          </cell>
          <cell r="S999"/>
          <cell r="T999" t="str">
            <v>Sin reducción</v>
          </cell>
          <cell r="U999">
            <v>0</v>
          </cell>
          <cell r="V999"/>
          <cell r="W999"/>
          <cell r="X999">
            <v>16</v>
          </cell>
          <cell r="Y999">
            <v>0</v>
          </cell>
          <cell r="Z999">
            <v>4.8999999999999986</v>
          </cell>
          <cell r="AA999"/>
          <cell r="AB999" t="str">
            <v>Active - signed</v>
          </cell>
          <cell r="AC999" t="str">
            <v>ACTIVO</v>
          </cell>
          <cell r="AD999"/>
          <cell r="AE999"/>
          <cell r="AF999"/>
          <cell r="AG999"/>
          <cell r="AH999" t="str">
            <v>PTE. LABORALIZACIÓN/ PROPUESTA LABORAL</v>
          </cell>
          <cell r="AI999" t="str">
            <v>74718506Q</v>
          </cell>
        </row>
        <row r="1000">
          <cell r="A1000" t="str">
            <v>X2946039S</v>
          </cell>
          <cell r="B1000" t="str">
            <v>Rubinstein Agunin</v>
          </cell>
          <cell r="C1000" t="str">
            <v>Adrienne Karina</v>
          </cell>
          <cell r="D1000" t="str">
            <v>Rubinstein Agunin, Adrienne Karina</v>
          </cell>
          <cell r="E1000" t="str">
            <v>arubinsteina@professional.universidadviu.com</v>
          </cell>
          <cell r="F1000" t="str">
            <v>arubinsteina@professional.universidadviu.com</v>
          </cell>
          <cell r="G1000" t="str">
            <v>NO</v>
          </cell>
          <cell r="H1000" t="str">
            <v>NO</v>
          </cell>
          <cell r="I1000" t="str">
            <v>Master universitario en Psicoterapia Individual y de Grupo</v>
          </cell>
          <cell r="J1000" t="str">
            <v>Licenciatura en Psicología</v>
          </cell>
          <cell r="K1000" t="str">
            <v/>
          </cell>
          <cell r="L1000" t="str">
            <v/>
          </cell>
          <cell r="M1000" t="str">
            <v>Professional</v>
          </cell>
          <cell r="N1000" t="str">
            <v/>
          </cell>
          <cell r="O1000" t="str">
            <v>CSS</v>
          </cell>
          <cell r="P1000">
            <v>0</v>
          </cell>
          <cell r="Q1000" t="str">
            <v xml:space="preserve"> </v>
          </cell>
          <cell r="R1000"/>
          <cell r="S1000"/>
          <cell r="T1000" t="str">
            <v>Sin reducción</v>
          </cell>
          <cell r="U1000">
            <v>0</v>
          </cell>
          <cell r="V1000"/>
          <cell r="W1000"/>
          <cell r="X1000">
            <v>0</v>
          </cell>
          <cell r="Y1000">
            <v>0</v>
          </cell>
          <cell r="Z1000">
            <v>0</v>
          </cell>
          <cell r="AA1000"/>
          <cell r="AB1000" t="str">
            <v>Concluded</v>
          </cell>
          <cell r="AC1000" t="str">
            <v>NO ACTIVO</v>
          </cell>
          <cell r="AD1000"/>
          <cell r="AE1000"/>
          <cell r="AF1000"/>
          <cell r="AG1000" t="str">
            <v>CESE DE CONTRATO</v>
          </cell>
          <cell r="AH1000"/>
          <cell r="AI1000" t="str">
            <v>X2946039S</v>
          </cell>
        </row>
        <row r="1001">
          <cell r="A1001" t="str">
            <v>53208813S</v>
          </cell>
          <cell r="B1001" t="str">
            <v>Rubió Alguacil</v>
          </cell>
          <cell r="C1001" t="str">
            <v>Francesca</v>
          </cell>
          <cell r="D1001" t="str">
            <v>Rubió Alguacil, Francesca</v>
          </cell>
          <cell r="E1001" t="str">
            <v>francesca.rubio</v>
          </cell>
          <cell r="F1001" t="str">
            <v>francesca.rubio@professor.universidadviu.com</v>
          </cell>
          <cell r="G1001" t="str">
            <v>Yes</v>
          </cell>
          <cell r="H1001" t="str">
            <v>NO</v>
          </cell>
          <cell r="I1001" t="str">
            <v>Programa Oficial de Doctorado en Psicología de la Salud</v>
          </cell>
          <cell r="J1001" t="str">
            <v>Programa Oficial de Doctorado en Psicología de la Salud</v>
          </cell>
          <cell r="K1001" t="str">
            <v>Licenciada psicología</v>
          </cell>
          <cell r="L1001" t="str">
            <v/>
          </cell>
          <cell r="M1001" t="str">
            <v>Labour</v>
          </cell>
          <cell r="N1001" t="str">
            <v>Hernández Saguar, Aida Esther</v>
          </cell>
          <cell r="O1001" t="str">
            <v>CSS</v>
          </cell>
          <cell r="P1001">
            <v>100</v>
          </cell>
          <cell r="Q1001" t="str">
            <v>50</v>
          </cell>
          <cell r="R1001"/>
          <cell r="S1001"/>
          <cell r="T1001" t="str">
            <v>Sin reducción</v>
          </cell>
          <cell r="U1001">
            <v>0</v>
          </cell>
          <cell r="V1001"/>
          <cell r="W1001"/>
          <cell r="X1001">
            <v>46</v>
          </cell>
          <cell r="Y1001">
            <v>0</v>
          </cell>
          <cell r="Z1001">
            <v>0</v>
          </cell>
          <cell r="AA1001"/>
          <cell r="AB1001" t="str">
            <v>Active - signed</v>
          </cell>
          <cell r="AC1001" t="str">
            <v>ACTIVO</v>
          </cell>
          <cell r="AD1001"/>
          <cell r="AE1001"/>
          <cell r="AF1001"/>
          <cell r="AG1001"/>
          <cell r="AH1001"/>
          <cell r="AI1001" t="str">
            <v>53208813S</v>
          </cell>
        </row>
        <row r="1002">
          <cell r="A1002" t="str">
            <v>33444373G</v>
          </cell>
          <cell r="B1002" t="str">
            <v>Rubio Esparza</v>
          </cell>
          <cell r="C1002" t="str">
            <v>Esther</v>
          </cell>
          <cell r="D1002" t="str">
            <v>Rubio Esparza, Esther</v>
          </cell>
          <cell r="E1002" t="str">
            <v>erubioe@professional.universidadviu.com</v>
          </cell>
          <cell r="F1002" t="str">
            <v>erubioe@professional.universidadviu.com</v>
          </cell>
          <cell r="G1002" t="str">
            <v>NO</v>
          </cell>
          <cell r="H1002" t="str">
            <v>NO</v>
          </cell>
          <cell r="I1002" t="str">
            <v>Master en intervención y gestión de servicios sociales</v>
          </cell>
          <cell r="J1002" t="str">
            <v>Licenciada en Psicologia</v>
          </cell>
          <cell r="K1002" t="str">
            <v/>
          </cell>
          <cell r="L1002" t="str">
            <v/>
          </cell>
          <cell r="M1002" t="str">
            <v>Professional</v>
          </cell>
          <cell r="N1002" t="str">
            <v/>
          </cell>
          <cell r="O1002" t="str">
            <v>CSS</v>
          </cell>
          <cell r="P1002">
            <v>0</v>
          </cell>
          <cell r="Q1002" t="str">
            <v xml:space="preserve"> </v>
          </cell>
          <cell r="R1002"/>
          <cell r="S1002"/>
          <cell r="T1002" t="str">
            <v>Sin reducción</v>
          </cell>
          <cell r="U1002">
            <v>0</v>
          </cell>
          <cell r="V1002"/>
          <cell r="W1002"/>
          <cell r="X1002">
            <v>0</v>
          </cell>
          <cell r="Y1002">
            <v>0</v>
          </cell>
          <cell r="Z1002">
            <v>0</v>
          </cell>
          <cell r="AA1002"/>
          <cell r="AB1002" t="str">
            <v>Active - signed</v>
          </cell>
          <cell r="AC1002" t="str">
            <v>ACTIVO</v>
          </cell>
          <cell r="AD1002"/>
          <cell r="AE1002"/>
          <cell r="AF1002"/>
          <cell r="AG1002"/>
          <cell r="AH1002"/>
          <cell r="AI1002" t="str">
            <v>33444373G</v>
          </cell>
        </row>
        <row r="1003">
          <cell r="A1003" t="str">
            <v>53477696M</v>
          </cell>
          <cell r="B1003" t="str">
            <v>Rubio Mangas</v>
          </cell>
          <cell r="C1003" t="str">
            <v>David</v>
          </cell>
          <cell r="D1003" t="str">
            <v>Rubio Mangas, David</v>
          </cell>
          <cell r="E1003" t="str">
            <v>drubiom@professor.universidadviu.com</v>
          </cell>
          <cell r="F1003" t="str">
            <v>drubiom@professor.universidadviu.com</v>
          </cell>
          <cell r="G1003" t="str">
            <v>Yes</v>
          </cell>
          <cell r="H1003" t="str">
            <v>NO</v>
          </cell>
          <cell r="I1003" t="str">
            <v/>
          </cell>
          <cell r="J1003" t="str">
            <v/>
          </cell>
          <cell r="K1003" t="str">
            <v/>
          </cell>
          <cell r="L1003" t="str">
            <v/>
          </cell>
          <cell r="M1003" t="str">
            <v>Labour</v>
          </cell>
          <cell r="N1003" t="str">
            <v>Tronchoni León, Jordi</v>
          </cell>
          <cell r="O1003" t="str">
            <v>CBS</v>
          </cell>
          <cell r="P1003">
            <v>12</v>
          </cell>
          <cell r="Q1003" t="str">
            <v>12</v>
          </cell>
          <cell r="R1003"/>
          <cell r="S1003"/>
          <cell r="T1003" t="str">
            <v>Sin reducción</v>
          </cell>
          <cell r="U1003">
            <v>0</v>
          </cell>
          <cell r="V1003"/>
          <cell r="W1003"/>
          <cell r="X1003">
            <v>0</v>
          </cell>
          <cell r="Y1003">
            <v>8.8000000000000007</v>
          </cell>
          <cell r="Z1003">
            <v>8.8000000000000007</v>
          </cell>
          <cell r="AA1003"/>
          <cell r="AB1003" t="str">
            <v>Active - signed</v>
          </cell>
          <cell r="AC1003" t="str">
            <v>ACTIVO</v>
          </cell>
          <cell r="AD1003"/>
          <cell r="AE1003"/>
          <cell r="AF1003"/>
          <cell r="AG1003"/>
          <cell r="AH1003"/>
          <cell r="AI1003" t="str">
            <v>53477696M</v>
          </cell>
        </row>
        <row r="1004">
          <cell r="A1004" t="str">
            <v>71302364H</v>
          </cell>
          <cell r="B1004" t="str">
            <v>Ruiz Cortés</v>
          </cell>
          <cell r="C1004" t="str">
            <v>Marta</v>
          </cell>
          <cell r="D1004" t="str">
            <v>Ruiz Cortés, Marta</v>
          </cell>
          <cell r="E1004" t="str">
            <v>mruizc@professional.universidadviu.com</v>
          </cell>
          <cell r="F1004" t="str">
            <v>mruizc@professional.universidadviu.com</v>
          </cell>
          <cell r="G1004" t="str">
            <v>NO</v>
          </cell>
          <cell r="H1004" t="str">
            <v>NO</v>
          </cell>
          <cell r="I1004" t="str">
            <v/>
          </cell>
          <cell r="J1004" t="str">
            <v/>
          </cell>
          <cell r="K1004" t="str">
            <v/>
          </cell>
          <cell r="L1004" t="str">
            <v/>
          </cell>
          <cell r="M1004" t="str">
            <v>Professional</v>
          </cell>
          <cell r="N1004"/>
          <cell r="O1004" t="str">
            <v>CSS</v>
          </cell>
          <cell r="P1004">
            <v>0</v>
          </cell>
          <cell r="Q1004" t="str">
            <v xml:space="preserve"> </v>
          </cell>
          <cell r="R1004"/>
          <cell r="S1004"/>
          <cell r="T1004" t="str">
            <v>Sin reducción</v>
          </cell>
          <cell r="U1004">
            <v>0</v>
          </cell>
          <cell r="V1004"/>
          <cell r="W1004"/>
          <cell r="X1004">
            <v>0</v>
          </cell>
          <cell r="Y1004">
            <v>0</v>
          </cell>
          <cell r="Z1004">
            <v>0</v>
          </cell>
          <cell r="AA1004"/>
          <cell r="AB1004" t="str">
            <v>Active - signed</v>
          </cell>
          <cell r="AC1004" t="str">
            <v>ACTIVO</v>
          </cell>
          <cell r="AD1004"/>
          <cell r="AE1004"/>
          <cell r="AF1004"/>
          <cell r="AG1004"/>
          <cell r="AH1004"/>
          <cell r="AI1004" t="str">
            <v>71302364H</v>
          </cell>
        </row>
        <row r="1005">
          <cell r="A1005" t="str">
            <v>72682011X</v>
          </cell>
          <cell r="B1005" t="str">
            <v>Ruiz de los Mozos</v>
          </cell>
          <cell r="C1005" t="str">
            <v>Igor</v>
          </cell>
          <cell r="D1005" t="str">
            <v>Ruiz de los Mozos, Igor</v>
          </cell>
          <cell r="E1005" t="str">
            <v>iruizdelosmozos@professional.universidadviu.com</v>
          </cell>
          <cell r="F1005" t="str">
            <v>iruizdelosmozos@professional.universidadviu.com</v>
          </cell>
          <cell r="G1005" t="str">
            <v>Yes</v>
          </cell>
          <cell r="H1005" t="str">
            <v>Yes</v>
          </cell>
          <cell r="I1005" t="str">
            <v>Doctorado en Biotecnologia</v>
          </cell>
          <cell r="J1005" t="str">
            <v>Master in Bioinformatics with systems biology</v>
          </cell>
          <cell r="K1005" t="str">
            <v>Master en Biotecnologia</v>
          </cell>
          <cell r="L1005" t="str">
            <v/>
          </cell>
          <cell r="M1005" t="str">
            <v>Professional</v>
          </cell>
          <cell r="N1005"/>
          <cell r="O1005" t="str">
            <v>CBS</v>
          </cell>
          <cell r="P1005">
            <v>0</v>
          </cell>
          <cell r="Q1005" t="str">
            <v xml:space="preserve"> </v>
          </cell>
          <cell r="R1005"/>
          <cell r="S1005"/>
          <cell r="T1005" t="str">
            <v>Sin reducción</v>
          </cell>
          <cell r="U1005">
            <v>0</v>
          </cell>
          <cell r="V1005"/>
          <cell r="W1005"/>
          <cell r="X1005">
            <v>0</v>
          </cell>
          <cell r="Y1005">
            <v>0</v>
          </cell>
          <cell r="Z1005">
            <v>0</v>
          </cell>
          <cell r="AA1005"/>
          <cell r="AB1005" t="str">
            <v>Active - signed</v>
          </cell>
          <cell r="AC1005" t="str">
            <v>ACTIVO</v>
          </cell>
          <cell r="AD1005"/>
          <cell r="AE1005"/>
          <cell r="AF1005"/>
          <cell r="AG1005"/>
          <cell r="AH1005"/>
          <cell r="AI1005" t="str">
            <v>72682011X</v>
          </cell>
        </row>
        <row r="1006">
          <cell r="A1006" t="str">
            <v>31009502M</v>
          </cell>
          <cell r="B1006" t="str">
            <v>Ruiz Figueroa</v>
          </cell>
          <cell r="C1006" t="str">
            <v>Ismael</v>
          </cell>
          <cell r="D1006" t="str">
            <v>Ruiz Figueroa, Ismael</v>
          </cell>
          <cell r="E1006" t="str">
            <v>iruizf@professor.universidadviu.com</v>
          </cell>
          <cell r="F1006" t="str">
            <v>iruizf@professor.universidadviu.com</v>
          </cell>
          <cell r="G1006" t="str">
            <v>NO</v>
          </cell>
          <cell r="H1006" t="str">
            <v>NO</v>
          </cell>
          <cell r="I1006" t="str">
            <v>Máster Universitario en Psicología General Sanitaria Universidad Rey Juan Carlos Master en Gerontología, Dependencia y Protección de los Mayores</v>
          </cell>
          <cell r="J1006" t="str">
            <v>Grado Universitario en Trabajo Social</v>
          </cell>
          <cell r="K1006" t="str">
            <v/>
          </cell>
          <cell r="L1006" t="str">
            <v/>
          </cell>
          <cell r="M1006" t="str">
            <v>Labour</v>
          </cell>
          <cell r="N1006" t="str">
            <v/>
          </cell>
          <cell r="O1006" t="str">
            <v>CSS</v>
          </cell>
          <cell r="P1006">
            <v>6</v>
          </cell>
          <cell r="Q1006" t="str">
            <v>6</v>
          </cell>
          <cell r="R1006"/>
          <cell r="S1006"/>
          <cell r="T1006" t="str">
            <v>Sin reducción</v>
          </cell>
          <cell r="U1006">
            <v>0</v>
          </cell>
          <cell r="V1006"/>
          <cell r="W1006"/>
          <cell r="X1006">
            <v>0</v>
          </cell>
          <cell r="Y1006">
            <v>0</v>
          </cell>
          <cell r="Z1006">
            <v>9</v>
          </cell>
          <cell r="AA1006"/>
          <cell r="AB1006" t="str">
            <v>Active - signed</v>
          </cell>
          <cell r="AC1006" t="str">
            <v>ACTIVO</v>
          </cell>
          <cell r="AD1006"/>
          <cell r="AE1006"/>
          <cell r="AF1006"/>
          <cell r="AG1006"/>
          <cell r="AH1006"/>
          <cell r="AI1006" t="str">
            <v>31009502M</v>
          </cell>
        </row>
        <row r="1007">
          <cell r="A1007" t="str">
            <v>74891620D</v>
          </cell>
          <cell r="B1007" t="str">
            <v>Ruiz García</v>
          </cell>
          <cell r="C1007" t="str">
            <v>Antonio</v>
          </cell>
          <cell r="D1007" t="str">
            <v>Ruiz García, Antonio</v>
          </cell>
          <cell r="E1007" t="str">
            <v>antonio.ruizg</v>
          </cell>
          <cell r="F1007" t="str">
            <v>antonio.ruizg@professional.universidadviu.com</v>
          </cell>
          <cell r="G1007" t="str">
            <v>Yes</v>
          </cell>
          <cell r="H1007" t="str">
            <v>Yes</v>
          </cell>
          <cell r="I1007" t="str">
            <v>Psicología</v>
          </cell>
          <cell r="J1007" t="str">
            <v>Máster en Psicología de la Salud</v>
          </cell>
          <cell r="K1007" t="str">
            <v>Programa Oficial de Doctorado en Investigación y Tratamientos Psicológicos y de la Salud</v>
          </cell>
          <cell r="L1007" t="str">
            <v>Licenciado en Psicología</v>
          </cell>
          <cell r="M1007" t="str">
            <v>Professional</v>
          </cell>
          <cell r="N1007" t="str">
            <v/>
          </cell>
          <cell r="O1007" t="str">
            <v>CSS</v>
          </cell>
          <cell r="P1007">
            <v>0</v>
          </cell>
          <cell r="Q1007" t="str">
            <v xml:space="preserve"> </v>
          </cell>
          <cell r="R1007"/>
          <cell r="S1007"/>
          <cell r="T1007" t="str">
            <v>Sin reducción</v>
          </cell>
          <cell r="U1007">
            <v>0</v>
          </cell>
          <cell r="V1007"/>
          <cell r="W1007"/>
          <cell r="X1007">
            <v>0</v>
          </cell>
          <cell r="Y1007">
            <v>0</v>
          </cell>
          <cell r="Z1007">
            <v>0</v>
          </cell>
          <cell r="AA1007"/>
          <cell r="AB1007" t="str">
            <v>Active - signed</v>
          </cell>
          <cell r="AC1007" t="str">
            <v>ACTIVO</v>
          </cell>
          <cell r="AD1007"/>
          <cell r="AE1007"/>
          <cell r="AF1007"/>
          <cell r="AG1007"/>
          <cell r="AH1007"/>
          <cell r="AI1007" t="str">
            <v>74891620D</v>
          </cell>
        </row>
        <row r="1008">
          <cell r="A1008" t="str">
            <v>02554159D</v>
          </cell>
          <cell r="B1008" t="str">
            <v>Ruiz García</v>
          </cell>
          <cell r="C1008" t="str">
            <v>Álvaro</v>
          </cell>
          <cell r="D1008" t="str">
            <v>Ruiz García, Álvaro</v>
          </cell>
          <cell r="E1008" t="str">
            <v>alvaro.ruiz.garcia</v>
          </cell>
          <cell r="F1008"/>
          <cell r="G1008" t="str">
            <v>NO</v>
          </cell>
          <cell r="H1008" t="str">
            <v>NO</v>
          </cell>
          <cell r="I1008" t="str">
            <v>Máster Universitario en Psicología general sanitaria</v>
          </cell>
          <cell r="J1008" t="str">
            <v>Máster Universitario en Neurociencia</v>
          </cell>
          <cell r="K1008" t="str">
            <v>Grado en Psicología</v>
          </cell>
          <cell r="L1008" t="str">
            <v/>
          </cell>
          <cell r="M1008" t="str">
            <v>Labour</v>
          </cell>
          <cell r="N1008"/>
          <cell r="O1008" t="str">
            <v>CSS</v>
          </cell>
          <cell r="P1008" t="str">
            <v>18,00</v>
          </cell>
          <cell r="Q1008" t="b">
            <v>0</v>
          </cell>
          <cell r="R1008"/>
          <cell r="S1008"/>
          <cell r="T1008" t="str">
            <v>Sin reducción</v>
          </cell>
          <cell r="U1008">
            <v>0</v>
          </cell>
          <cell r="V1008"/>
          <cell r="W1008"/>
          <cell r="X1008">
            <v>0</v>
          </cell>
          <cell r="Y1008">
            <v>0</v>
          </cell>
          <cell r="Z1008">
            <v>0</v>
          </cell>
          <cell r="AA1008"/>
          <cell r="AB1008" t="str">
            <v>Concluded</v>
          </cell>
          <cell r="AC1008" t="str">
            <v>NO ACTIVO</v>
          </cell>
          <cell r="AD1008"/>
          <cell r="AE1008"/>
          <cell r="AF1008">
            <v>45398</v>
          </cell>
          <cell r="AG1008" t="str">
            <v>CESE DE CONTRATO</v>
          </cell>
          <cell r="AH1008"/>
          <cell r="AI1008" t="str">
            <v>02554159D</v>
          </cell>
        </row>
        <row r="1009">
          <cell r="A1009" t="str">
            <v>22685807X</v>
          </cell>
          <cell r="B1009" t="str">
            <v>Ruiz García</v>
          </cell>
          <cell r="C1009" t="str">
            <v>Jesús</v>
          </cell>
          <cell r="D1009" t="str">
            <v>Ruiz García, Jesús</v>
          </cell>
          <cell r="E1009" t="str">
            <v>jesus.ruiz.g@professor.universidadviu.com</v>
          </cell>
          <cell r="F1009" t="str">
            <v>jesus.ruiz.g@professor.universidadviu.com</v>
          </cell>
          <cell r="G1009" t="str">
            <v>Yes</v>
          </cell>
          <cell r="H1009" t="str">
            <v>Yes</v>
          </cell>
          <cell r="I1009" t="str">
            <v>Programa Doctorado en Psicología</v>
          </cell>
          <cell r="J1009" t="str">
            <v>Licenciado</v>
          </cell>
          <cell r="K1009" t="str">
            <v/>
          </cell>
          <cell r="L1009" t="str">
            <v/>
          </cell>
          <cell r="M1009" t="str">
            <v>Labour</v>
          </cell>
          <cell r="N1009" t="str">
            <v>Consultar a VR Investigación</v>
          </cell>
          <cell r="O1009" t="str">
            <v>CSS</v>
          </cell>
          <cell r="P1009">
            <v>100</v>
          </cell>
          <cell r="Q1009" t="str">
            <v>50</v>
          </cell>
          <cell r="R1009"/>
          <cell r="S1009"/>
          <cell r="T1009" t="str">
            <v>Director/a de Cátedra</v>
          </cell>
          <cell r="U1009" t="str">
            <v>32</v>
          </cell>
          <cell r="V1009"/>
          <cell r="W1009"/>
          <cell r="X1009">
            <v>19.8</v>
          </cell>
          <cell r="Y1009">
            <v>0</v>
          </cell>
          <cell r="Z1009">
            <v>0</v>
          </cell>
          <cell r="AA1009"/>
          <cell r="AB1009" t="str">
            <v>Active - signed</v>
          </cell>
          <cell r="AC1009" t="str">
            <v>ACTIVO</v>
          </cell>
          <cell r="AD1009"/>
          <cell r="AE1009"/>
          <cell r="AF1009"/>
          <cell r="AG1009"/>
          <cell r="AH1009"/>
          <cell r="AI1009" t="str">
            <v>22685807X</v>
          </cell>
        </row>
        <row r="1010">
          <cell r="A1010" t="str">
            <v>22547078V</v>
          </cell>
          <cell r="B1010" t="str">
            <v>Ruiz Hontangas</v>
          </cell>
          <cell r="C1010" t="str">
            <v>Antonio</v>
          </cell>
          <cell r="D1010" t="str">
            <v>Ruiz Hontangas, Antonio</v>
          </cell>
          <cell r="E1010" t="e">
            <v>#VALUE!</v>
          </cell>
          <cell r="F1010" t="str">
            <v>antonio.ruiz.h@professor.universidadviu.com</v>
          </cell>
          <cell r="G1010" t="e">
            <v>#VALUE!</v>
          </cell>
          <cell r="H1010" t="e">
            <v>#VALUE!</v>
          </cell>
          <cell r="I1010" t="str">
            <v>Programa Doctorado en Ciencias de la Salud</v>
          </cell>
          <cell r="J1010" t="str">
            <v>Programa Doctorado en Ciencias de la Salud</v>
          </cell>
          <cell r="K1010" t="str">
            <v>Máster Universitario Bioética</v>
          </cell>
          <cell r="L1010" t="str">
            <v>Diplomado/a en Enfermeria</v>
          </cell>
          <cell r="M1010" t="e">
            <v>#VALUE!</v>
          </cell>
          <cell r="N1010" t="str">
            <v/>
          </cell>
          <cell r="O1010" t="str">
            <v>CBS</v>
          </cell>
          <cell r="P1010" t="str">
            <v xml:space="preserve"> </v>
          </cell>
          <cell r="Q1010" t="b">
            <v>0</v>
          </cell>
          <cell r="R1010"/>
          <cell r="S1010"/>
          <cell r="T1010" t="str">
            <v>Sin reducción</v>
          </cell>
          <cell r="U1010">
            <v>0</v>
          </cell>
          <cell r="V1010"/>
          <cell r="W1010"/>
          <cell r="X1010">
            <v>0</v>
          </cell>
          <cell r="Y1010">
            <v>0</v>
          </cell>
          <cell r="Z1010">
            <v>0</v>
          </cell>
          <cell r="AA1010"/>
          <cell r="AB1010" t="e">
            <v>#VALUE!</v>
          </cell>
          <cell r="AC1010" t="str">
            <v>BAJA TEMPORAL</v>
          </cell>
          <cell r="AD1010">
            <v>45236</v>
          </cell>
          <cell r="AE1010">
            <v>46695</v>
          </cell>
          <cell r="AF1010"/>
          <cell r="AG1010" t="str">
            <v>EXCEDENCIA</v>
          </cell>
          <cell r="AH1010"/>
          <cell r="AI1010" t="str">
            <v>22547078V</v>
          </cell>
        </row>
        <row r="1011">
          <cell r="A1011" t="str">
            <v>54014343Q</v>
          </cell>
          <cell r="B1011" t="str">
            <v>Ruiz Oliva</v>
          </cell>
          <cell r="C1011" t="str">
            <v>Elena</v>
          </cell>
          <cell r="D1011" t="str">
            <v>Ruiz Oliva, Elena</v>
          </cell>
          <cell r="E1011" t="str">
            <v>eruiz.oliva@professor.universidadviu.com</v>
          </cell>
          <cell r="F1011" t="str">
            <v>eruiz.oliva@professor.universidadviu.com</v>
          </cell>
          <cell r="G1011" t="str">
            <v>NO</v>
          </cell>
          <cell r="H1011" t="str">
            <v>NO</v>
          </cell>
          <cell r="I1011" t="str">
            <v>Grado en Derecho</v>
          </cell>
          <cell r="J1011" t="str">
            <v/>
          </cell>
          <cell r="K1011" t="str">
            <v/>
          </cell>
          <cell r="L1011" t="str">
            <v/>
          </cell>
          <cell r="M1011" t="str">
            <v>Labour</v>
          </cell>
          <cell r="N1011" t="str">
            <v>López Mases, Patricia</v>
          </cell>
          <cell r="O1011" t="str">
            <v>CBS</v>
          </cell>
          <cell r="P1011">
            <v>50</v>
          </cell>
          <cell r="Q1011" t="str">
            <v>38</v>
          </cell>
          <cell r="R1011" t="str">
            <v>Ampliación marzo</v>
          </cell>
          <cell r="S1011"/>
          <cell r="T1011" t="str">
            <v>Sin reducción</v>
          </cell>
          <cell r="U1011">
            <v>0</v>
          </cell>
          <cell r="V1011">
            <v>14</v>
          </cell>
          <cell r="W1011" t="str">
            <v>JURÍDICO</v>
          </cell>
          <cell r="X1011">
            <v>0</v>
          </cell>
          <cell r="Y1011">
            <v>23.3</v>
          </cell>
          <cell r="Z1011">
            <v>2.1</v>
          </cell>
          <cell r="AA1011"/>
          <cell r="AB1011" t="str">
            <v>Active - signed</v>
          </cell>
          <cell r="AC1011" t="str">
            <v>ACTIVO</v>
          </cell>
          <cell r="AD1011"/>
          <cell r="AE1011"/>
          <cell r="AF1011"/>
          <cell r="AG1011"/>
          <cell r="AH1011"/>
          <cell r="AI1011" t="str">
            <v>54014343Q</v>
          </cell>
        </row>
        <row r="1012">
          <cell r="A1012" t="str">
            <v>50771304T</v>
          </cell>
          <cell r="B1012" t="str">
            <v>Ruiz Rodríguez</v>
          </cell>
          <cell r="C1012" t="str">
            <v>José María</v>
          </cell>
          <cell r="D1012" t="str">
            <v>Ruiz Rodríguez, José María</v>
          </cell>
          <cell r="E1012" t="str">
            <v>jruizr@professional.universidadviu.com</v>
          </cell>
          <cell r="F1012" t="str">
            <v>jruizr@professional.universidadviu.com</v>
          </cell>
          <cell r="G1012" t="str">
            <v>Yes</v>
          </cell>
          <cell r="H1012" t="str">
            <v>NO</v>
          </cell>
          <cell r="I1012" t="str">
            <v>Doctor en Educación</v>
          </cell>
          <cell r="J1012" t="str">
            <v>Máster Universitario en Tratamiento educativo de la diversidad</v>
          </cell>
          <cell r="K1012" t="str">
            <v/>
          </cell>
          <cell r="L1012" t="str">
            <v/>
          </cell>
          <cell r="M1012" t="str">
            <v>Professional</v>
          </cell>
          <cell r="N1012" t="str">
            <v/>
          </cell>
          <cell r="O1012" t="str">
            <v>CSS</v>
          </cell>
          <cell r="P1012">
            <v>0</v>
          </cell>
          <cell r="Q1012" t="str">
            <v xml:space="preserve"> </v>
          </cell>
          <cell r="R1012"/>
          <cell r="S1012"/>
          <cell r="T1012" t="str">
            <v>Sin reducción</v>
          </cell>
          <cell r="U1012">
            <v>0</v>
          </cell>
          <cell r="V1012"/>
          <cell r="W1012"/>
          <cell r="X1012">
            <v>0</v>
          </cell>
          <cell r="Y1012">
            <v>0</v>
          </cell>
          <cell r="Z1012">
            <v>0</v>
          </cell>
          <cell r="AA1012"/>
          <cell r="AB1012" t="str">
            <v>Active - signed</v>
          </cell>
          <cell r="AC1012" t="str">
            <v>ACTIVO</v>
          </cell>
          <cell r="AD1012"/>
          <cell r="AE1012"/>
          <cell r="AF1012"/>
          <cell r="AG1012"/>
          <cell r="AH1012"/>
          <cell r="AI1012" t="str">
            <v>50771304T</v>
          </cell>
        </row>
        <row r="1013">
          <cell r="A1013" t="str">
            <v>52266872Q</v>
          </cell>
          <cell r="B1013" t="str">
            <v>Ruiz Romero</v>
          </cell>
          <cell r="C1013" t="str">
            <v>Victoria</v>
          </cell>
          <cell r="D1013" t="str">
            <v>Ruiz Romero, Victoria</v>
          </cell>
          <cell r="E1013" t="str">
            <v>victoria.ruiz.r</v>
          </cell>
          <cell r="F1013" t="str">
            <v>victoria.ruiz.r@professional.universidadviu.com</v>
          </cell>
          <cell r="G1013" t="str">
            <v>Yes</v>
          </cell>
          <cell r="H1013" t="str">
            <v>NO</v>
          </cell>
          <cell r="I1013" t="str">
            <v>Medicina</v>
          </cell>
          <cell r="J1013" t="str">
            <v>Master en bioestadistica aplicada en ciencias de la salud</v>
          </cell>
          <cell r="K1013" t="str">
            <v>Medica especialista en medicina preventiva y de la salud publica</v>
          </cell>
          <cell r="L1013" t="str">
            <v>Doctorado</v>
          </cell>
          <cell r="M1013" t="str">
            <v>Professional</v>
          </cell>
          <cell r="N1013" t="str">
            <v/>
          </cell>
          <cell r="O1013" t="str">
            <v>CBS</v>
          </cell>
          <cell r="P1013">
            <v>0</v>
          </cell>
          <cell r="Q1013" t="str">
            <v xml:space="preserve"> </v>
          </cell>
          <cell r="R1013"/>
          <cell r="S1013"/>
          <cell r="T1013" t="str">
            <v>Sin reducción</v>
          </cell>
          <cell r="U1013">
            <v>0</v>
          </cell>
          <cell r="V1013"/>
          <cell r="W1013"/>
          <cell r="X1013">
            <v>0</v>
          </cell>
          <cell r="Y1013">
            <v>0</v>
          </cell>
          <cell r="Z1013">
            <v>0</v>
          </cell>
          <cell r="AA1013"/>
          <cell r="AB1013" t="str">
            <v>Active - signed</v>
          </cell>
          <cell r="AC1013" t="str">
            <v>ACTIVO</v>
          </cell>
          <cell r="AD1013"/>
          <cell r="AE1013"/>
          <cell r="AF1013"/>
          <cell r="AG1013"/>
          <cell r="AH1013"/>
          <cell r="AI1013" t="str">
            <v>52266872Q</v>
          </cell>
        </row>
        <row r="1014">
          <cell r="A1014" t="str">
            <v>12713537B</v>
          </cell>
          <cell r="B1014" t="str">
            <v>Ruiz Ruiz</v>
          </cell>
          <cell r="C1014" t="str">
            <v>José María</v>
          </cell>
          <cell r="D1014" t="str">
            <v>Ruiz Ruiz, José María</v>
          </cell>
          <cell r="E1014" t="str">
            <v>josemaria.ruiz.r</v>
          </cell>
          <cell r="F1014" t="str">
            <v>josemaria.ruiz.r@professional.universidadviu.com</v>
          </cell>
          <cell r="G1014" t="str">
            <v>Yes</v>
          </cell>
          <cell r="H1014" t="str">
            <v>NO</v>
          </cell>
          <cell r="I1014" t="str">
            <v>Doctorado en Filosofia y Ciencias de la Educación</v>
          </cell>
          <cell r="J1014" t="str">
            <v>Experto universitario en mediacion: ámbitos de actuación y técnicas aplicadas en la resolucion de conflictos</v>
          </cell>
          <cell r="K1014" t="str">
            <v>Licenciado en filosofia y ciencias de la educacion</v>
          </cell>
          <cell r="L1014" t="str">
            <v/>
          </cell>
          <cell r="M1014" t="str">
            <v>Professional</v>
          </cell>
          <cell r="N1014" t="str">
            <v/>
          </cell>
          <cell r="O1014" t="str">
            <v>CSS</v>
          </cell>
          <cell r="P1014">
            <v>0</v>
          </cell>
          <cell r="Q1014" t="str">
            <v xml:space="preserve"> </v>
          </cell>
          <cell r="R1014"/>
          <cell r="S1014"/>
          <cell r="T1014" t="str">
            <v>Sin reducción</v>
          </cell>
          <cell r="U1014">
            <v>0</v>
          </cell>
          <cell r="V1014"/>
          <cell r="W1014"/>
          <cell r="X1014">
            <v>0</v>
          </cell>
          <cell r="Y1014">
            <v>0</v>
          </cell>
          <cell r="Z1014">
            <v>0</v>
          </cell>
          <cell r="AA1014"/>
          <cell r="AB1014" t="str">
            <v>Active - signed</v>
          </cell>
          <cell r="AC1014" t="str">
            <v>ACTIVO</v>
          </cell>
          <cell r="AD1014"/>
          <cell r="AE1014"/>
          <cell r="AF1014"/>
          <cell r="AG1014"/>
          <cell r="AH1014"/>
          <cell r="AI1014" t="str">
            <v>12713537B</v>
          </cell>
        </row>
        <row r="1015">
          <cell r="A1015" t="str">
            <v>75794158G</v>
          </cell>
          <cell r="B1015" t="str">
            <v>Ruiz-Herrera Rebollo</v>
          </cell>
          <cell r="C1015" t="str">
            <v>Isabella Magdala</v>
          </cell>
          <cell r="D1015" t="str">
            <v>Ruiz-Herrera Rebollo, Isabella Magdala</v>
          </cell>
          <cell r="E1015" t="str">
            <v>iruizherrerar@professor.universidadviu.com</v>
          </cell>
          <cell r="F1015" t="str">
            <v>iruizherrerar@professor.universidadviu.com</v>
          </cell>
          <cell r="G1015" t="str">
            <v>NO</v>
          </cell>
          <cell r="H1015" t="str">
            <v>NO</v>
          </cell>
          <cell r="I1015" t="str">
            <v>Psicología</v>
          </cell>
          <cell r="J1015" t="str">
            <v>Sexología: Educación Sexual y Asesoramiento Sexológico</v>
          </cell>
          <cell r="K1015" t="str">
            <v/>
          </cell>
          <cell r="L1015" t="str">
            <v/>
          </cell>
          <cell r="M1015" t="str">
            <v>Labour</v>
          </cell>
          <cell r="N1015" t="str">
            <v>Rama Galdón, Encarnación</v>
          </cell>
          <cell r="O1015" t="str">
            <v>CSS</v>
          </cell>
          <cell r="P1015">
            <v>75</v>
          </cell>
          <cell r="Q1015" t="str">
            <v>46</v>
          </cell>
          <cell r="R1015"/>
          <cell r="S1015"/>
          <cell r="T1015" t="str">
            <v>Sin reducción</v>
          </cell>
          <cell r="U1015">
            <v>0</v>
          </cell>
          <cell r="V1015"/>
          <cell r="W1015"/>
          <cell r="X1015">
            <v>19.3</v>
          </cell>
          <cell r="Y1015">
            <v>0</v>
          </cell>
          <cell r="Z1015">
            <v>0</v>
          </cell>
          <cell r="AA1015"/>
          <cell r="AB1015" t="str">
            <v>Active - signed</v>
          </cell>
          <cell r="AC1015" t="str">
            <v>BAJA TEMPORAL</v>
          </cell>
          <cell r="AD1015">
            <v>46065</v>
          </cell>
          <cell r="AE1015">
            <v>46397</v>
          </cell>
          <cell r="AF1015"/>
          <cell r="AG1015" t="str">
            <v>MATERNIDAD</v>
          </cell>
          <cell r="AH1015" t="str">
            <v>fecha proable parto marzo - abril</v>
          </cell>
          <cell r="AI1015" t="str">
            <v>75794158G</v>
          </cell>
        </row>
        <row r="1016">
          <cell r="A1016" t="str">
            <v>Y2097894D</v>
          </cell>
          <cell r="B1016" t="str">
            <v>Ruzzoli</v>
          </cell>
          <cell r="C1016" t="str">
            <v>Manuela</v>
          </cell>
          <cell r="D1016" t="str">
            <v>Ruzzoli, Manuela</v>
          </cell>
          <cell r="E1016" t="str">
            <v>mruzzoli@professional.universidadviu.com</v>
          </cell>
          <cell r="F1016" t="str">
            <v>mruzzoli@professional.universidadviu.com</v>
          </cell>
          <cell r="G1016" t="str">
            <v>NO</v>
          </cell>
          <cell r="H1016" t="str">
            <v>NO</v>
          </cell>
          <cell r="I1016" t="str">
            <v>Laurea in Psychology (BSc in Psychology and MSc in General and Experimental Psychology)</v>
          </cell>
          <cell r="J1016" t="str">
            <v/>
          </cell>
          <cell r="K1016" t="str">
            <v/>
          </cell>
          <cell r="L1016" t="str">
            <v/>
          </cell>
          <cell r="M1016" t="str">
            <v>Professional</v>
          </cell>
          <cell r="N1016" t="str">
            <v/>
          </cell>
          <cell r="O1016" t="str">
            <v>CSS</v>
          </cell>
          <cell r="P1016">
            <v>0</v>
          </cell>
          <cell r="Q1016" t="str">
            <v xml:space="preserve"> </v>
          </cell>
          <cell r="R1016"/>
          <cell r="S1016"/>
          <cell r="T1016" t="str">
            <v>Sin reducción</v>
          </cell>
          <cell r="U1016">
            <v>0</v>
          </cell>
          <cell r="V1016"/>
          <cell r="W1016"/>
          <cell r="X1016">
            <v>0</v>
          </cell>
          <cell r="Y1016">
            <v>0</v>
          </cell>
          <cell r="Z1016">
            <v>0</v>
          </cell>
          <cell r="AA1016"/>
          <cell r="AB1016" t="str">
            <v>Active - signed</v>
          </cell>
          <cell r="AC1016" t="str">
            <v>ACTIVO</v>
          </cell>
          <cell r="AD1016"/>
          <cell r="AE1016"/>
          <cell r="AF1016"/>
          <cell r="AG1016"/>
          <cell r="AH1016"/>
          <cell r="AI1016" t="str">
            <v>Y2097894D</v>
          </cell>
        </row>
        <row r="1017">
          <cell r="A1017" t="str">
            <v>44837114V</v>
          </cell>
          <cell r="B1017" t="str">
            <v>Saa Casal</v>
          </cell>
          <cell r="C1017" t="str">
            <v>Alba</v>
          </cell>
          <cell r="D1017" t="str">
            <v>Saa Casal, Alba</v>
          </cell>
          <cell r="E1017" t="str">
            <v>alba.saa</v>
          </cell>
          <cell r="F1017" t="str">
            <v>alba.saa@professor.universidadviu.com</v>
          </cell>
          <cell r="G1017" t="str">
            <v>Yes</v>
          </cell>
          <cell r="H1017" t="str">
            <v>NO</v>
          </cell>
          <cell r="I1017" t="str">
            <v>Medicina</v>
          </cell>
          <cell r="J1017" t="str">
            <v>Máster Universitario en Salud Pública y Gestión Sanitaria</v>
          </cell>
          <cell r="K1017" t="str">
            <v>Diploma en Salud Pública</v>
          </cell>
          <cell r="L1017" t="str">
            <v xml:space="preserve">Diploma en Salud Pública </v>
          </cell>
          <cell r="M1017" t="str">
            <v>Labour</v>
          </cell>
          <cell r="N1017" t="str">
            <v>Mut Ronda, Salvador</v>
          </cell>
          <cell r="O1017" t="str">
            <v>CBS</v>
          </cell>
          <cell r="P1017">
            <v>50</v>
          </cell>
          <cell r="Q1017" t="str">
            <v>38</v>
          </cell>
          <cell r="R1017"/>
          <cell r="S1017"/>
          <cell r="T1017" t="str">
            <v>Sin reducción</v>
          </cell>
          <cell r="U1017">
            <v>0</v>
          </cell>
          <cell r="V1017"/>
          <cell r="W1017"/>
          <cell r="X1017">
            <v>0</v>
          </cell>
          <cell r="Y1017">
            <v>19.7</v>
          </cell>
          <cell r="Z1017">
            <v>16.899999999999999</v>
          </cell>
          <cell r="AA1017"/>
          <cell r="AB1017" t="str">
            <v>Active - signed</v>
          </cell>
          <cell r="AC1017" t="str">
            <v>ACTIVO</v>
          </cell>
          <cell r="AD1017"/>
          <cell r="AE1017"/>
          <cell r="AF1017"/>
          <cell r="AG1017"/>
          <cell r="AH1017"/>
          <cell r="AI1017" t="str">
            <v>44837114V</v>
          </cell>
        </row>
        <row r="1018">
          <cell r="A1018" t="str">
            <v>53059391R</v>
          </cell>
          <cell r="B1018" t="str">
            <v>Sabater Olivas</v>
          </cell>
          <cell r="C1018" t="str">
            <v>Laura</v>
          </cell>
          <cell r="D1018" t="str">
            <v>Sabater Olivas, Laura</v>
          </cell>
          <cell r="E1018" t="str">
            <v>laura.sabater</v>
          </cell>
          <cell r="F1018" t="str">
            <v>laura.sabater@professional.universidadviu.com</v>
          </cell>
          <cell r="G1018" t="str">
            <v>NO</v>
          </cell>
          <cell r="H1018" t="str">
            <v>NO</v>
          </cell>
          <cell r="I1018" t="str">
            <v>Biología y Genética</v>
          </cell>
          <cell r="J1018" t="str">
            <v>Master universitario en biotecnologia biomedica</v>
          </cell>
          <cell r="K1018" t="str">
            <v>Licenciada en biologia</v>
          </cell>
          <cell r="L1018" t="str">
            <v>Master universitario en bioinformatica y bioestadistica</v>
          </cell>
          <cell r="M1018" t="str">
            <v>Professional</v>
          </cell>
          <cell r="N1018" t="str">
            <v/>
          </cell>
          <cell r="O1018" t="str">
            <v>CBS</v>
          </cell>
          <cell r="P1018">
            <v>0</v>
          </cell>
          <cell r="Q1018" t="str">
            <v xml:space="preserve"> </v>
          </cell>
          <cell r="R1018"/>
          <cell r="S1018"/>
          <cell r="T1018" t="str">
            <v>Sin reducción</v>
          </cell>
          <cell r="U1018">
            <v>0</v>
          </cell>
          <cell r="V1018"/>
          <cell r="W1018"/>
          <cell r="X1018">
            <v>0</v>
          </cell>
          <cell r="Y1018">
            <v>0</v>
          </cell>
          <cell r="Z1018">
            <v>0</v>
          </cell>
          <cell r="AA1018"/>
          <cell r="AB1018" t="str">
            <v>Active - signed</v>
          </cell>
          <cell r="AC1018" t="str">
            <v>ACTIVO</v>
          </cell>
          <cell r="AD1018"/>
          <cell r="AE1018"/>
          <cell r="AF1018"/>
          <cell r="AG1018"/>
          <cell r="AH1018"/>
          <cell r="AI1018" t="str">
            <v>53059391R</v>
          </cell>
        </row>
        <row r="1019">
          <cell r="A1019" t="str">
            <v>73997392K</v>
          </cell>
          <cell r="B1019" t="str">
            <v>Sabater Sala</v>
          </cell>
          <cell r="C1019" t="str">
            <v>Ana Isabel</v>
          </cell>
          <cell r="D1019" t="str">
            <v>Sabater Sala, Ana Isabel</v>
          </cell>
          <cell r="E1019" t="str">
            <v>asabaters@professional.universidadviu.com</v>
          </cell>
          <cell r="F1019" t="str">
            <v>asabaters@professional.universidadviu.com</v>
          </cell>
          <cell r="G1019" t="str">
            <v>NO</v>
          </cell>
          <cell r="H1019" t="str">
            <v>NO</v>
          </cell>
          <cell r="I1019" t="str">
            <v>Licenciada en Antropología Social y Cultural</v>
          </cell>
          <cell r="J1019" t="str">
            <v>Diplomada en Enfermería</v>
          </cell>
          <cell r="K1019" t="str">
            <v/>
          </cell>
          <cell r="L1019" t="str">
            <v/>
          </cell>
          <cell r="M1019" t="str">
            <v>Professional</v>
          </cell>
          <cell r="N1019" t="str">
            <v/>
          </cell>
          <cell r="O1019" t="str">
            <v>CBS</v>
          </cell>
          <cell r="P1019">
            <v>0</v>
          </cell>
          <cell r="Q1019" t="str">
            <v xml:space="preserve"> </v>
          </cell>
          <cell r="R1019"/>
          <cell r="S1019"/>
          <cell r="T1019" t="str">
            <v>Sin reducción</v>
          </cell>
          <cell r="U1019">
            <v>0</v>
          </cell>
          <cell r="V1019"/>
          <cell r="W1019"/>
          <cell r="X1019">
            <v>0</v>
          </cell>
          <cell r="Y1019">
            <v>0</v>
          </cell>
          <cell r="Z1019">
            <v>0</v>
          </cell>
          <cell r="AA1019"/>
          <cell r="AB1019" t="str">
            <v>Active - signed</v>
          </cell>
          <cell r="AC1019" t="str">
            <v>ACTIVO</v>
          </cell>
          <cell r="AD1019"/>
          <cell r="AE1019"/>
          <cell r="AF1019"/>
          <cell r="AG1019"/>
          <cell r="AH1019"/>
          <cell r="AI1019" t="str">
            <v>73997392K</v>
          </cell>
        </row>
        <row r="1020">
          <cell r="A1020" t="str">
            <v>11868583P</v>
          </cell>
          <cell r="B1020" t="str">
            <v>Sacristán Horcajada</v>
          </cell>
          <cell r="C1020" t="str">
            <v>Eva</v>
          </cell>
          <cell r="D1020" t="str">
            <v>Sacristán Horcajada, Eva</v>
          </cell>
          <cell r="E1020" t="str">
            <v>esacristanh@professional.universidadviu.com</v>
          </cell>
          <cell r="F1020" t="str">
            <v>esacristanh@professional.universidadviu.com</v>
          </cell>
          <cell r="G1020" t="str">
            <v>NO</v>
          </cell>
          <cell r="H1020" t="str">
            <v>NO</v>
          </cell>
          <cell r="I1020" t="str">
            <v/>
          </cell>
          <cell r="J1020" t="str">
            <v/>
          </cell>
          <cell r="K1020" t="str">
            <v/>
          </cell>
          <cell r="L1020" t="str">
            <v/>
          </cell>
          <cell r="M1020" t="str">
            <v>Professional</v>
          </cell>
          <cell r="N1020"/>
          <cell r="O1020" t="str">
            <v>CBS</v>
          </cell>
          <cell r="P1020"/>
          <cell r="Q1020" t="str">
            <v xml:space="preserve"> </v>
          </cell>
          <cell r="R1020"/>
          <cell r="S1020"/>
          <cell r="T1020" t="str">
            <v>Sin reducción</v>
          </cell>
          <cell r="U1020">
            <v>0</v>
          </cell>
          <cell r="V1020"/>
          <cell r="W1020"/>
          <cell r="X1020">
            <v>0</v>
          </cell>
          <cell r="Y1020">
            <v>0</v>
          </cell>
          <cell r="Z1020">
            <v>0</v>
          </cell>
          <cell r="AA1020"/>
          <cell r="AB1020" t="str">
            <v>Concluded</v>
          </cell>
          <cell r="AC1020" t="str">
            <v>NO ACTIVO</v>
          </cell>
          <cell r="AD1020"/>
          <cell r="AE1020"/>
          <cell r="AF1020"/>
          <cell r="AG1020" t="str">
            <v>CESE DE CONTRATO</v>
          </cell>
          <cell r="AH1020"/>
          <cell r="AI1020" t="str">
            <v>11868583P</v>
          </cell>
        </row>
        <row r="1021">
          <cell r="A1021" t="str">
            <v>40923861F</v>
          </cell>
          <cell r="B1021" t="str">
            <v>Sáez Durán</v>
          </cell>
          <cell r="C1021" t="str">
            <v>Sandra</v>
          </cell>
          <cell r="D1021" t="str">
            <v>Sáez Durán, Sandra</v>
          </cell>
          <cell r="E1021" t="str">
            <v>ssaezd@professional.universidadviu.com</v>
          </cell>
          <cell r="F1021" t="str">
            <v>ssaezd@professional.universidadviu.com</v>
          </cell>
          <cell r="G1021" t="str">
            <v>Yes</v>
          </cell>
          <cell r="H1021" t="str">
            <v>Yes</v>
          </cell>
          <cell r="I1021" t="str">
            <v>LICENCIADA EN FARMACIA</v>
          </cell>
          <cell r="J1021" t="str">
            <v/>
          </cell>
          <cell r="K1021" t="str">
            <v/>
          </cell>
          <cell r="L1021" t="str">
            <v/>
          </cell>
          <cell r="M1021" t="str">
            <v>Professional</v>
          </cell>
          <cell r="N1021" t="str">
            <v/>
          </cell>
          <cell r="O1021" t="str">
            <v>CBS</v>
          </cell>
          <cell r="P1021">
            <v>0</v>
          </cell>
          <cell r="Q1021" t="str">
            <v xml:space="preserve"> </v>
          </cell>
          <cell r="R1021"/>
          <cell r="S1021"/>
          <cell r="T1021" t="str">
            <v>Sin reducción</v>
          </cell>
          <cell r="U1021">
            <v>0</v>
          </cell>
          <cell r="V1021"/>
          <cell r="W1021"/>
          <cell r="X1021">
            <v>0</v>
          </cell>
          <cell r="Y1021">
            <v>0</v>
          </cell>
          <cell r="Z1021">
            <v>0</v>
          </cell>
          <cell r="AA1021"/>
          <cell r="AB1021" t="str">
            <v>Active - signed</v>
          </cell>
          <cell r="AC1021" t="str">
            <v>ACTIVO</v>
          </cell>
          <cell r="AD1021"/>
          <cell r="AE1021"/>
          <cell r="AF1021"/>
          <cell r="AG1021"/>
          <cell r="AH1021"/>
          <cell r="AI1021" t="str">
            <v>40923861F</v>
          </cell>
        </row>
        <row r="1022">
          <cell r="A1022" t="str">
            <v>53234599H</v>
          </cell>
          <cell r="B1022" t="str">
            <v>Sáez Rodríguez</v>
          </cell>
          <cell r="C1022" t="str">
            <v>Diego José</v>
          </cell>
          <cell r="D1022" t="str">
            <v>Sáez Rodríguez, Diego José</v>
          </cell>
          <cell r="E1022" t="str">
            <v>dsaezr@professor.universidadviu.com</v>
          </cell>
          <cell r="F1022" t="str">
            <v>dsaezr@professor.universidadviu.com</v>
          </cell>
          <cell r="G1022" t="str">
            <v>Yes</v>
          </cell>
          <cell r="H1022" t="str">
            <v>NO</v>
          </cell>
          <cell r="I1022" t="str">
            <v/>
          </cell>
          <cell r="J1022" t="str">
            <v/>
          </cell>
          <cell r="K1022" t="str">
            <v/>
          </cell>
          <cell r="L1022" t="str">
            <v/>
          </cell>
          <cell r="M1022" t="str">
            <v>Labour</v>
          </cell>
          <cell r="N1022"/>
          <cell r="O1022" t="str">
            <v>CSS</v>
          </cell>
          <cell r="P1022">
            <v>75</v>
          </cell>
          <cell r="Q1022" t="str">
            <v>46</v>
          </cell>
          <cell r="R1022"/>
          <cell r="S1022"/>
          <cell r="T1022" t="str">
            <v>Sin reducción</v>
          </cell>
          <cell r="U1022">
            <v>0</v>
          </cell>
          <cell r="V1022"/>
          <cell r="W1022"/>
          <cell r="X1022">
            <v>1.4</v>
          </cell>
          <cell r="Y1022">
            <v>0</v>
          </cell>
          <cell r="Z1022">
            <v>0</v>
          </cell>
          <cell r="AA1022"/>
          <cell r="AB1022" t="str">
            <v>Active - signed</v>
          </cell>
          <cell r="AC1022" t="str">
            <v>NO ACTIVO</v>
          </cell>
          <cell r="AD1022"/>
          <cell r="AE1022"/>
          <cell r="AF1022">
            <v>46048</v>
          </cell>
          <cell r="AG1022" t="str">
            <v>CESE DE CONTRATO</v>
          </cell>
          <cell r="AH1022"/>
          <cell r="AI1022" t="str">
            <v>53234599H</v>
          </cell>
        </row>
        <row r="1023">
          <cell r="A1023" t="str">
            <v>74662769P</v>
          </cell>
          <cell r="B1023" t="str">
            <v>Sáez Sáez</v>
          </cell>
          <cell r="C1023" t="str">
            <v>Noelia Teresa</v>
          </cell>
          <cell r="D1023" t="str">
            <v>Sáez Sáez, Noelia Teresa</v>
          </cell>
          <cell r="E1023" t="str">
            <v>nsaezs@professional.universidadviu.com</v>
          </cell>
          <cell r="F1023" t="str">
            <v>nsaezs@professional.universidadviu.com</v>
          </cell>
          <cell r="G1023" t="str">
            <v>Yes</v>
          </cell>
          <cell r="H1023" t="str">
            <v>Yes</v>
          </cell>
          <cell r="I1023" t="str">
            <v>PROGRAMA DE DOCTORADO EN PSICOLOGÍA</v>
          </cell>
          <cell r="J1023" t="str">
            <v>MASTER UNIVERSITARIO DE NEUROCIENCIA Y DOLOR</v>
          </cell>
          <cell r="K1023" t="str">
            <v>LICENCIATURA EN PSICOLOGÍA</v>
          </cell>
          <cell r="L1023" t="str">
            <v/>
          </cell>
          <cell r="M1023" t="str">
            <v>Professional</v>
          </cell>
          <cell r="N1023"/>
          <cell r="O1023" t="str">
            <v>CSS</v>
          </cell>
          <cell r="P1023"/>
          <cell r="Q1023" t="str">
            <v xml:space="preserve"> </v>
          </cell>
          <cell r="R1023"/>
          <cell r="S1023"/>
          <cell r="T1023" t="str">
            <v>Sin reducción</v>
          </cell>
          <cell r="U1023">
            <v>0</v>
          </cell>
          <cell r="V1023"/>
          <cell r="W1023"/>
          <cell r="X1023">
            <v>0</v>
          </cell>
          <cell r="Y1023">
            <v>0</v>
          </cell>
          <cell r="Z1023">
            <v>0</v>
          </cell>
          <cell r="AA1023"/>
          <cell r="AB1023" t="str">
            <v>Active - signed</v>
          </cell>
          <cell r="AC1023" t="str">
            <v>ACTIVO</v>
          </cell>
          <cell r="AD1023"/>
          <cell r="AE1023"/>
          <cell r="AF1023"/>
          <cell r="AG1023"/>
          <cell r="AH1023"/>
          <cell r="AI1023" t="str">
            <v>74662769P</v>
          </cell>
        </row>
        <row r="1024">
          <cell r="A1024" t="str">
            <v>16626986X</v>
          </cell>
          <cell r="B1024" t="str">
            <v>Sainz Ruiz</v>
          </cell>
          <cell r="C1024" t="str">
            <v>Pablo Alberto</v>
          </cell>
          <cell r="D1024" t="str">
            <v>Sainz Ruiz, Pablo Alberto</v>
          </cell>
          <cell r="E1024" t="str">
            <v>pabloalberto.sainz</v>
          </cell>
          <cell r="F1024" t="str">
            <v>pabloalberto.sainz@professor.universidadviu.com</v>
          </cell>
          <cell r="G1024" t="str">
            <v>Yes</v>
          </cell>
          <cell r="H1024" t="str">
            <v>NO</v>
          </cell>
          <cell r="I1024" t="str">
            <v>Doctorado en Ciencias de la Salud</v>
          </cell>
          <cell r="J1024" t="str">
            <v>Graduado/a en Enfermeria</v>
          </cell>
          <cell r="K1024" t="str">
            <v>Máster universitario en investigación en ciencias de la enfermería</v>
          </cell>
          <cell r="L1024" t="str">
            <v>Doctorado en Ciencias de la Salud</v>
          </cell>
          <cell r="M1024" t="str">
            <v>Labour</v>
          </cell>
          <cell r="N1024" t="str">
            <v>Mut Ronda, Salvador</v>
          </cell>
          <cell r="O1024" t="str">
            <v>CBS</v>
          </cell>
          <cell r="P1024" t="str">
            <v>6,00</v>
          </cell>
          <cell r="Q1024" t="b">
            <v>0</v>
          </cell>
          <cell r="R1024"/>
          <cell r="S1024"/>
          <cell r="T1024" t="str">
            <v>Sin reducción</v>
          </cell>
          <cell r="U1024">
            <v>0</v>
          </cell>
          <cell r="V1024"/>
          <cell r="W1024"/>
          <cell r="X1024">
            <v>0</v>
          </cell>
          <cell r="Y1024">
            <v>0</v>
          </cell>
          <cell r="Z1024">
            <v>0</v>
          </cell>
          <cell r="AA1024"/>
          <cell r="AB1024" t="str">
            <v>Concluded</v>
          </cell>
          <cell r="AC1024" t="str">
            <v>NO ACTIVO</v>
          </cell>
          <cell r="AD1024"/>
          <cell r="AE1024"/>
          <cell r="AF1024">
            <v>45901</v>
          </cell>
          <cell r="AG1024" t="str">
            <v>CESE DE CONTRATO</v>
          </cell>
          <cell r="AH1024"/>
          <cell r="AI1024" t="str">
            <v>16626986X</v>
          </cell>
        </row>
        <row r="1025">
          <cell r="A1025" t="str">
            <v>74007073L</v>
          </cell>
          <cell r="B1025" t="str">
            <v>Saiz Clar</v>
          </cell>
          <cell r="C1025" t="str">
            <v>Elena</v>
          </cell>
          <cell r="D1025" t="str">
            <v>Saiz Clar, Elena</v>
          </cell>
          <cell r="E1025" t="str">
            <v>elena.saiz</v>
          </cell>
          <cell r="F1025" t="str">
            <v>elena.saiz@professional.universidadviu.com</v>
          </cell>
          <cell r="G1025" t="str">
            <v>Yes</v>
          </cell>
          <cell r="H1025" t="str">
            <v>NO</v>
          </cell>
          <cell r="I1025" t="str">
            <v>Psicología</v>
          </cell>
          <cell r="J1025" t="str">
            <v>Máster Universitario en Metodología en Ciencias del Comportamiento y de la Salud</v>
          </cell>
          <cell r="K1025" t="str">
            <v>Doctorado en Metodología en CC. del comportamiento y de la salud</v>
          </cell>
          <cell r="L1025" t="str">
            <v/>
          </cell>
          <cell r="M1025" t="str">
            <v>Professional</v>
          </cell>
          <cell r="N1025" t="str">
            <v/>
          </cell>
          <cell r="O1025" t="str">
            <v>CSS</v>
          </cell>
          <cell r="P1025">
            <v>0</v>
          </cell>
          <cell r="Q1025" t="str">
            <v xml:space="preserve"> </v>
          </cell>
          <cell r="R1025"/>
          <cell r="S1025"/>
          <cell r="T1025" t="str">
            <v>Sin reducción</v>
          </cell>
          <cell r="U1025">
            <v>0</v>
          </cell>
          <cell r="V1025"/>
          <cell r="W1025"/>
          <cell r="X1025">
            <v>0</v>
          </cell>
          <cell r="Y1025">
            <v>0</v>
          </cell>
          <cell r="Z1025">
            <v>0</v>
          </cell>
          <cell r="AA1025"/>
          <cell r="AB1025" t="str">
            <v>Active - signed</v>
          </cell>
          <cell r="AC1025" t="str">
            <v>ACTIVO</v>
          </cell>
          <cell r="AD1025"/>
          <cell r="AE1025"/>
          <cell r="AF1025"/>
          <cell r="AG1025"/>
          <cell r="AH1025"/>
          <cell r="AI1025" t="str">
            <v>74007073L</v>
          </cell>
        </row>
        <row r="1026">
          <cell r="A1026" t="str">
            <v>70518473J</v>
          </cell>
          <cell r="B1026" t="str">
            <v>Salamanca Fernández</v>
          </cell>
          <cell r="C1026" t="str">
            <v>Alicia</v>
          </cell>
          <cell r="D1026" t="str">
            <v>Salamanca Fernández, Alicia</v>
          </cell>
          <cell r="E1026" t="str">
            <v>alicia.salamanca</v>
          </cell>
          <cell r="F1026"/>
          <cell r="G1026" t="str">
            <v>Yes</v>
          </cell>
          <cell r="H1026" t="str">
            <v>NO</v>
          </cell>
          <cell r="I1026" t="str">
            <v>Programa de Doctorado en Estudios Feministas y de género</v>
          </cell>
          <cell r="J1026" t="str">
            <v>Programa de Doctorado en Estudios Feministas y de género</v>
          </cell>
          <cell r="K1026" t="str">
            <v>Máster Prevención y tratamiento de las conductas adictivas</v>
          </cell>
          <cell r="L1026" t="str">
            <v>Máster Violencia de Genero</v>
          </cell>
          <cell r="M1026" t="str">
            <v>Labour</v>
          </cell>
          <cell r="N1026" t="str">
            <v>Consultar a Jurídico</v>
          </cell>
          <cell r="O1026" t="str">
            <v>CSS</v>
          </cell>
          <cell r="P1026">
            <v>40</v>
          </cell>
          <cell r="Q1026" t="str">
            <v>32</v>
          </cell>
          <cell r="R1026"/>
          <cell r="S1026"/>
          <cell r="T1026" t="str">
            <v>Sin reducción</v>
          </cell>
          <cell r="U1026">
            <v>0</v>
          </cell>
          <cell r="V1026">
            <v>30.6</v>
          </cell>
          <cell r="W1026" t="str">
            <v>Jurídico</v>
          </cell>
          <cell r="X1026">
            <v>1.4</v>
          </cell>
          <cell r="Y1026">
            <v>0</v>
          </cell>
          <cell r="Z1026">
            <v>1.4</v>
          </cell>
          <cell r="AA1026"/>
          <cell r="AB1026" t="str">
            <v>Active - signed</v>
          </cell>
          <cell r="AC1026" t="str">
            <v>ACTIVO</v>
          </cell>
          <cell r="AD1026"/>
          <cell r="AE1026"/>
          <cell r="AF1026"/>
          <cell r="AG1026"/>
          <cell r="AH1026"/>
          <cell r="AI1026" t="str">
            <v>70518473J</v>
          </cell>
        </row>
        <row r="1027">
          <cell r="A1027" t="str">
            <v>44871531A</v>
          </cell>
          <cell r="B1027" t="str">
            <v>Salinas Granell</v>
          </cell>
          <cell r="C1027" t="str">
            <v>Mireya Beatriz</v>
          </cell>
          <cell r="D1027" t="str">
            <v>Salinas Granell, Mireya Beatriz</v>
          </cell>
          <cell r="E1027" t="str">
            <v>mireyabeatriz.salinas</v>
          </cell>
          <cell r="F1027" t="str">
            <v>mireyabeatriz.salinas@professional.universidadviu.com</v>
          </cell>
          <cell r="G1027" t="str">
            <v>Yes</v>
          </cell>
          <cell r="H1027" t="str">
            <v>NO</v>
          </cell>
          <cell r="I1027" t="str">
            <v>Licenciada en Veterinaria</v>
          </cell>
          <cell r="J1027" t="str">
            <v>Programa Oficial de Doctorado en Avances en Ciencias Experimentales y de la Salud</v>
          </cell>
          <cell r="K1027" t="str">
            <v>Diploma Superior en Epidemiología y Nuevas Tecnologías Aplicadas</v>
          </cell>
          <cell r="L1027" t="str">
            <v>Curso de Aptitud Pedagógica</v>
          </cell>
          <cell r="M1027" t="str">
            <v>Professional</v>
          </cell>
          <cell r="N1027" t="str">
            <v/>
          </cell>
          <cell r="O1027" t="str">
            <v>CBS</v>
          </cell>
          <cell r="P1027">
            <v>0</v>
          </cell>
          <cell r="Q1027" t="str">
            <v xml:space="preserve"> </v>
          </cell>
          <cell r="R1027"/>
          <cell r="S1027"/>
          <cell r="T1027" t="str">
            <v>Sin reducción</v>
          </cell>
          <cell r="U1027">
            <v>0</v>
          </cell>
          <cell r="V1027"/>
          <cell r="W1027"/>
          <cell r="X1027">
            <v>0</v>
          </cell>
          <cell r="Y1027">
            <v>0</v>
          </cell>
          <cell r="Z1027">
            <v>0</v>
          </cell>
          <cell r="AA1027"/>
          <cell r="AB1027" t="str">
            <v>Active - signed</v>
          </cell>
          <cell r="AC1027" t="str">
            <v>ACTIVO</v>
          </cell>
          <cell r="AD1027"/>
          <cell r="AE1027"/>
          <cell r="AF1027"/>
          <cell r="AG1027"/>
          <cell r="AH1027"/>
          <cell r="AI1027" t="str">
            <v>44871531A</v>
          </cell>
        </row>
        <row r="1028">
          <cell r="A1028" t="str">
            <v>73100380D</v>
          </cell>
          <cell r="B1028" t="str">
            <v>Salom Borrás</v>
          </cell>
          <cell r="C1028" t="str">
            <v>Rafael</v>
          </cell>
          <cell r="D1028" t="str">
            <v>Salom Borrás, Rafael</v>
          </cell>
          <cell r="E1028" t="str">
            <v>rsalomb@professor.universidadviu.com</v>
          </cell>
          <cell r="F1028" t="str">
            <v>rsalomb@professor.universidadviu.com</v>
          </cell>
          <cell r="G1028" t="str">
            <v>Yes</v>
          </cell>
          <cell r="H1028" t="str">
            <v>NO</v>
          </cell>
          <cell r="I1028" t="str">
            <v>PROGRAMA DE DOCTORADO EN EDUCACIÓN Y PROCESOS EDUCATIVOS</v>
          </cell>
          <cell r="J1028" t="str">
            <v>PROGRAMA DE DOCTORADO EN EDUCACIÓN Y PROCESOS EDUCATIVOS</v>
          </cell>
          <cell r="K1028" t="str">
            <v>Máster universitario en Psicología General Sanitaria</v>
          </cell>
          <cell r="L1028" t="str">
            <v>Grado en Psicología</v>
          </cell>
          <cell r="M1028" t="str">
            <v>Labour</v>
          </cell>
          <cell r="N1028" t="str">
            <v>Ródenas González, Francisco</v>
          </cell>
          <cell r="O1028" t="str">
            <v>CSS</v>
          </cell>
          <cell r="P1028">
            <v>50</v>
          </cell>
          <cell r="Q1028" t="str">
            <v>38</v>
          </cell>
          <cell r="R1028"/>
          <cell r="S1028"/>
          <cell r="T1028" t="str">
            <v>Sin reducción</v>
          </cell>
          <cell r="U1028">
            <v>0</v>
          </cell>
          <cell r="V1028"/>
          <cell r="W1028"/>
          <cell r="X1028">
            <v>0</v>
          </cell>
          <cell r="Y1028">
            <v>0</v>
          </cell>
          <cell r="Z1028">
            <v>0</v>
          </cell>
          <cell r="AA1028"/>
          <cell r="AB1028" t="str">
            <v>Active - signed</v>
          </cell>
          <cell r="AC1028" t="str">
            <v>NO ACTIVO</v>
          </cell>
          <cell r="AD1028"/>
          <cell r="AE1028"/>
          <cell r="AF1028">
            <v>46053</v>
          </cell>
          <cell r="AG1028" t="str">
            <v>CESE DE CONTRATO</v>
          </cell>
          <cell r="AH1028"/>
          <cell r="AI1028" t="str">
            <v>73100380D</v>
          </cell>
        </row>
        <row r="1029">
          <cell r="A1029" t="str">
            <v>53727851N</v>
          </cell>
          <cell r="B1029" t="str">
            <v>Salvador Candau</v>
          </cell>
          <cell r="C1029" t="str">
            <v>Ester</v>
          </cell>
          <cell r="D1029" t="str">
            <v>Salvador Candau, Ester</v>
          </cell>
          <cell r="E1029" t="str">
            <v>ester.salvador</v>
          </cell>
          <cell r="F1029" t="str">
            <v>ester.salvador@professional.universidadviu.com</v>
          </cell>
          <cell r="G1029" t="str">
            <v>NO</v>
          </cell>
          <cell r="H1029" t="str">
            <v>NO</v>
          </cell>
          <cell r="I1029" t="str">
            <v>Medicina</v>
          </cell>
          <cell r="J1029" t="str">
            <v>Master universitario en tecnicas avanzadasa esteticas y laser</v>
          </cell>
          <cell r="K1029" t="str">
            <v>Especialista en Medicina Familiar y Comunitaria</v>
          </cell>
          <cell r="L1029" t="str">
            <v/>
          </cell>
          <cell r="M1029" t="str">
            <v>Professional</v>
          </cell>
          <cell r="N1029" t="str">
            <v/>
          </cell>
          <cell r="O1029" t="str">
            <v>CBS</v>
          </cell>
          <cell r="P1029">
            <v>0</v>
          </cell>
          <cell r="Q1029" t="str">
            <v xml:space="preserve"> </v>
          </cell>
          <cell r="R1029"/>
          <cell r="S1029"/>
          <cell r="T1029" t="str">
            <v>Sin reducción</v>
          </cell>
          <cell r="U1029">
            <v>0</v>
          </cell>
          <cell r="V1029"/>
          <cell r="W1029"/>
          <cell r="X1029">
            <v>0</v>
          </cell>
          <cell r="Y1029">
            <v>0</v>
          </cell>
          <cell r="Z1029">
            <v>0</v>
          </cell>
          <cell r="AA1029"/>
          <cell r="AB1029" t="str">
            <v>Active - signed</v>
          </cell>
          <cell r="AC1029" t="str">
            <v>ACTIVO</v>
          </cell>
          <cell r="AD1029"/>
          <cell r="AE1029"/>
          <cell r="AF1029"/>
          <cell r="AG1029"/>
          <cell r="AH1029"/>
          <cell r="AI1029" t="str">
            <v>53727851N</v>
          </cell>
        </row>
        <row r="1030">
          <cell r="A1030" t="str">
            <v>71664104Z</v>
          </cell>
          <cell r="B1030" t="str">
            <v>Salvador Simon</v>
          </cell>
          <cell r="C1030" t="str">
            <v>Benjamín</v>
          </cell>
          <cell r="D1030" t="str">
            <v>Salvador Simon, Benjamín</v>
          </cell>
          <cell r="E1030" t="str">
            <v>benjamin.salvador</v>
          </cell>
          <cell r="F1030" t="str">
            <v>benjamin.salvador@professional.universidadviu.com</v>
          </cell>
          <cell r="G1030" t="str">
            <v>Yes</v>
          </cell>
          <cell r="H1030" t="str">
            <v>NO</v>
          </cell>
          <cell r="I1030" t="str">
            <v>Doctor en métodos alternos de solución de conflictos</v>
          </cell>
          <cell r="J1030" t="str">
            <v/>
          </cell>
          <cell r="K1030" t="str">
            <v/>
          </cell>
          <cell r="L1030" t="str">
            <v/>
          </cell>
          <cell r="M1030" t="str">
            <v>Professional</v>
          </cell>
          <cell r="N1030" t="str">
            <v/>
          </cell>
          <cell r="O1030" t="str">
            <v>CSS</v>
          </cell>
          <cell r="P1030">
            <v>0</v>
          </cell>
          <cell r="Q1030" t="str">
            <v xml:space="preserve"> </v>
          </cell>
          <cell r="R1030"/>
          <cell r="S1030"/>
          <cell r="T1030" t="str">
            <v>Sin reducción</v>
          </cell>
          <cell r="U1030">
            <v>0</v>
          </cell>
          <cell r="V1030"/>
          <cell r="W1030"/>
          <cell r="X1030">
            <v>0</v>
          </cell>
          <cell r="Y1030">
            <v>0</v>
          </cell>
          <cell r="Z1030">
            <v>0</v>
          </cell>
          <cell r="AA1030"/>
          <cell r="AB1030" t="str">
            <v>Active - signed</v>
          </cell>
          <cell r="AC1030" t="str">
            <v>ACTIVO</v>
          </cell>
          <cell r="AD1030"/>
          <cell r="AE1030"/>
          <cell r="AF1030"/>
          <cell r="AG1030"/>
          <cell r="AH1030"/>
          <cell r="AI1030" t="str">
            <v>71664104Z</v>
          </cell>
        </row>
        <row r="1031">
          <cell r="A1031" t="str">
            <v>21672866N</v>
          </cell>
          <cell r="B1031" t="str">
            <v>Samaniego Gisbert</v>
          </cell>
          <cell r="C1031" t="str">
            <v>Juan Andrés</v>
          </cell>
          <cell r="D1031" t="str">
            <v>Samaniego Gisbert, Juan Andrés</v>
          </cell>
          <cell r="E1031" t="str">
            <v>jsamaniegog@professional.universidadviu.com</v>
          </cell>
          <cell r="F1031" t="str">
            <v>jsamaniegog@professional.universidadviu.com</v>
          </cell>
          <cell r="G1031" t="str">
            <v>NO</v>
          </cell>
          <cell r="H1031" t="str">
            <v>NO</v>
          </cell>
          <cell r="I1031" t="str">
            <v>Master en Psicología General Sanitaria</v>
          </cell>
          <cell r="J1031" t="str">
            <v>Grado en Psicología</v>
          </cell>
          <cell r="K1031" t="str">
            <v/>
          </cell>
          <cell r="L1031" t="str">
            <v/>
          </cell>
          <cell r="M1031" t="str">
            <v>Professional</v>
          </cell>
          <cell r="N1031" t="str">
            <v/>
          </cell>
          <cell r="O1031" t="str">
            <v>CSS</v>
          </cell>
          <cell r="P1031">
            <v>0</v>
          </cell>
          <cell r="Q1031" t="str">
            <v xml:space="preserve"> </v>
          </cell>
          <cell r="R1031"/>
          <cell r="S1031"/>
          <cell r="T1031" t="str">
            <v>Sin reducción</v>
          </cell>
          <cell r="U1031">
            <v>0</v>
          </cell>
          <cell r="V1031"/>
          <cell r="W1031"/>
          <cell r="X1031">
            <v>0</v>
          </cell>
          <cell r="Y1031">
            <v>0</v>
          </cell>
          <cell r="Z1031">
            <v>0</v>
          </cell>
          <cell r="AA1031"/>
          <cell r="AB1031" t="str">
            <v>Active - signed</v>
          </cell>
          <cell r="AC1031" t="str">
            <v>ACTIVO</v>
          </cell>
          <cell r="AD1031"/>
          <cell r="AE1031"/>
          <cell r="AF1031"/>
          <cell r="AG1031"/>
          <cell r="AH1031"/>
          <cell r="AI1031" t="str">
            <v>21672866N</v>
          </cell>
        </row>
        <row r="1032">
          <cell r="A1032" t="str">
            <v>76964166W</v>
          </cell>
          <cell r="B1032" t="str">
            <v>Sampedro Piquero</v>
          </cell>
          <cell r="C1032" t="str">
            <v>Patricia</v>
          </cell>
          <cell r="D1032" t="str">
            <v>Sampedro Piquero, Patricia</v>
          </cell>
          <cell r="E1032" t="str">
            <v>patricia.sampedro</v>
          </cell>
          <cell r="F1032" t="str">
            <v>patricia.sampedro@professional.universidadviu.com</v>
          </cell>
          <cell r="G1032" t="str">
            <v>Yes</v>
          </cell>
          <cell r="H1032" t="str">
            <v>Yes</v>
          </cell>
          <cell r="I1032" t="str">
            <v>Psicología</v>
          </cell>
          <cell r="J1032" t="str">
            <v>Doctorado en Psicología</v>
          </cell>
          <cell r="K1032" t="str">
            <v>Máster Universitario en Investigación en Neurociencias</v>
          </cell>
          <cell r="L1032" t="str">
            <v/>
          </cell>
          <cell r="M1032" t="str">
            <v>Professional</v>
          </cell>
          <cell r="N1032" t="str">
            <v/>
          </cell>
          <cell r="O1032" t="str">
            <v>CSS</v>
          </cell>
          <cell r="P1032">
            <v>0</v>
          </cell>
          <cell r="Q1032" t="str">
            <v xml:space="preserve"> </v>
          </cell>
          <cell r="R1032"/>
          <cell r="S1032"/>
          <cell r="T1032" t="str">
            <v>Sin reducción</v>
          </cell>
          <cell r="U1032">
            <v>0</v>
          </cell>
          <cell r="V1032"/>
          <cell r="W1032"/>
          <cell r="X1032">
            <v>0</v>
          </cell>
          <cell r="Y1032">
            <v>0</v>
          </cell>
          <cell r="Z1032">
            <v>0</v>
          </cell>
          <cell r="AA1032"/>
          <cell r="AB1032" t="str">
            <v>Concluded</v>
          </cell>
          <cell r="AC1032" t="str">
            <v>NO ACTIVO</v>
          </cell>
          <cell r="AD1032"/>
          <cell r="AE1032"/>
          <cell r="AF1032">
            <v>45208</v>
          </cell>
          <cell r="AG1032" t="str">
            <v>CESE DE CONTRATO</v>
          </cell>
          <cell r="AH1032"/>
          <cell r="AI1032" t="str">
            <v>76964166W</v>
          </cell>
        </row>
        <row r="1033">
          <cell r="A1033" t="str">
            <v>22589177A</v>
          </cell>
          <cell r="B1033" t="str">
            <v>San José Tárrega</v>
          </cell>
          <cell r="C1033" t="str">
            <v>Jorge</v>
          </cell>
          <cell r="D1033" t="str">
            <v>San José Tárrega, Jorge</v>
          </cell>
          <cell r="E1033" t="str">
            <v>jorge.sanjose</v>
          </cell>
          <cell r="F1033" t="str">
            <v>jorge.sanjose@professional.universidadviu.com</v>
          </cell>
          <cell r="G1033" t="str">
            <v>Yes</v>
          </cell>
          <cell r="H1033" t="str">
            <v>NO</v>
          </cell>
          <cell r="I1033" t="str">
            <v>Enfermería</v>
          </cell>
          <cell r="J1033" t="str">
            <v>Programa Oficial de Doctorado en Enfermería</v>
          </cell>
          <cell r="K1033" t="str">
            <v>Capacitación para la Enseñanza en Valenciano</v>
          </cell>
          <cell r="L1033" t="str">
            <v>Máster en Formación del Profesorado de Secundaria, Bachillerato, Formación Profesional y Enseñanzas de Idiomas, Especialidad de Biología y Geología</v>
          </cell>
          <cell r="M1033" t="str">
            <v>Professional</v>
          </cell>
          <cell r="N1033" t="str">
            <v/>
          </cell>
          <cell r="O1033" t="str">
            <v>CBS</v>
          </cell>
          <cell r="P1033">
            <v>0</v>
          </cell>
          <cell r="Q1033" t="str">
            <v xml:space="preserve"> </v>
          </cell>
          <cell r="R1033"/>
          <cell r="S1033"/>
          <cell r="T1033" t="str">
            <v>Sin reducción</v>
          </cell>
          <cell r="U1033">
            <v>0</v>
          </cell>
          <cell r="V1033"/>
          <cell r="W1033"/>
          <cell r="X1033">
            <v>0</v>
          </cell>
          <cell r="Y1033">
            <v>0</v>
          </cell>
          <cell r="Z1033">
            <v>0</v>
          </cell>
          <cell r="AA1033"/>
          <cell r="AB1033" t="str">
            <v>Active - signed</v>
          </cell>
          <cell r="AC1033" t="str">
            <v>ACTIVO</v>
          </cell>
          <cell r="AD1033"/>
          <cell r="AE1033"/>
          <cell r="AF1033"/>
          <cell r="AG1033"/>
          <cell r="AH1033"/>
          <cell r="AI1033" t="str">
            <v>22589177A</v>
          </cell>
        </row>
        <row r="1034">
          <cell r="A1034" t="str">
            <v>05204059X</v>
          </cell>
          <cell r="B1034" t="str">
            <v>Sánchez Burón</v>
          </cell>
          <cell r="C1034" t="str">
            <v>Adolfo</v>
          </cell>
          <cell r="D1034" t="str">
            <v>Sánchez Burón, Adolfo</v>
          </cell>
          <cell r="E1034" t="str">
            <v>adolfo.sanchez.d</v>
          </cell>
          <cell r="F1034" t="str">
            <v>adolfo.sanchez.d@professional.universidadviu.com</v>
          </cell>
          <cell r="G1034" t="str">
            <v>Yes</v>
          </cell>
          <cell r="H1034" t="str">
            <v>Yes</v>
          </cell>
          <cell r="I1034" t="str">
            <v>Programa Doctorado en Psicología Escolar y Desarrollo</v>
          </cell>
          <cell r="J1034" t="str">
            <v>Licenciado en Psicología</v>
          </cell>
          <cell r="K1034" t="str">
            <v/>
          </cell>
          <cell r="L1034" t="str">
            <v/>
          </cell>
          <cell r="M1034" t="str">
            <v>Professional</v>
          </cell>
          <cell r="N1034" t="str">
            <v/>
          </cell>
          <cell r="O1034" t="str">
            <v>CSS</v>
          </cell>
          <cell r="P1034">
            <v>0</v>
          </cell>
          <cell r="Q1034" t="str">
            <v xml:space="preserve"> </v>
          </cell>
          <cell r="R1034"/>
          <cell r="S1034"/>
          <cell r="T1034" t="str">
            <v>Sin reducción</v>
          </cell>
          <cell r="U1034">
            <v>0</v>
          </cell>
          <cell r="V1034"/>
          <cell r="W1034"/>
          <cell r="X1034">
            <v>0</v>
          </cell>
          <cell r="Y1034">
            <v>0</v>
          </cell>
          <cell r="Z1034">
            <v>0</v>
          </cell>
          <cell r="AA1034"/>
          <cell r="AB1034" t="str">
            <v>Active - signed</v>
          </cell>
          <cell r="AC1034" t="str">
            <v>ACTIVO</v>
          </cell>
          <cell r="AD1034"/>
          <cell r="AE1034"/>
          <cell r="AF1034"/>
          <cell r="AG1034"/>
          <cell r="AH1034"/>
          <cell r="AI1034" t="str">
            <v>05204059X</v>
          </cell>
        </row>
        <row r="1035">
          <cell r="A1035" t="str">
            <v>70262055E</v>
          </cell>
          <cell r="B1035" t="str">
            <v>Sánchez Castillo</v>
          </cell>
          <cell r="C1035" t="str">
            <v>Carla</v>
          </cell>
          <cell r="D1035" t="str">
            <v>Sánchez Castillo, Carla</v>
          </cell>
          <cell r="E1035" t="str">
            <v>carla.sanchezc</v>
          </cell>
          <cell r="F1035" t="str">
            <v>carla.sanchezc@professional.universidadviu.com</v>
          </cell>
          <cell r="G1035" t="str">
            <v>Yes</v>
          </cell>
          <cell r="H1035" t="str">
            <v>NO</v>
          </cell>
          <cell r="I1035" t="str">
            <v>Bioquímica</v>
          </cell>
          <cell r="J1035" t="str">
            <v>Programa de Doctorado en Biociencias Moleculares</v>
          </cell>
          <cell r="K1035" t="str">
            <v>Máster en Investigaciones Farmacológicas</v>
          </cell>
          <cell r="L1035" t="str">
            <v/>
          </cell>
          <cell r="M1035" t="str">
            <v>Professional</v>
          </cell>
          <cell r="N1035" t="str">
            <v/>
          </cell>
          <cell r="O1035" t="str">
            <v>CBS</v>
          </cell>
          <cell r="P1035">
            <v>0</v>
          </cell>
          <cell r="Q1035" t="str">
            <v xml:space="preserve"> </v>
          </cell>
          <cell r="R1035"/>
          <cell r="S1035"/>
          <cell r="T1035" t="str">
            <v>Sin reducción</v>
          </cell>
          <cell r="U1035">
            <v>0</v>
          </cell>
          <cell r="V1035"/>
          <cell r="W1035"/>
          <cell r="X1035">
            <v>0</v>
          </cell>
          <cell r="Y1035">
            <v>0</v>
          </cell>
          <cell r="Z1035">
            <v>0</v>
          </cell>
          <cell r="AA1035"/>
          <cell r="AB1035" t="str">
            <v>Active - signed</v>
          </cell>
          <cell r="AC1035" t="str">
            <v>ACTIVO</v>
          </cell>
          <cell r="AD1035"/>
          <cell r="AE1035"/>
          <cell r="AF1035"/>
          <cell r="AG1035"/>
          <cell r="AH1035"/>
          <cell r="AI1035" t="str">
            <v>70262055E</v>
          </cell>
        </row>
        <row r="1036">
          <cell r="A1036" t="str">
            <v>73393542J</v>
          </cell>
          <cell r="B1036" t="str">
            <v>Sánchez Chiva</v>
          </cell>
          <cell r="C1036" t="str">
            <v>Desirée</v>
          </cell>
          <cell r="D1036" t="str">
            <v>Sánchez Chiva, Desirée</v>
          </cell>
          <cell r="E1036" t="str">
            <v>desiree.sanchez</v>
          </cell>
          <cell r="F1036" t="str">
            <v>desiree.sanchez@professor.universidadviu.com</v>
          </cell>
          <cell r="G1036" t="str">
            <v>Yes</v>
          </cell>
          <cell r="H1036" t="str">
            <v>Yes</v>
          </cell>
          <cell r="I1036" t="str">
            <v>Doctorado</v>
          </cell>
          <cell r="J1036" t="str">
            <v>Licenciado en Psicología</v>
          </cell>
          <cell r="K1036" t="str">
            <v/>
          </cell>
          <cell r="L1036" t="str">
            <v/>
          </cell>
          <cell r="M1036" t="str">
            <v>Labour</v>
          </cell>
          <cell r="N1036"/>
          <cell r="O1036" t="str">
            <v>CSS</v>
          </cell>
          <cell r="P1036" t="str">
            <v>50,00</v>
          </cell>
          <cell r="Q1036" t="b">
            <v>0</v>
          </cell>
          <cell r="R1036"/>
          <cell r="S1036"/>
          <cell r="T1036" t="str">
            <v>Sin reducción</v>
          </cell>
          <cell r="U1036">
            <v>0</v>
          </cell>
          <cell r="V1036"/>
          <cell r="W1036"/>
          <cell r="X1036">
            <v>0</v>
          </cell>
          <cell r="Y1036">
            <v>0</v>
          </cell>
          <cell r="Z1036">
            <v>0</v>
          </cell>
          <cell r="AA1036"/>
          <cell r="AB1036" t="str">
            <v>Concluded</v>
          </cell>
          <cell r="AC1036" t="str">
            <v>NO ACTIVO</v>
          </cell>
          <cell r="AD1036"/>
          <cell r="AE1036"/>
          <cell r="AF1036">
            <v>45712</v>
          </cell>
          <cell r="AG1036" t="str">
            <v>CESE DE CONTRATO</v>
          </cell>
          <cell r="AH1036"/>
          <cell r="AI1036" t="str">
            <v>73393542J</v>
          </cell>
        </row>
        <row r="1037">
          <cell r="A1037" t="str">
            <v>08364208M</v>
          </cell>
          <cell r="B1037" t="str">
            <v>Sánchez Cuevas</v>
          </cell>
          <cell r="C1037" t="str">
            <v>Gema</v>
          </cell>
          <cell r="D1037" t="str">
            <v>Sánchez Cuevas, Gema</v>
          </cell>
          <cell r="E1037" t="str">
            <v>gema.sanchez.c</v>
          </cell>
          <cell r="F1037" t="str">
            <v>gema.sanchez.c@professional.universidadviu.com</v>
          </cell>
          <cell r="G1037" t="str">
            <v>NO</v>
          </cell>
          <cell r="H1037" t="str">
            <v>NO</v>
          </cell>
          <cell r="I1037" t="str">
            <v/>
          </cell>
          <cell r="J1037" t="str">
            <v/>
          </cell>
          <cell r="K1037" t="str">
            <v/>
          </cell>
          <cell r="L1037" t="str">
            <v/>
          </cell>
          <cell r="M1037" t="str">
            <v>Professional</v>
          </cell>
          <cell r="N1037" t="str">
            <v/>
          </cell>
          <cell r="O1037" t="str">
            <v>CSS</v>
          </cell>
          <cell r="P1037">
            <v>0</v>
          </cell>
          <cell r="Q1037" t="str">
            <v xml:space="preserve"> </v>
          </cell>
          <cell r="R1037"/>
          <cell r="S1037"/>
          <cell r="T1037" t="str">
            <v>Sin reducción</v>
          </cell>
          <cell r="U1037">
            <v>0</v>
          </cell>
          <cell r="V1037"/>
          <cell r="W1037"/>
          <cell r="X1037">
            <v>0</v>
          </cell>
          <cell r="Y1037">
            <v>0</v>
          </cell>
          <cell r="Z1037">
            <v>0</v>
          </cell>
          <cell r="AA1037"/>
          <cell r="AB1037" t="str">
            <v>Active - signed</v>
          </cell>
          <cell r="AC1037" t="str">
            <v>ACTIVO</v>
          </cell>
          <cell r="AD1037"/>
          <cell r="AE1037"/>
          <cell r="AF1037"/>
          <cell r="AG1037"/>
          <cell r="AH1037"/>
          <cell r="AI1037" t="str">
            <v>08364208M</v>
          </cell>
        </row>
        <row r="1038">
          <cell r="A1038" t="str">
            <v>76087507B</v>
          </cell>
          <cell r="B1038" t="str">
            <v>Sánchez Fernández</v>
          </cell>
          <cell r="C1038" t="str">
            <v>Magdalena</v>
          </cell>
          <cell r="D1038" t="str">
            <v>Sánchez Fernández, Magdalena</v>
          </cell>
          <cell r="E1038" t="str">
            <v>msanchezf@professor.universidadviu.com</v>
          </cell>
          <cell r="F1038" t="str">
            <v>msanchezf@professor.universidadviu.com</v>
          </cell>
          <cell r="G1038" t="str">
            <v>Yes</v>
          </cell>
          <cell r="H1038" t="str">
            <v>NO</v>
          </cell>
          <cell r="I1038" t="str">
            <v>Psicología</v>
          </cell>
          <cell r="J1038" t="str">
            <v>Doctorado en Psicología</v>
          </cell>
          <cell r="K1038" t="str">
            <v>Psicología General Sanitaria</v>
          </cell>
          <cell r="L1038" t="str">
            <v/>
          </cell>
          <cell r="M1038" t="str">
            <v>Labour</v>
          </cell>
          <cell r="N1038" t="str">
            <v>Gómez Martínez, Sandra</v>
          </cell>
          <cell r="O1038" t="str">
            <v>CSS</v>
          </cell>
          <cell r="P1038">
            <v>0</v>
          </cell>
          <cell r="Q1038" t="str">
            <v xml:space="preserve"> </v>
          </cell>
          <cell r="R1038"/>
          <cell r="S1038"/>
          <cell r="T1038" t="str">
            <v>Sin reducción</v>
          </cell>
          <cell r="U1038">
            <v>0</v>
          </cell>
          <cell r="V1038"/>
          <cell r="W1038"/>
          <cell r="X1038">
            <v>0</v>
          </cell>
          <cell r="Y1038">
            <v>0</v>
          </cell>
          <cell r="Z1038">
            <v>0</v>
          </cell>
          <cell r="AA1038"/>
          <cell r="AB1038" t="str">
            <v>Active - signed</v>
          </cell>
          <cell r="AC1038" t="str">
            <v>ACTIVO</v>
          </cell>
          <cell r="AD1038"/>
          <cell r="AE1038"/>
          <cell r="AF1038"/>
          <cell r="AG1038"/>
          <cell r="AH1038"/>
          <cell r="AI1038" t="str">
            <v>76087507B</v>
          </cell>
        </row>
        <row r="1039">
          <cell r="A1039" t="str">
            <v>03204762B</v>
          </cell>
          <cell r="B1039" t="str">
            <v>Sánchez García</v>
          </cell>
          <cell r="C1039" t="str">
            <v>Sergio</v>
          </cell>
          <cell r="D1039" t="str">
            <v>Sánchez García, Sergio</v>
          </cell>
          <cell r="E1039" t="str">
            <v>ssanchezg@professor.universidadviu.com</v>
          </cell>
          <cell r="F1039" t="str">
            <v>ssanchezg@professor.universidadviu.com</v>
          </cell>
          <cell r="G1039" t="str">
            <v>Yes</v>
          </cell>
          <cell r="H1039" t="str">
            <v>No</v>
          </cell>
          <cell r="I1039" t="str">
            <v/>
          </cell>
          <cell r="J1039" t="str">
            <v/>
          </cell>
          <cell r="K1039" t="str">
            <v/>
          </cell>
          <cell r="L1039" t="str">
            <v/>
          </cell>
          <cell r="M1039" t="str">
            <v>Labour</v>
          </cell>
          <cell r="N1039"/>
          <cell r="O1039" t="str">
            <v>CBS</v>
          </cell>
          <cell r="P1039">
            <v>6</v>
          </cell>
          <cell r="Q1039" t="str">
            <v>6</v>
          </cell>
          <cell r="R1039"/>
          <cell r="S1039"/>
          <cell r="T1039" t="str">
            <v>Sin reducción</v>
          </cell>
          <cell r="U1039">
            <v>0</v>
          </cell>
          <cell r="V1039"/>
          <cell r="W1039"/>
          <cell r="X1039">
            <v>0</v>
          </cell>
          <cell r="Y1039">
            <v>6</v>
          </cell>
          <cell r="Z1039">
            <v>0</v>
          </cell>
          <cell r="AA1039"/>
          <cell r="AB1039" t="str">
            <v>Active - signed</v>
          </cell>
          <cell r="AC1039" t="str">
            <v>ACTIVO</v>
          </cell>
          <cell r="AD1039"/>
          <cell r="AE1039"/>
          <cell r="AF1039"/>
          <cell r="AG1039"/>
          <cell r="AH1039"/>
          <cell r="AI1039" t="str">
            <v>03204762B</v>
          </cell>
        </row>
        <row r="1040">
          <cell r="A1040" t="str">
            <v>53729778F</v>
          </cell>
          <cell r="B1040" t="str">
            <v>Sánchez Gómez</v>
          </cell>
          <cell r="C1040" t="str">
            <v>Martín</v>
          </cell>
          <cell r="D1040" t="str">
            <v>Sánchez Gómez, Martín</v>
          </cell>
          <cell r="E1040" t="str">
            <v>martin.sanchez.g</v>
          </cell>
          <cell r="F1040" t="str">
            <v>martin.sanchez.g@professor.universidadviu.com</v>
          </cell>
          <cell r="G1040" t="str">
            <v>Yes</v>
          </cell>
          <cell r="H1040" t="str">
            <v>Yes</v>
          </cell>
          <cell r="I1040" t="str">
            <v>Doctorado en Psicología</v>
          </cell>
          <cell r="J1040" t="str">
            <v>Doctorado en Psicología</v>
          </cell>
          <cell r="K1040" t="str">
            <v>Grado en Psicología</v>
          </cell>
          <cell r="L1040" t="str">
            <v/>
          </cell>
          <cell r="M1040" t="str">
            <v>Labour</v>
          </cell>
          <cell r="N1040" t="str">
            <v>Ródenas González, Francisco</v>
          </cell>
          <cell r="O1040" t="str">
            <v>CSS</v>
          </cell>
          <cell r="P1040">
            <v>100</v>
          </cell>
          <cell r="Q1040" t="str">
            <v>50</v>
          </cell>
          <cell r="R1040"/>
          <cell r="S1040"/>
          <cell r="T1040" t="str">
            <v>Sin reducción</v>
          </cell>
          <cell r="U1040">
            <v>0</v>
          </cell>
          <cell r="V1040">
            <v>12</v>
          </cell>
          <cell r="W1040" t="str">
            <v>EDUCACIÓN</v>
          </cell>
          <cell r="X1040">
            <v>32.299999999999997</v>
          </cell>
          <cell r="Y1040">
            <v>0</v>
          </cell>
          <cell r="Z1040">
            <v>0</v>
          </cell>
          <cell r="AA1040"/>
          <cell r="AB1040" t="str">
            <v>Active - signed</v>
          </cell>
          <cell r="AC1040" t="str">
            <v>ACTIVO</v>
          </cell>
          <cell r="AD1040"/>
          <cell r="AE1040"/>
          <cell r="AF1040"/>
          <cell r="AG1040"/>
          <cell r="AH1040"/>
          <cell r="AI1040" t="str">
            <v>53729778F</v>
          </cell>
        </row>
        <row r="1041">
          <cell r="A1041" t="str">
            <v>70900184Q</v>
          </cell>
          <cell r="B1041" t="str">
            <v>Sánchez González</v>
          </cell>
          <cell r="C1041" t="str">
            <v>Juan Luis</v>
          </cell>
          <cell r="D1041" t="str">
            <v>Sánchez González, Juan Luis</v>
          </cell>
          <cell r="E1041" t="str">
            <v>jsanchezg@professional.universidadviu.com</v>
          </cell>
          <cell r="F1041" t="str">
            <v>jsanchezg@professional.universidadviu.com</v>
          </cell>
          <cell r="G1041" t="str">
            <v>Yes</v>
          </cell>
          <cell r="H1041" t="str">
            <v>Yes</v>
          </cell>
          <cell r="I1041" t="str">
            <v>Doctorado en Salud, Discapacidad, dependencia y bienestar</v>
          </cell>
          <cell r="J1041" t="str">
            <v>Máster Oficial en Intervención a Personas con Enfermedad de Alzheimer</v>
          </cell>
          <cell r="K1041" t="str">
            <v>Grado en Fisioterapia</v>
          </cell>
          <cell r="L1041" t="str">
            <v/>
          </cell>
          <cell r="M1041" t="str">
            <v>Professional</v>
          </cell>
          <cell r="N1041" t="str">
            <v/>
          </cell>
          <cell r="O1041" t="str">
            <v>CBS/CSS</v>
          </cell>
          <cell r="P1041">
            <v>0</v>
          </cell>
          <cell r="Q1041" t="str">
            <v xml:space="preserve"> </v>
          </cell>
          <cell r="R1041"/>
          <cell r="S1041"/>
          <cell r="T1041" t="str">
            <v>Sin reducción</v>
          </cell>
          <cell r="U1041">
            <v>0</v>
          </cell>
          <cell r="V1041"/>
          <cell r="W1041"/>
          <cell r="X1041">
            <v>0</v>
          </cell>
          <cell r="Y1041">
            <v>0</v>
          </cell>
          <cell r="Z1041">
            <v>0</v>
          </cell>
          <cell r="AA1041"/>
          <cell r="AB1041" t="str">
            <v>Active - signed</v>
          </cell>
          <cell r="AC1041" t="str">
            <v>ACTIVO</v>
          </cell>
          <cell r="AD1041"/>
          <cell r="AE1041"/>
          <cell r="AF1041"/>
          <cell r="AG1041"/>
          <cell r="AH1041"/>
          <cell r="AI1041" t="str">
            <v>70900184Q</v>
          </cell>
        </row>
        <row r="1042">
          <cell r="A1042" t="str">
            <v>18450675Y</v>
          </cell>
          <cell r="B1042" t="str">
            <v>Sánchez Hernando</v>
          </cell>
          <cell r="C1042" t="str">
            <v>Beatriz</v>
          </cell>
          <cell r="D1042" t="str">
            <v>Sánchez Hernando, Beatriz</v>
          </cell>
          <cell r="E1042" t="str">
            <v>beatriz.sanchez0</v>
          </cell>
          <cell r="F1042" t="str">
            <v>beatriz.sanchez0@professor.universidadviu.com</v>
          </cell>
          <cell r="G1042" t="str">
            <v>Yes</v>
          </cell>
          <cell r="H1042" t="str">
            <v>NO</v>
          </cell>
          <cell r="I1042" t="str">
            <v>Doctorado en ciencias de la salud y del deporte</v>
          </cell>
          <cell r="J1042" t="str">
            <v>Enfermera especialista en enfermeria familiar y comunitaria</v>
          </cell>
          <cell r="K1042" t="str">
            <v>Diplomado/a en Enfermeria</v>
          </cell>
          <cell r="L1042" t="str">
            <v>Doctorado en ciencias de la salud y del deporte</v>
          </cell>
          <cell r="M1042" t="str">
            <v>Labour</v>
          </cell>
          <cell r="N1042" t="str">
            <v>Cabellos García, Ana Cristina</v>
          </cell>
          <cell r="O1042" t="str">
            <v>CBS</v>
          </cell>
          <cell r="P1042">
            <v>30</v>
          </cell>
          <cell r="Q1042" t="str">
            <v>24</v>
          </cell>
          <cell r="R1042"/>
          <cell r="S1042"/>
          <cell r="T1042" t="str">
            <v>Sin reducción</v>
          </cell>
          <cell r="U1042">
            <v>0</v>
          </cell>
          <cell r="V1042"/>
          <cell r="W1042"/>
          <cell r="X1042">
            <v>0</v>
          </cell>
          <cell r="Y1042">
            <v>24.5</v>
          </cell>
          <cell r="Z1042">
            <v>0</v>
          </cell>
          <cell r="AA1042"/>
          <cell r="AB1042" t="str">
            <v>Active - signed</v>
          </cell>
          <cell r="AC1042" t="str">
            <v>ACTIVO</v>
          </cell>
          <cell r="AD1042"/>
          <cell r="AE1042"/>
          <cell r="AF1042"/>
          <cell r="AG1042"/>
          <cell r="AH1042"/>
          <cell r="AI1042" t="str">
            <v>18450675Y</v>
          </cell>
        </row>
        <row r="1043">
          <cell r="A1043" t="str">
            <v>26496500V</v>
          </cell>
          <cell r="B1043" t="str">
            <v>Sánchez Lara</v>
          </cell>
          <cell r="C1043" t="str">
            <v>Encarnación María</v>
          </cell>
          <cell r="D1043" t="str">
            <v>Sánchez Lara, Encarnación María</v>
          </cell>
          <cell r="E1043" t="str">
            <v>esanchezl@professional.universidadviu.com</v>
          </cell>
          <cell r="F1043" t="str">
            <v>esanchezl@professional.universidadviu.com</v>
          </cell>
          <cell r="G1043" t="str">
            <v>Yes</v>
          </cell>
          <cell r="H1043" t="str">
            <v>Yes</v>
          </cell>
          <cell r="I1043" t="str">
            <v>Doctorado den Psicología</v>
          </cell>
          <cell r="J1043" t="str">
            <v>Licenciatura en Psicología</v>
          </cell>
          <cell r="K1043" t="str">
            <v>Máster en Intervención Psicológica en Ámbitos Clínicos y de la Salud</v>
          </cell>
          <cell r="L1043" t="str">
            <v/>
          </cell>
          <cell r="M1043" t="str">
            <v>Professional</v>
          </cell>
          <cell r="N1043"/>
          <cell r="O1043" t="str">
            <v>CSS</v>
          </cell>
          <cell r="P1043">
            <v>0</v>
          </cell>
          <cell r="Q1043" t="str">
            <v xml:space="preserve"> </v>
          </cell>
          <cell r="R1043"/>
          <cell r="S1043"/>
          <cell r="T1043" t="str">
            <v>Sin reducción</v>
          </cell>
          <cell r="U1043">
            <v>0</v>
          </cell>
          <cell r="V1043"/>
          <cell r="W1043"/>
          <cell r="X1043">
            <v>0</v>
          </cell>
          <cell r="Y1043">
            <v>0</v>
          </cell>
          <cell r="Z1043">
            <v>0</v>
          </cell>
          <cell r="AA1043"/>
          <cell r="AB1043" t="str">
            <v>Active - signed</v>
          </cell>
          <cell r="AC1043" t="str">
            <v>ACTIVO</v>
          </cell>
          <cell r="AD1043"/>
          <cell r="AE1043"/>
          <cell r="AF1043"/>
          <cell r="AG1043"/>
          <cell r="AH1043"/>
          <cell r="AI1043" t="str">
            <v>26496500V</v>
          </cell>
        </row>
        <row r="1044">
          <cell r="A1044" t="str">
            <v>47737774D</v>
          </cell>
          <cell r="B1044" t="str">
            <v>Sánchez Martínez</v>
          </cell>
          <cell r="C1044" t="str">
            <v>Iván</v>
          </cell>
          <cell r="D1044" t="str">
            <v>Sánchez Martínez, Iván</v>
          </cell>
          <cell r="E1044" t="str">
            <v>ivan.sanchez1</v>
          </cell>
          <cell r="F1044" t="str">
            <v>ivan.sanchez1@professor.universidadviu.com</v>
          </cell>
          <cell r="G1044" t="str">
            <v>NO</v>
          </cell>
          <cell r="H1044" t="str">
            <v>NO</v>
          </cell>
          <cell r="I1044" t="str">
            <v>Psicología</v>
          </cell>
          <cell r="J1044" t="str">
            <v>Máster universitario en Psicogerontologia</v>
          </cell>
          <cell r="K1044" t="str">
            <v/>
          </cell>
          <cell r="L1044" t="str">
            <v/>
          </cell>
          <cell r="M1044" t="str">
            <v>Labour</v>
          </cell>
          <cell r="N1044"/>
          <cell r="O1044" t="str">
            <v>CSS</v>
          </cell>
          <cell r="P1044">
            <v>100</v>
          </cell>
          <cell r="Q1044" t="str">
            <v>50</v>
          </cell>
          <cell r="R1044"/>
          <cell r="S1044"/>
          <cell r="T1044" t="str">
            <v>Sin reducción</v>
          </cell>
          <cell r="U1044">
            <v>0</v>
          </cell>
          <cell r="V1044"/>
          <cell r="W1044"/>
          <cell r="X1044">
            <v>0</v>
          </cell>
          <cell r="Y1044">
            <v>0</v>
          </cell>
          <cell r="Z1044">
            <v>0</v>
          </cell>
          <cell r="AA1044"/>
          <cell r="AB1044" t="str">
            <v>Decoupling</v>
          </cell>
          <cell r="AC1044" t="str">
            <v>NO ACTIVO</v>
          </cell>
          <cell r="AD1044"/>
          <cell r="AE1044"/>
          <cell r="AF1044">
            <v>45485</v>
          </cell>
          <cell r="AG1044" t="str">
            <v>CESE DE CONTRATO</v>
          </cell>
          <cell r="AH1044"/>
          <cell r="AI1044" t="str">
            <v>47737774D</v>
          </cell>
        </row>
        <row r="1045">
          <cell r="A1045" t="str">
            <v>31005061A</v>
          </cell>
          <cell r="B1045" t="str">
            <v>Sánchez Olid</v>
          </cell>
          <cell r="C1045" t="str">
            <v>José Manuel</v>
          </cell>
          <cell r="D1045" t="str">
            <v>Sánchez Olid, José Manuel</v>
          </cell>
          <cell r="E1045" t="str">
            <v>josemanuel.sanchezo</v>
          </cell>
          <cell r="F1045" t="str">
            <v>josemanuel.sanchezo@professional.universidadviu.com</v>
          </cell>
          <cell r="G1045" t="str">
            <v>NO</v>
          </cell>
          <cell r="H1045" t="str">
            <v>NO</v>
          </cell>
          <cell r="I1045" t="str">
            <v>Licenciatura en Psicología</v>
          </cell>
          <cell r="J1045" t="str">
            <v/>
          </cell>
          <cell r="K1045" t="str">
            <v/>
          </cell>
          <cell r="L1045" t="str">
            <v/>
          </cell>
          <cell r="M1045" t="str">
            <v>Professional</v>
          </cell>
          <cell r="N1045" t="str">
            <v/>
          </cell>
          <cell r="O1045" t="str">
            <v>CSS</v>
          </cell>
          <cell r="P1045">
            <v>0</v>
          </cell>
          <cell r="Q1045" t="str">
            <v xml:space="preserve"> </v>
          </cell>
          <cell r="R1045"/>
          <cell r="S1045"/>
          <cell r="T1045" t="str">
            <v>Sin reducción</v>
          </cell>
          <cell r="U1045">
            <v>0</v>
          </cell>
          <cell r="V1045"/>
          <cell r="W1045"/>
          <cell r="X1045">
            <v>0</v>
          </cell>
          <cell r="Y1045">
            <v>0</v>
          </cell>
          <cell r="Z1045">
            <v>0</v>
          </cell>
          <cell r="AA1045"/>
          <cell r="AB1045" t="str">
            <v>Active - signed</v>
          </cell>
          <cell r="AC1045" t="str">
            <v>ACTIVO</v>
          </cell>
          <cell r="AD1045"/>
          <cell r="AE1045"/>
          <cell r="AF1045"/>
          <cell r="AG1045"/>
          <cell r="AH1045"/>
          <cell r="AI1045" t="str">
            <v>31005061A</v>
          </cell>
        </row>
        <row r="1046">
          <cell r="A1046" t="str">
            <v>53879133T</v>
          </cell>
          <cell r="B1046" t="str">
            <v>Sánchez Ortí</v>
          </cell>
          <cell r="C1046" t="str">
            <v>Joan Vicent</v>
          </cell>
          <cell r="D1046" t="str">
            <v>Sánchez Ortí, Joan Vicent</v>
          </cell>
          <cell r="E1046" t="str">
            <v>joanvicent.sanchez</v>
          </cell>
          <cell r="F1046" t="str">
            <v>joanvicent.sanchez@professional.universidadviu.com</v>
          </cell>
          <cell r="G1046" t="str">
            <v>Yes</v>
          </cell>
          <cell r="H1046" t="str">
            <v>NO</v>
          </cell>
          <cell r="I1046" t="str">
            <v>Psicología</v>
          </cell>
          <cell r="J1046" t="str">
            <v>Master universitario en neurociencias básicas y aplicadas</v>
          </cell>
          <cell r="K1046" t="str">
            <v>Master universitario en psicologia general sanitaria</v>
          </cell>
          <cell r="L1046" t="str">
            <v/>
          </cell>
          <cell r="M1046" t="str">
            <v>Professional</v>
          </cell>
          <cell r="N1046" t="str">
            <v/>
          </cell>
          <cell r="O1046" t="str">
            <v>CSS</v>
          </cell>
          <cell r="P1046">
            <v>0</v>
          </cell>
          <cell r="Q1046" t="str">
            <v xml:space="preserve"> </v>
          </cell>
          <cell r="R1046"/>
          <cell r="S1046"/>
          <cell r="T1046" t="str">
            <v>Sin reducción</v>
          </cell>
          <cell r="U1046">
            <v>0</v>
          </cell>
          <cell r="V1046"/>
          <cell r="W1046"/>
          <cell r="X1046">
            <v>0</v>
          </cell>
          <cell r="Y1046">
            <v>0</v>
          </cell>
          <cell r="Z1046">
            <v>0</v>
          </cell>
          <cell r="AA1046"/>
          <cell r="AB1046" t="str">
            <v>Active - signed</v>
          </cell>
          <cell r="AC1046" t="str">
            <v>ACTIVO</v>
          </cell>
          <cell r="AD1046"/>
          <cell r="AE1046"/>
          <cell r="AF1046"/>
          <cell r="AG1046"/>
          <cell r="AH1046"/>
          <cell r="AI1046" t="str">
            <v>53879133T</v>
          </cell>
        </row>
        <row r="1047">
          <cell r="A1047" t="str">
            <v>Y0304824L</v>
          </cell>
          <cell r="B1047" t="str">
            <v>Sánchez Reza</v>
          </cell>
          <cell r="C1047" t="str">
            <v>Danahe Virginia</v>
          </cell>
          <cell r="D1047" t="str">
            <v>Sánchez Reza, Danahe Virginia</v>
          </cell>
          <cell r="E1047" t="str">
            <v>dsanchezr@professor.universidadviu.com</v>
          </cell>
          <cell r="F1047" t="str">
            <v>dsanchezr@professor.universidadviu.com</v>
          </cell>
          <cell r="G1047" t="str">
            <v>NO</v>
          </cell>
          <cell r="H1047" t="str">
            <v>NO</v>
          </cell>
          <cell r="I1047" t="str">
            <v>Licenciatura en Psicología</v>
          </cell>
          <cell r="J1047" t="str">
            <v/>
          </cell>
          <cell r="K1047" t="str">
            <v/>
          </cell>
          <cell r="L1047" t="str">
            <v/>
          </cell>
          <cell r="M1047" t="str">
            <v>Labour</v>
          </cell>
          <cell r="N1047" t="str">
            <v>Gómez Martínez, Sandra</v>
          </cell>
          <cell r="O1047" t="str">
            <v>CSS</v>
          </cell>
          <cell r="P1047">
            <v>100</v>
          </cell>
          <cell r="Q1047" t="str">
            <v>50</v>
          </cell>
          <cell r="R1047"/>
          <cell r="S1047"/>
          <cell r="T1047" t="str">
            <v>Sin reducción</v>
          </cell>
          <cell r="U1047">
            <v>0</v>
          </cell>
          <cell r="V1047"/>
          <cell r="W1047"/>
          <cell r="X1047">
            <v>36</v>
          </cell>
          <cell r="Y1047">
            <v>0</v>
          </cell>
          <cell r="Z1047">
            <v>0</v>
          </cell>
          <cell r="AA1047"/>
          <cell r="AB1047" t="str">
            <v>Active - signed</v>
          </cell>
          <cell r="AC1047" t="str">
            <v>ACTIVO</v>
          </cell>
          <cell r="AD1047"/>
          <cell r="AE1047"/>
          <cell r="AF1047"/>
          <cell r="AG1047"/>
          <cell r="AH1047"/>
          <cell r="AI1047" t="str">
            <v>Y0304824L</v>
          </cell>
        </row>
        <row r="1048">
          <cell r="A1048" t="str">
            <v>45914738E</v>
          </cell>
          <cell r="B1048" t="str">
            <v>Sánchez Ros</v>
          </cell>
          <cell r="C1048" t="str">
            <v>Anaís</v>
          </cell>
          <cell r="D1048" t="str">
            <v>Sánchez Ros, Anaís</v>
          </cell>
          <cell r="E1048" t="str">
            <v>asanchezr@professional.universidadviu.com</v>
          </cell>
          <cell r="F1048" t="str">
            <v>asanchezr@professional.universidadviu.com</v>
          </cell>
          <cell r="G1048" t="str">
            <v>NO</v>
          </cell>
          <cell r="H1048" t="str">
            <v>NO</v>
          </cell>
          <cell r="I1048" t="str">
            <v/>
          </cell>
          <cell r="J1048" t="str">
            <v/>
          </cell>
          <cell r="K1048" t="str">
            <v/>
          </cell>
          <cell r="L1048" t="str">
            <v/>
          </cell>
          <cell r="M1048" t="str">
            <v>Professional</v>
          </cell>
          <cell r="N1048"/>
          <cell r="O1048" t="str">
            <v>CSS</v>
          </cell>
          <cell r="P1048">
            <v>0</v>
          </cell>
          <cell r="Q1048" t="str">
            <v xml:space="preserve"> </v>
          </cell>
          <cell r="R1048"/>
          <cell r="S1048"/>
          <cell r="T1048" t="str">
            <v>Sin reducción</v>
          </cell>
          <cell r="U1048">
            <v>0</v>
          </cell>
          <cell r="V1048"/>
          <cell r="W1048"/>
          <cell r="X1048">
            <v>0</v>
          </cell>
          <cell r="Y1048">
            <v>0</v>
          </cell>
          <cell r="Z1048">
            <v>0</v>
          </cell>
          <cell r="AA1048"/>
          <cell r="AB1048" t="str">
            <v>Active - signed</v>
          </cell>
          <cell r="AC1048" t="str">
            <v>ACTIVO</v>
          </cell>
          <cell r="AD1048"/>
          <cell r="AE1048"/>
          <cell r="AF1048"/>
          <cell r="AG1048"/>
          <cell r="AH1048"/>
          <cell r="AI1048" t="str">
            <v>45914738E</v>
          </cell>
        </row>
        <row r="1049">
          <cell r="A1049" t="str">
            <v>75756559X</v>
          </cell>
          <cell r="B1049" t="str">
            <v>Sánchez Sauco</v>
          </cell>
          <cell r="C1049" t="str">
            <v>Miguel Felipe</v>
          </cell>
          <cell r="D1049" t="str">
            <v>Sánchez Sauco, Miguel Felipe</v>
          </cell>
          <cell r="E1049" t="str">
            <v>miguelfelipe.sanchez</v>
          </cell>
          <cell r="F1049" t="str">
            <v>miguelfelipe.sanchez@professional.universidadviu.com</v>
          </cell>
          <cell r="G1049" t="str">
            <v>Yes</v>
          </cell>
          <cell r="H1049" t="str">
            <v>NO</v>
          </cell>
          <cell r="I1049" t="str">
            <v>Enfermería</v>
          </cell>
          <cell r="J1049" t="str">
            <v>Diplomado Universitario en enfermería</v>
          </cell>
          <cell r="K1049" t="str">
            <v>Máster Universitario en Metodología de la Investigación en Ciencias de la Salud</v>
          </cell>
          <cell r="L1049" t="str">
            <v>Máster Universitario en Formación del Profesorado de Educación Secundaria Obligatoria y Bachillerato, Formación Profesional, Enseñanza de Idiomas y Enseñanzas Artísticas</v>
          </cell>
          <cell r="M1049" t="str">
            <v>Professional</v>
          </cell>
          <cell r="N1049" t="str">
            <v/>
          </cell>
          <cell r="O1049" t="str">
            <v>CBS/CSS</v>
          </cell>
          <cell r="P1049">
            <v>0</v>
          </cell>
          <cell r="Q1049" t="str">
            <v xml:space="preserve"> </v>
          </cell>
          <cell r="R1049"/>
          <cell r="S1049"/>
          <cell r="T1049" t="str">
            <v>Sin reducción</v>
          </cell>
          <cell r="U1049">
            <v>0</v>
          </cell>
          <cell r="V1049"/>
          <cell r="W1049"/>
          <cell r="X1049">
            <v>0</v>
          </cell>
          <cell r="Y1049">
            <v>0</v>
          </cell>
          <cell r="Z1049">
            <v>0</v>
          </cell>
          <cell r="AA1049"/>
          <cell r="AB1049" t="str">
            <v>Active - signed</v>
          </cell>
          <cell r="AC1049" t="str">
            <v>ACTIVO</v>
          </cell>
          <cell r="AD1049"/>
          <cell r="AE1049"/>
          <cell r="AF1049"/>
          <cell r="AG1049"/>
          <cell r="AH1049"/>
          <cell r="AI1049" t="str">
            <v>75756559X</v>
          </cell>
        </row>
        <row r="1050">
          <cell r="A1050" t="str">
            <v>49020824G</v>
          </cell>
          <cell r="B1050" t="str">
            <v>Sánchez Solano</v>
          </cell>
          <cell r="C1050" t="str">
            <v>Sonia</v>
          </cell>
          <cell r="D1050" t="str">
            <v>Sánchez Solano, Sonia</v>
          </cell>
          <cell r="E1050" t="str">
            <v>sonia.sanchez0</v>
          </cell>
          <cell r="F1050" t="str">
            <v>sonia.sanchez0@professor.universidadviu.com</v>
          </cell>
          <cell r="G1050" t="str">
            <v>NO</v>
          </cell>
          <cell r="H1050" t="str">
            <v>NO</v>
          </cell>
          <cell r="I1050" t="str">
            <v>Medicina</v>
          </cell>
          <cell r="J1050" t="str">
            <v>Graduado/a en Medicina</v>
          </cell>
          <cell r="K1050" t="str">
            <v/>
          </cell>
          <cell r="L1050" t="str">
            <v/>
          </cell>
          <cell r="M1050" t="str">
            <v>Labour</v>
          </cell>
          <cell r="N1050" t="str">
            <v>Cabellos García, Ana Cristina</v>
          </cell>
          <cell r="O1050" t="str">
            <v>CBS</v>
          </cell>
          <cell r="P1050">
            <v>30</v>
          </cell>
          <cell r="Q1050" t="str">
            <v>24</v>
          </cell>
          <cell r="R1050"/>
          <cell r="S1050"/>
          <cell r="T1050" t="str">
            <v>Sin reducción</v>
          </cell>
          <cell r="U1050">
            <v>0</v>
          </cell>
          <cell r="V1050"/>
          <cell r="W1050"/>
          <cell r="X1050">
            <v>0</v>
          </cell>
          <cell r="Y1050">
            <v>24</v>
          </cell>
          <cell r="Z1050">
            <v>0</v>
          </cell>
          <cell r="AA1050"/>
          <cell r="AB1050" t="str">
            <v>Active - signed</v>
          </cell>
          <cell r="AC1050" t="str">
            <v>ACTIVO</v>
          </cell>
          <cell r="AD1050"/>
          <cell r="AE1050"/>
          <cell r="AF1050"/>
          <cell r="AG1050"/>
          <cell r="AH1050"/>
          <cell r="AI1050" t="str">
            <v>49020824G</v>
          </cell>
        </row>
        <row r="1051">
          <cell r="A1051" t="str">
            <v>52999053S</v>
          </cell>
          <cell r="B1051" t="str">
            <v>Sánchez Soriano</v>
          </cell>
          <cell r="C1051" t="str">
            <v>María Jesús</v>
          </cell>
          <cell r="D1051" t="str">
            <v>Sánchez Soriano, María Jesús</v>
          </cell>
          <cell r="E1051" t="str">
            <v>mjesus.sanchez</v>
          </cell>
          <cell r="F1051" t="str">
            <v>mjesus.sanchez@professional.universidadviu.com</v>
          </cell>
          <cell r="G1051" t="str">
            <v>NO</v>
          </cell>
          <cell r="H1051" t="str">
            <v>NO</v>
          </cell>
          <cell r="I1051" t="str">
            <v>Psicología</v>
          </cell>
          <cell r="J1051" t="str">
            <v>Licenciada en Psicopedadogía</v>
          </cell>
          <cell r="K1051" t="str">
            <v/>
          </cell>
          <cell r="L1051" t="str">
            <v/>
          </cell>
          <cell r="M1051" t="str">
            <v>Professional</v>
          </cell>
          <cell r="N1051" t="str">
            <v/>
          </cell>
          <cell r="O1051" t="str">
            <v>CSS</v>
          </cell>
          <cell r="P1051">
            <v>0</v>
          </cell>
          <cell r="Q1051" t="str">
            <v xml:space="preserve"> </v>
          </cell>
          <cell r="R1051"/>
          <cell r="S1051"/>
          <cell r="T1051" t="str">
            <v>Sin reducción</v>
          </cell>
          <cell r="U1051">
            <v>0</v>
          </cell>
          <cell r="V1051"/>
          <cell r="W1051"/>
          <cell r="X1051">
            <v>0</v>
          </cell>
          <cell r="Y1051">
            <v>0</v>
          </cell>
          <cell r="Z1051">
            <v>0</v>
          </cell>
          <cell r="AA1051"/>
          <cell r="AB1051" t="str">
            <v>Active - signed</v>
          </cell>
          <cell r="AC1051" t="str">
            <v>ACTIVO</v>
          </cell>
          <cell r="AD1051"/>
          <cell r="AE1051"/>
          <cell r="AF1051"/>
          <cell r="AG1051"/>
          <cell r="AH1051"/>
          <cell r="AI1051" t="str">
            <v>52999053S</v>
          </cell>
        </row>
        <row r="1052">
          <cell r="A1052" t="str">
            <v>02308758H</v>
          </cell>
          <cell r="B1052" t="str">
            <v>Sánchez-Ferrer Sánchez</v>
          </cell>
          <cell r="C1052" t="str">
            <v>Silvia</v>
          </cell>
          <cell r="D1052" t="str">
            <v>Sánchez-Ferrer Sánchez, Silvia</v>
          </cell>
          <cell r="E1052" t="str">
            <v>ssanchezferrers@professional.universidadviu.com</v>
          </cell>
          <cell r="F1052" t="str">
            <v>ssanchezferrers@professional.universidadviu.com</v>
          </cell>
          <cell r="G1052" t="str">
            <v>NO</v>
          </cell>
          <cell r="H1052" t="str">
            <v>NO</v>
          </cell>
          <cell r="I1052" t="str">
            <v>Máster en Psicología General Sanitaria</v>
          </cell>
          <cell r="J1052" t="str">
            <v>Grado en Psicología</v>
          </cell>
          <cell r="K1052" t="str">
            <v/>
          </cell>
          <cell r="L1052" t="str">
            <v/>
          </cell>
          <cell r="M1052" t="str">
            <v>Professional</v>
          </cell>
          <cell r="N1052" t="str">
            <v/>
          </cell>
          <cell r="O1052" t="str">
            <v>CSS</v>
          </cell>
          <cell r="P1052">
            <v>0</v>
          </cell>
          <cell r="Q1052" t="str">
            <v xml:space="preserve"> </v>
          </cell>
          <cell r="R1052"/>
          <cell r="S1052"/>
          <cell r="T1052" t="str">
            <v>Sin reducción</v>
          </cell>
          <cell r="U1052">
            <v>0</v>
          </cell>
          <cell r="V1052"/>
          <cell r="W1052"/>
          <cell r="X1052">
            <v>0</v>
          </cell>
          <cell r="Y1052">
            <v>0</v>
          </cell>
          <cell r="Z1052">
            <v>0</v>
          </cell>
          <cell r="AA1052"/>
          <cell r="AB1052" t="str">
            <v>Active - signed</v>
          </cell>
          <cell r="AC1052" t="str">
            <v>ACTIVO</v>
          </cell>
          <cell r="AD1052"/>
          <cell r="AE1052"/>
          <cell r="AF1052"/>
          <cell r="AG1052"/>
          <cell r="AH1052"/>
          <cell r="AI1052" t="str">
            <v>02308758H</v>
          </cell>
        </row>
        <row r="1053">
          <cell r="A1053" t="str">
            <v>52354029A</v>
          </cell>
          <cell r="B1053" t="str">
            <v>Sánchez-Toledo Ledesma</v>
          </cell>
          <cell r="C1053" t="str">
            <v>Agustín</v>
          </cell>
          <cell r="D1053" t="str">
            <v>Sánchez-Toledo Ledesma, Agustín</v>
          </cell>
          <cell r="E1053" t="str">
            <v>agustin.sanchez-toledo</v>
          </cell>
          <cell r="F1053"/>
          <cell r="G1053" t="str">
            <v>Yes</v>
          </cell>
          <cell r="H1053" t="str">
            <v>Yes</v>
          </cell>
          <cell r="I1053" t="str">
            <v>Programa Doctorado en Energías Renovables</v>
          </cell>
          <cell r="J1053" t="str">
            <v>Programa Doctorado en Energías Renovables</v>
          </cell>
          <cell r="K1053" t="str">
            <v>Ingeniero Técnico Industrial</v>
          </cell>
          <cell r="L1053" t="str">
            <v/>
          </cell>
          <cell r="M1053" t="str">
            <v>Labour</v>
          </cell>
          <cell r="N1053"/>
          <cell r="O1053" t="str">
            <v>CSS</v>
          </cell>
          <cell r="P1053">
            <v>75</v>
          </cell>
          <cell r="Q1053" t="str">
            <v>46</v>
          </cell>
          <cell r="R1053" t="str">
            <v>Ampliación febrero</v>
          </cell>
          <cell r="S1053"/>
          <cell r="T1053" t="str">
            <v>Sin reducción</v>
          </cell>
          <cell r="U1053">
            <v>0</v>
          </cell>
          <cell r="V1053">
            <v>40</v>
          </cell>
          <cell r="W1053" t="str">
            <v>EMPRESA</v>
          </cell>
          <cell r="X1053">
            <v>0</v>
          </cell>
          <cell r="Y1053">
            <v>0</v>
          </cell>
          <cell r="Z1053">
            <v>6</v>
          </cell>
          <cell r="AA1053"/>
          <cell r="AB1053" t="str">
            <v>Active - signed</v>
          </cell>
          <cell r="AC1053" t="str">
            <v>ACTIVO</v>
          </cell>
          <cell r="AD1053"/>
          <cell r="AE1053"/>
          <cell r="AF1053"/>
          <cell r="AG1053"/>
          <cell r="AH1053"/>
          <cell r="AI1053" t="str">
            <v>52354029A</v>
          </cell>
        </row>
        <row r="1054">
          <cell r="A1054" t="str">
            <v>29216661Z</v>
          </cell>
          <cell r="B1054" t="str">
            <v>Sancho Ferrando</v>
          </cell>
          <cell r="C1054" t="str">
            <v>Elena</v>
          </cell>
          <cell r="D1054" t="str">
            <v>Sancho Ferrando, Elena</v>
          </cell>
          <cell r="E1054" t="str">
            <v>elena.sancho</v>
          </cell>
          <cell r="F1054" t="str">
            <v>elena.sancho@professional.universidadviu.com</v>
          </cell>
          <cell r="G1054" t="str">
            <v>NO</v>
          </cell>
          <cell r="H1054" t="str">
            <v>NO</v>
          </cell>
          <cell r="I1054" t="str">
            <v>Medicina</v>
          </cell>
          <cell r="J1054" t="str">
            <v/>
          </cell>
          <cell r="K1054" t="str">
            <v/>
          </cell>
          <cell r="L1054" t="str">
            <v/>
          </cell>
          <cell r="M1054" t="str">
            <v>Professional</v>
          </cell>
          <cell r="N1054" t="str">
            <v/>
          </cell>
          <cell r="O1054" t="str">
            <v>CBS</v>
          </cell>
          <cell r="P1054">
            <v>0</v>
          </cell>
          <cell r="Q1054" t="str">
            <v xml:space="preserve"> </v>
          </cell>
          <cell r="R1054"/>
          <cell r="S1054"/>
          <cell r="T1054" t="str">
            <v>Sin reducción</v>
          </cell>
          <cell r="U1054">
            <v>0</v>
          </cell>
          <cell r="V1054"/>
          <cell r="W1054"/>
          <cell r="X1054">
            <v>0</v>
          </cell>
          <cell r="Y1054">
            <v>0</v>
          </cell>
          <cell r="Z1054">
            <v>0</v>
          </cell>
          <cell r="AA1054"/>
          <cell r="AB1054" t="str">
            <v>Active - signed</v>
          </cell>
          <cell r="AC1054" t="str">
            <v>ACTIVO</v>
          </cell>
          <cell r="AD1054"/>
          <cell r="AE1054"/>
          <cell r="AF1054"/>
          <cell r="AG1054"/>
          <cell r="AH1054"/>
          <cell r="AI1054" t="str">
            <v>29216661Z</v>
          </cell>
        </row>
        <row r="1055">
          <cell r="A1055" t="str">
            <v>30833375N</v>
          </cell>
          <cell r="B1055" t="str">
            <v>Sand</v>
          </cell>
          <cell r="C1055" t="str">
            <v>Solange</v>
          </cell>
          <cell r="D1055" t="str">
            <v>Sand, Solange</v>
          </cell>
          <cell r="E1055" t="str">
            <v>solange.sand@professional.universidadviu.com</v>
          </cell>
          <cell r="F1055" t="str">
            <v>solange.sand@professional.universidadviu.com</v>
          </cell>
          <cell r="G1055" t="str">
            <v>Yes</v>
          </cell>
          <cell r="H1055" t="str">
            <v>NO</v>
          </cell>
          <cell r="I1055" t="str">
            <v>Psicología</v>
          </cell>
          <cell r="J1055" t="str">
            <v>Programa Oficial de Doctorado en Intervención Psicológica y sus Determinantes Biológicos y Sociales</v>
          </cell>
          <cell r="K1055" t="str">
            <v/>
          </cell>
          <cell r="L1055" t="str">
            <v/>
          </cell>
          <cell r="M1055" t="str">
            <v>Professional</v>
          </cell>
          <cell r="N1055" t="str">
            <v/>
          </cell>
          <cell r="O1055" t="str">
            <v>CSS</v>
          </cell>
          <cell r="P1055">
            <v>0</v>
          </cell>
          <cell r="Q1055" t="str">
            <v xml:space="preserve"> </v>
          </cell>
          <cell r="R1055"/>
          <cell r="S1055"/>
          <cell r="T1055" t="str">
            <v>Sin reducción</v>
          </cell>
          <cell r="U1055">
            <v>0</v>
          </cell>
          <cell r="V1055"/>
          <cell r="W1055"/>
          <cell r="X1055">
            <v>0</v>
          </cell>
          <cell r="Y1055">
            <v>0</v>
          </cell>
          <cell r="Z1055">
            <v>0</v>
          </cell>
          <cell r="AA1055"/>
          <cell r="AB1055" t="str">
            <v>Active - signed</v>
          </cell>
          <cell r="AC1055" t="str">
            <v>ACTIVO</v>
          </cell>
          <cell r="AD1055"/>
          <cell r="AE1055"/>
          <cell r="AF1055"/>
          <cell r="AG1055"/>
          <cell r="AH1055"/>
          <cell r="AI1055" t="str">
            <v>30833375N</v>
          </cell>
        </row>
        <row r="1056">
          <cell r="A1056" t="str">
            <v>53612942B</v>
          </cell>
          <cell r="B1056" t="str">
            <v>Sanmarco Vázquez</v>
          </cell>
          <cell r="C1056" t="str">
            <v>Jessica</v>
          </cell>
          <cell r="D1056" t="str">
            <v>Sanmarco Vázquez, Jessica</v>
          </cell>
          <cell r="E1056" t="str">
            <v>jessica.sanmarco</v>
          </cell>
          <cell r="F1056" t="str">
            <v>jessica.sanmarco@professional.universidadviu.com</v>
          </cell>
          <cell r="G1056" t="str">
            <v>Yes</v>
          </cell>
          <cell r="H1056" t="str">
            <v>NO</v>
          </cell>
          <cell r="I1056" t="str">
            <v>Programa de Doutoramento en Psicoloxía do Traballo e as Organizacións, Xurídica-Forense e do Consumidor e Usuario</v>
          </cell>
          <cell r="J1056" t="str">
            <v>Máster Universitario en Psicoloxía do TRaballo e das Organizacións, Psicoloxía Xurídica-Forense e Intervención Social</v>
          </cell>
          <cell r="K1056" t="str">
            <v>Grao en Psicoloxía</v>
          </cell>
          <cell r="L1056" t="str">
            <v/>
          </cell>
          <cell r="M1056" t="str">
            <v>Professional</v>
          </cell>
          <cell r="N1056" t="str">
            <v/>
          </cell>
          <cell r="O1056" t="str">
            <v>CSS</v>
          </cell>
          <cell r="P1056">
            <v>0</v>
          </cell>
          <cell r="Q1056" t="str">
            <v xml:space="preserve"> </v>
          </cell>
          <cell r="R1056"/>
          <cell r="S1056"/>
          <cell r="T1056" t="str">
            <v>Sin reducción</v>
          </cell>
          <cell r="U1056">
            <v>0</v>
          </cell>
          <cell r="V1056"/>
          <cell r="W1056"/>
          <cell r="X1056">
            <v>0</v>
          </cell>
          <cell r="Y1056">
            <v>0</v>
          </cell>
          <cell r="Z1056">
            <v>0</v>
          </cell>
          <cell r="AA1056"/>
          <cell r="AB1056" t="str">
            <v>Active - signed</v>
          </cell>
          <cell r="AC1056" t="str">
            <v>ACTIVO</v>
          </cell>
          <cell r="AD1056"/>
          <cell r="AE1056"/>
          <cell r="AF1056"/>
          <cell r="AG1056"/>
          <cell r="AH1056"/>
          <cell r="AI1056" t="str">
            <v>53612942B</v>
          </cell>
        </row>
        <row r="1057">
          <cell r="A1057" t="str">
            <v>53196979A</v>
          </cell>
          <cell r="B1057" t="str">
            <v>Sanmartín Feijóo</v>
          </cell>
          <cell r="C1057" t="str">
            <v>Sandra</v>
          </cell>
          <cell r="D1057" t="str">
            <v>Sanmartín Feijóo, Sandra</v>
          </cell>
          <cell r="E1057" t="str">
            <v>ssanmartinf@professional.universidadviu.com</v>
          </cell>
          <cell r="F1057" t="str">
            <v>ssanmartinf@professional.universidadviu.com</v>
          </cell>
          <cell r="G1057" t="str">
            <v>Yes</v>
          </cell>
          <cell r="H1057" t="str">
            <v>NO</v>
          </cell>
          <cell r="I1057" t="str">
            <v>Programa de Doctorado en Psicología del Trabajo y las Organizaciones, Jurídica-Forense y del Consumidor y Usuario</v>
          </cell>
          <cell r="J1057" t="str">
            <v>Máster en Metodología de las Ciencias del Comportamiento y de la Salud</v>
          </cell>
          <cell r="K1057" t="str">
            <v>Grado en Psicología</v>
          </cell>
          <cell r="L1057" t="str">
            <v/>
          </cell>
          <cell r="M1057" t="str">
            <v>Professional</v>
          </cell>
          <cell r="N1057" t="str">
            <v/>
          </cell>
          <cell r="O1057" t="str">
            <v>CSS</v>
          </cell>
          <cell r="P1057">
            <v>0</v>
          </cell>
          <cell r="Q1057" t="str">
            <v xml:space="preserve"> </v>
          </cell>
          <cell r="R1057"/>
          <cell r="S1057"/>
          <cell r="T1057" t="str">
            <v>Sin reducción</v>
          </cell>
          <cell r="U1057">
            <v>0</v>
          </cell>
          <cell r="V1057"/>
          <cell r="W1057"/>
          <cell r="X1057">
            <v>0</v>
          </cell>
          <cell r="Y1057">
            <v>0</v>
          </cell>
          <cell r="Z1057">
            <v>0</v>
          </cell>
          <cell r="AA1057"/>
          <cell r="AB1057" t="str">
            <v>Concluded</v>
          </cell>
          <cell r="AC1057" t="str">
            <v>NO ACTIVO</v>
          </cell>
          <cell r="AD1057"/>
          <cell r="AE1057"/>
          <cell r="AF1057"/>
          <cell r="AG1057" t="str">
            <v>CESE DE CONTRATO</v>
          </cell>
          <cell r="AH1057"/>
          <cell r="AI1057" t="str">
            <v>53196979A</v>
          </cell>
        </row>
        <row r="1058">
          <cell r="A1058" t="str">
            <v>13164631Y</v>
          </cell>
          <cell r="B1058" t="str">
            <v>Santillán García</v>
          </cell>
          <cell r="C1058" t="str">
            <v>Azucena</v>
          </cell>
          <cell r="D1058" t="str">
            <v>Santillán García, Azucena</v>
          </cell>
          <cell r="E1058" t="str">
            <v>azucena.santillan</v>
          </cell>
          <cell r="F1058" t="str">
            <v>azucena.santillan@professor.universidadviu.com</v>
          </cell>
          <cell r="G1058" t="str">
            <v>Yes</v>
          </cell>
          <cell r="H1058" t="str">
            <v>Yes</v>
          </cell>
          <cell r="I1058" t="str">
            <v>Programa de Doctorado en Educación</v>
          </cell>
          <cell r="J1058" t="str">
            <v>Programa de Doctorado en Educación</v>
          </cell>
          <cell r="K1058" t="str">
            <v>Master Universitario en Direccion y Gestion de Enfermeria</v>
          </cell>
          <cell r="L1058" t="str">
            <v>Diplomada en Efermería</v>
          </cell>
          <cell r="M1058" t="str">
            <v>Labour</v>
          </cell>
          <cell r="N1058"/>
          <cell r="O1058" t="str">
            <v>CBS</v>
          </cell>
          <cell r="P1058" t="str">
            <v>30,00</v>
          </cell>
          <cell r="Q1058" t="b">
            <v>0</v>
          </cell>
          <cell r="R1058"/>
          <cell r="S1058"/>
          <cell r="T1058" t="str">
            <v>Sin reducción</v>
          </cell>
          <cell r="U1058">
            <v>0</v>
          </cell>
          <cell r="V1058"/>
          <cell r="W1058"/>
          <cell r="X1058">
            <v>0</v>
          </cell>
          <cell r="Y1058">
            <v>0</v>
          </cell>
          <cell r="Z1058">
            <v>0</v>
          </cell>
          <cell r="AA1058"/>
          <cell r="AB1058" t="str">
            <v>Concluded</v>
          </cell>
          <cell r="AC1058" t="str">
            <v>NO ACTIVO</v>
          </cell>
          <cell r="AD1058"/>
          <cell r="AE1058"/>
          <cell r="AF1058">
            <v>45443</v>
          </cell>
          <cell r="AG1058" t="str">
            <v>CESE DE CONTRATO</v>
          </cell>
          <cell r="AH1058"/>
          <cell r="AI1058" t="str">
            <v>13164631Y</v>
          </cell>
        </row>
        <row r="1059">
          <cell r="A1059" t="str">
            <v>G146596889</v>
          </cell>
          <cell r="B1059" t="str">
            <v>Santillán Torres Torija</v>
          </cell>
          <cell r="C1059" t="str">
            <v>Carolina</v>
          </cell>
          <cell r="D1059" t="str">
            <v>Santillán Torres Torija, Carolina</v>
          </cell>
          <cell r="E1059" t="str">
            <v>carolina.santillan</v>
          </cell>
          <cell r="F1059" t="str">
            <v>carolina.santillan@professional.universidadviu.com</v>
          </cell>
          <cell r="G1059" t="str">
            <v>NO</v>
          </cell>
          <cell r="H1059" t="str">
            <v>NO</v>
          </cell>
          <cell r="I1059" t="str">
            <v/>
          </cell>
          <cell r="J1059" t="str">
            <v/>
          </cell>
          <cell r="K1059" t="str">
            <v/>
          </cell>
          <cell r="L1059" t="str">
            <v/>
          </cell>
          <cell r="M1059" t="str">
            <v>Professional</v>
          </cell>
          <cell r="N1059" t="str">
            <v/>
          </cell>
          <cell r="O1059" t="str">
            <v>CSS</v>
          </cell>
          <cell r="P1059">
            <v>0</v>
          </cell>
          <cell r="Q1059" t="str">
            <v xml:space="preserve"> </v>
          </cell>
          <cell r="R1059"/>
          <cell r="S1059"/>
          <cell r="T1059" t="str">
            <v>Sin reducción</v>
          </cell>
          <cell r="U1059">
            <v>0</v>
          </cell>
          <cell r="V1059"/>
          <cell r="W1059"/>
          <cell r="X1059">
            <v>0</v>
          </cell>
          <cell r="Y1059">
            <v>0</v>
          </cell>
          <cell r="Z1059">
            <v>0</v>
          </cell>
          <cell r="AA1059"/>
          <cell r="AB1059" t="str">
            <v>Active - signed</v>
          </cell>
          <cell r="AC1059" t="str">
            <v>ACTIVO</v>
          </cell>
          <cell r="AD1059"/>
          <cell r="AE1059"/>
          <cell r="AF1059"/>
          <cell r="AG1059"/>
          <cell r="AH1059"/>
          <cell r="AI1059" t="str">
            <v>G146596889</v>
          </cell>
        </row>
        <row r="1060">
          <cell r="A1060" t="str">
            <v>20043833T</v>
          </cell>
          <cell r="B1060" t="str">
            <v>Santiso Bellón</v>
          </cell>
          <cell r="C1060" t="str">
            <v>Cristina</v>
          </cell>
          <cell r="D1060" t="str">
            <v>Santiso Bellón, Cristina</v>
          </cell>
          <cell r="E1060" t="str">
            <v>csantisob@professional.universidadviu.com</v>
          </cell>
          <cell r="F1060" t="str">
            <v>csantisob@professional.universidadviu.com</v>
          </cell>
          <cell r="G1060" t="str">
            <v>Yes</v>
          </cell>
          <cell r="H1060" t="str">
            <v>NO</v>
          </cell>
          <cell r="I1060" t="str">
            <v>Biomedicina y Biotecnología</v>
          </cell>
          <cell r="J1060" t="str">
            <v>Máster Universitario en Investigación Biomédica</v>
          </cell>
          <cell r="K1060" t="str">
            <v>Graduada en Biología</v>
          </cell>
          <cell r="L1060" t="str">
            <v/>
          </cell>
          <cell r="M1060" t="str">
            <v>Professional</v>
          </cell>
          <cell r="N1060"/>
          <cell r="O1060" t="str">
            <v>CBS</v>
          </cell>
          <cell r="P1060">
            <v>0</v>
          </cell>
          <cell r="Q1060" t="str">
            <v xml:space="preserve"> </v>
          </cell>
          <cell r="R1060"/>
          <cell r="S1060"/>
          <cell r="T1060" t="str">
            <v>Sin reducción</v>
          </cell>
          <cell r="U1060">
            <v>0</v>
          </cell>
          <cell r="V1060"/>
          <cell r="W1060"/>
          <cell r="X1060">
            <v>0</v>
          </cell>
          <cell r="Y1060">
            <v>0</v>
          </cell>
          <cell r="Z1060">
            <v>0</v>
          </cell>
          <cell r="AA1060"/>
          <cell r="AB1060" t="str">
            <v>Active - signed</v>
          </cell>
          <cell r="AC1060" t="str">
            <v>ACTIVO</v>
          </cell>
          <cell r="AD1060"/>
          <cell r="AE1060"/>
          <cell r="AF1060"/>
          <cell r="AG1060"/>
          <cell r="AH1060"/>
          <cell r="AI1060" t="str">
            <v>20043833T</v>
          </cell>
        </row>
        <row r="1061">
          <cell r="A1061" t="str">
            <v>70894380P</v>
          </cell>
          <cell r="B1061" t="str">
            <v>Santos González</v>
          </cell>
          <cell r="C1061" t="str">
            <v>María Cristina</v>
          </cell>
          <cell r="D1061" t="str">
            <v>Santos González, María Cristina</v>
          </cell>
          <cell r="E1061" t="str">
            <v>cristina.santos.g</v>
          </cell>
          <cell r="F1061" t="str">
            <v>cristina.santos.g@professor.universidadviu.com</v>
          </cell>
          <cell r="G1061" t="str">
            <v>Yes</v>
          </cell>
          <cell r="H1061" t="str">
            <v>NO</v>
          </cell>
          <cell r="I1061" t="str">
            <v>Psicología</v>
          </cell>
          <cell r="J1061" t="str">
            <v>Máster en Psicología General Sanitaria</v>
          </cell>
          <cell r="K1061" t="str">
            <v>Programa Oficial de Doctorado en Psicología de la Salud</v>
          </cell>
          <cell r="L1061" t="str">
            <v>Máster en Avances en Investigación y Tratamientos en Psicopatía y Salud</v>
          </cell>
          <cell r="M1061" t="str">
            <v>Labour</v>
          </cell>
          <cell r="N1061" t="str">
            <v>Rama Galdón, Encarnación</v>
          </cell>
          <cell r="O1061" t="str">
            <v>CSS</v>
          </cell>
          <cell r="P1061">
            <v>30</v>
          </cell>
          <cell r="Q1061" t="str">
            <v>24</v>
          </cell>
          <cell r="R1061" t="str">
            <v>Reducción Enero 26</v>
          </cell>
          <cell r="S1061"/>
          <cell r="T1061" t="str">
            <v>Sin reducción</v>
          </cell>
          <cell r="U1061">
            <v>0</v>
          </cell>
          <cell r="V1061"/>
          <cell r="W1061"/>
          <cell r="X1061">
            <v>13.4</v>
          </cell>
          <cell r="Y1061">
            <v>0</v>
          </cell>
          <cell r="Z1061">
            <v>0</v>
          </cell>
          <cell r="AA1061"/>
          <cell r="AB1061" t="str">
            <v>Active - signed</v>
          </cell>
          <cell r="AC1061" t="str">
            <v>BAJA TEMPORAL</v>
          </cell>
          <cell r="AD1061">
            <v>46068</v>
          </cell>
          <cell r="AE1061">
            <v>46280</v>
          </cell>
          <cell r="AF1061"/>
          <cell r="AG1061" t="str">
            <v>MATERNIDAD</v>
          </cell>
          <cell r="AH1061" t="str">
            <v>fecha aprox. parto abril. no sabemos fecha inicio y fin</v>
          </cell>
          <cell r="AI1061" t="str">
            <v>70894380P</v>
          </cell>
        </row>
        <row r="1062">
          <cell r="A1062" t="str">
            <v>52309723H</v>
          </cell>
          <cell r="B1062" t="str">
            <v>Santurino Fontecha</v>
          </cell>
          <cell r="C1062" t="str">
            <v>Cristina</v>
          </cell>
          <cell r="D1062" t="str">
            <v>Santurino Fontecha, Cristina</v>
          </cell>
          <cell r="E1062" t="str">
            <v>cristina.santurino</v>
          </cell>
          <cell r="F1062" t="str">
            <v>cristina.santurino@professor.universidadviu.com</v>
          </cell>
          <cell r="G1062" t="str">
            <v>Yes</v>
          </cell>
          <cell r="H1062" t="str">
            <v>NO</v>
          </cell>
          <cell r="I1062" t="str">
            <v>Ciencia y tecnología de los alimentos</v>
          </cell>
          <cell r="J1062" t="str">
            <v>Diplomatura Nutrición Humana y Dietética</v>
          </cell>
          <cell r="K1062" t="str">
            <v>Ciencias de la Alimentación</v>
          </cell>
          <cell r="L1062" t="str">
            <v>Máster en Química Agrícola y Nuevos Alimentos</v>
          </cell>
          <cell r="M1062" t="str">
            <v>Labour</v>
          </cell>
          <cell r="N1062"/>
          <cell r="O1062" t="str">
            <v>CBS</v>
          </cell>
          <cell r="P1062">
            <v>100</v>
          </cell>
          <cell r="Q1062" t="str">
            <v>50</v>
          </cell>
          <cell r="R1062"/>
          <cell r="S1062"/>
          <cell r="T1062" t="str">
            <v>Sin reducción</v>
          </cell>
          <cell r="U1062">
            <v>0</v>
          </cell>
          <cell r="V1062"/>
          <cell r="W1062"/>
          <cell r="X1062">
            <v>0</v>
          </cell>
          <cell r="Y1062">
            <v>0</v>
          </cell>
          <cell r="Z1062">
            <v>0</v>
          </cell>
          <cell r="AA1062"/>
          <cell r="AB1062" t="str">
            <v>Concluded</v>
          </cell>
          <cell r="AC1062" t="str">
            <v>NO ACTIVO</v>
          </cell>
          <cell r="AD1062"/>
          <cell r="AE1062"/>
          <cell r="AF1062">
            <v>45817</v>
          </cell>
          <cell r="AG1062" t="str">
            <v>CESE DE CONTRATO</v>
          </cell>
          <cell r="AH1062"/>
          <cell r="AI1062" t="str">
            <v>52309723H</v>
          </cell>
        </row>
        <row r="1063">
          <cell r="A1063" t="str">
            <v>30233698Z</v>
          </cell>
          <cell r="B1063" t="str">
            <v>Sanz Gómez</v>
          </cell>
          <cell r="C1063" t="str">
            <v>Sergio</v>
          </cell>
          <cell r="D1063" t="str">
            <v>Sanz Gómez, Sergio</v>
          </cell>
          <cell r="E1063" t="str">
            <v>sergio.sanz@professor.universidadviu.com</v>
          </cell>
          <cell r="F1063" t="str">
            <v>sergio.sanz@professor.universidadviu.com</v>
          </cell>
          <cell r="G1063" t="str">
            <v>Yes</v>
          </cell>
          <cell r="H1063" t="str">
            <v>Yes</v>
          </cell>
          <cell r="I1063" t="str">
            <v>Psicología</v>
          </cell>
          <cell r="J1063" t="str">
            <v>Máster en Psicología General Sanitaria</v>
          </cell>
          <cell r="K1063" t="str">
            <v/>
          </cell>
          <cell r="L1063" t="str">
            <v/>
          </cell>
          <cell r="M1063" t="str">
            <v>Labour</v>
          </cell>
          <cell r="N1063" t="str">
            <v/>
          </cell>
          <cell r="O1063" t="str">
            <v>CSS</v>
          </cell>
          <cell r="P1063">
            <v>100</v>
          </cell>
          <cell r="Q1063" t="str">
            <v>50</v>
          </cell>
          <cell r="R1063"/>
          <cell r="S1063"/>
          <cell r="T1063" t="str">
            <v>Sin reducción</v>
          </cell>
          <cell r="U1063">
            <v>0</v>
          </cell>
          <cell r="V1063"/>
          <cell r="W1063"/>
          <cell r="X1063">
            <v>5.8999999999999986</v>
          </cell>
          <cell r="Y1063">
            <v>0</v>
          </cell>
          <cell r="Z1063">
            <v>2.25</v>
          </cell>
          <cell r="AA1063"/>
          <cell r="AB1063" t="str">
            <v>Active - signed</v>
          </cell>
          <cell r="AC1063" t="str">
            <v>NO ACTIVO</v>
          </cell>
          <cell r="AD1063"/>
          <cell r="AE1063"/>
          <cell r="AF1063"/>
          <cell r="AG1063" t="str">
            <v>CESE DE CONTRATO</v>
          </cell>
          <cell r="AH1063"/>
          <cell r="AI1063" t="str">
            <v>30233698Z</v>
          </cell>
        </row>
        <row r="1064">
          <cell r="A1064" t="str">
            <v>22570250M</v>
          </cell>
          <cell r="B1064" t="str">
            <v>Sanz González</v>
          </cell>
          <cell r="C1064" t="str">
            <v>Silvia</v>
          </cell>
          <cell r="D1064" t="str">
            <v>Sanz González, Silvia</v>
          </cell>
          <cell r="E1064" t="str">
            <v>silviamaria.sanz</v>
          </cell>
          <cell r="F1064" t="str">
            <v>silviamaria.sanz@professional.universidadviu.com</v>
          </cell>
          <cell r="G1064" t="str">
            <v>Yes</v>
          </cell>
          <cell r="H1064" t="str">
            <v>Yes</v>
          </cell>
          <cell r="I1064" t="str">
            <v>Bioquímica</v>
          </cell>
          <cell r="J1064" t="str">
            <v>Curso de Aptitud pedagógica</v>
          </cell>
          <cell r="K1064" t="str">
            <v>Programa Doctorado en Bioquímica Clínica y Médica</v>
          </cell>
          <cell r="L1064" t="str">
            <v/>
          </cell>
          <cell r="M1064" t="str">
            <v>Professional</v>
          </cell>
          <cell r="N1064" t="str">
            <v/>
          </cell>
          <cell r="O1064" t="str">
            <v>CBS</v>
          </cell>
          <cell r="P1064">
            <v>0</v>
          </cell>
          <cell r="Q1064" t="str">
            <v xml:space="preserve"> </v>
          </cell>
          <cell r="R1064"/>
          <cell r="S1064"/>
          <cell r="T1064" t="str">
            <v>Sin reducción</v>
          </cell>
          <cell r="U1064">
            <v>0</v>
          </cell>
          <cell r="V1064"/>
          <cell r="W1064"/>
          <cell r="X1064">
            <v>0</v>
          </cell>
          <cell r="Y1064">
            <v>0</v>
          </cell>
          <cell r="Z1064">
            <v>0</v>
          </cell>
          <cell r="AA1064"/>
          <cell r="AB1064" t="str">
            <v>Active - signed</v>
          </cell>
          <cell r="AC1064" t="str">
            <v>NO ACTIVO</v>
          </cell>
          <cell r="AD1064"/>
          <cell r="AE1064"/>
          <cell r="AF1064"/>
          <cell r="AG1064" t="str">
            <v>CESE DE CONTRATO</v>
          </cell>
          <cell r="AH1064"/>
          <cell r="AI1064" t="str">
            <v>22570250M</v>
          </cell>
        </row>
        <row r="1065">
          <cell r="A1065" t="str">
            <v>77588430T</v>
          </cell>
          <cell r="B1065" t="str">
            <v>Sanz Martínez</v>
          </cell>
          <cell r="C1065" t="str">
            <v>Patricia</v>
          </cell>
          <cell r="D1065" t="str">
            <v>Sanz Martínez, Patricia</v>
          </cell>
          <cell r="E1065" t="str">
            <v>psanzm@professional.universidadviu.com</v>
          </cell>
          <cell r="F1065" t="str">
            <v>psanzm@professional.universidadviu.com</v>
          </cell>
          <cell r="G1065" t="str">
            <v>NO</v>
          </cell>
          <cell r="H1065" t="str">
            <v>NO</v>
          </cell>
          <cell r="I1065" t="str">
            <v>Licenciatura en psicología</v>
          </cell>
          <cell r="J1065" t="str">
            <v/>
          </cell>
          <cell r="K1065" t="str">
            <v/>
          </cell>
          <cell r="L1065" t="str">
            <v/>
          </cell>
          <cell r="M1065" t="str">
            <v>Professional</v>
          </cell>
          <cell r="N1065" t="str">
            <v/>
          </cell>
          <cell r="O1065" t="str">
            <v>CSS</v>
          </cell>
          <cell r="P1065">
            <v>0</v>
          </cell>
          <cell r="Q1065" t="str">
            <v xml:space="preserve"> </v>
          </cell>
          <cell r="R1065"/>
          <cell r="S1065"/>
          <cell r="T1065" t="str">
            <v>Sin reducción</v>
          </cell>
          <cell r="U1065">
            <v>0</v>
          </cell>
          <cell r="V1065"/>
          <cell r="W1065"/>
          <cell r="X1065">
            <v>0</v>
          </cell>
          <cell r="Y1065">
            <v>0</v>
          </cell>
          <cell r="Z1065">
            <v>0</v>
          </cell>
          <cell r="AA1065"/>
          <cell r="AB1065" t="str">
            <v>Active - signed</v>
          </cell>
          <cell r="AC1065" t="str">
            <v>ACTIVO</v>
          </cell>
          <cell r="AD1065"/>
          <cell r="AE1065"/>
          <cell r="AF1065"/>
          <cell r="AG1065"/>
          <cell r="AH1065"/>
          <cell r="AI1065" t="str">
            <v>77588430T</v>
          </cell>
        </row>
        <row r="1066">
          <cell r="A1066" t="str">
            <v>51535564Q</v>
          </cell>
          <cell r="B1066" t="str">
            <v>Sarmento Henrique</v>
          </cell>
          <cell r="C1066" t="str">
            <v>Renata Lenise</v>
          </cell>
          <cell r="D1066" t="str">
            <v>Sarmento Henrique, Renata Lenise</v>
          </cell>
          <cell r="E1066" t="str">
            <v>renatalenise.sarmento</v>
          </cell>
          <cell r="F1066" t="str">
            <v>renatalenise.sarmento@professional.universidadviu.com</v>
          </cell>
          <cell r="G1066" t="str">
            <v>Yes</v>
          </cell>
          <cell r="H1066" t="str">
            <v>Yes</v>
          </cell>
          <cell r="I1066" t="str">
            <v>Psicología</v>
          </cell>
          <cell r="J1066" t="str">
            <v>Doctorado en psicologia</v>
          </cell>
          <cell r="K1066" t="str">
            <v/>
          </cell>
          <cell r="L1066" t="str">
            <v/>
          </cell>
          <cell r="M1066" t="str">
            <v>Professional</v>
          </cell>
          <cell r="N1066" t="str">
            <v/>
          </cell>
          <cell r="O1066" t="str">
            <v>CSS</v>
          </cell>
          <cell r="P1066">
            <v>0</v>
          </cell>
          <cell r="Q1066" t="str">
            <v xml:space="preserve"> </v>
          </cell>
          <cell r="R1066"/>
          <cell r="S1066"/>
          <cell r="T1066" t="str">
            <v>Sin reducción</v>
          </cell>
          <cell r="U1066">
            <v>0</v>
          </cell>
          <cell r="V1066"/>
          <cell r="W1066"/>
          <cell r="X1066">
            <v>0</v>
          </cell>
          <cell r="Y1066">
            <v>0</v>
          </cell>
          <cell r="Z1066">
            <v>0</v>
          </cell>
          <cell r="AA1066"/>
          <cell r="AB1066" t="str">
            <v>Active - signed</v>
          </cell>
          <cell r="AC1066" t="str">
            <v>ACTIVO</v>
          </cell>
          <cell r="AD1066"/>
          <cell r="AE1066"/>
          <cell r="AF1066"/>
          <cell r="AG1066"/>
          <cell r="AH1066"/>
          <cell r="AI1066" t="str">
            <v>51535564Q</v>
          </cell>
        </row>
        <row r="1067">
          <cell r="A1067" t="str">
            <v>74945228G</v>
          </cell>
          <cell r="B1067" t="str">
            <v>Sarrias Arrabal</v>
          </cell>
          <cell r="C1067" t="str">
            <v>Esteban</v>
          </cell>
          <cell r="D1067" t="str">
            <v>Sarrias Arrabal, Esteban</v>
          </cell>
          <cell r="E1067" t="str">
            <v>esteban.sarrias@professor.universidadviu.com</v>
          </cell>
          <cell r="F1067" t="str">
            <v>esteban.sarrias@professor.universidadviu.com</v>
          </cell>
          <cell r="G1067" t="str">
            <v>Yes</v>
          </cell>
          <cell r="H1067" t="str">
            <v>NO</v>
          </cell>
          <cell r="I1067" t="str">
            <v>Psicología</v>
          </cell>
          <cell r="J1067" t="str">
            <v>Programa de Doctorado en Psicología</v>
          </cell>
          <cell r="K1067" t="str">
            <v/>
          </cell>
          <cell r="L1067" t="str">
            <v/>
          </cell>
          <cell r="M1067" t="str">
            <v>Labour</v>
          </cell>
          <cell r="N1067" t="str">
            <v>Cairós González, Mariana Elena</v>
          </cell>
          <cell r="O1067" t="str">
            <v>CSS</v>
          </cell>
          <cell r="P1067">
            <v>50</v>
          </cell>
          <cell r="Q1067" t="str">
            <v>38</v>
          </cell>
          <cell r="R1067"/>
          <cell r="S1067"/>
          <cell r="T1067" t="str">
            <v>Sin reducción</v>
          </cell>
          <cell r="U1067">
            <v>0</v>
          </cell>
          <cell r="V1067"/>
          <cell r="W1067"/>
          <cell r="X1067">
            <v>12</v>
          </cell>
          <cell r="Y1067">
            <v>0</v>
          </cell>
          <cell r="Z1067">
            <v>19.149999999999999</v>
          </cell>
          <cell r="AA1067"/>
          <cell r="AB1067" t="str">
            <v>Active - signed</v>
          </cell>
          <cell r="AC1067" t="str">
            <v>ACTIVO</v>
          </cell>
          <cell r="AD1067"/>
          <cell r="AE1067"/>
          <cell r="AF1067"/>
          <cell r="AG1067"/>
          <cell r="AH1067"/>
          <cell r="AI1067" t="str">
            <v>74945228G</v>
          </cell>
        </row>
        <row r="1068">
          <cell r="A1068">
            <v>5244038</v>
          </cell>
          <cell r="B1068" t="str">
            <v>Saturnini Pacheco</v>
          </cell>
          <cell r="C1068" t="str">
            <v>Norelvis Cecilia</v>
          </cell>
          <cell r="D1068" t="str">
            <v>Saturnini Pacheco, Norelvis Cecilia</v>
          </cell>
          <cell r="E1068" t="str">
            <v>norelvis.saturnini</v>
          </cell>
          <cell r="F1068" t="str">
            <v>norelvis.saturnini@professional.universidadviu.com</v>
          </cell>
          <cell r="G1068" t="str">
            <v>NO</v>
          </cell>
          <cell r="H1068" t="str">
            <v>NO</v>
          </cell>
          <cell r="I1068" t="str">
            <v>Doctorado en Ciencias de la educaciòn</v>
          </cell>
          <cell r="J1068" t="str">
            <v>Maestria en Ciencias Mención Orientación de la conducta</v>
          </cell>
          <cell r="K1068" t="str">
            <v>Licenciada en Educación</v>
          </cell>
          <cell r="L1068" t="str">
            <v/>
          </cell>
          <cell r="M1068" t="str">
            <v>Professional</v>
          </cell>
          <cell r="N1068" t="str">
            <v/>
          </cell>
          <cell r="O1068" t="str">
            <v>CSS</v>
          </cell>
          <cell r="P1068">
            <v>0</v>
          </cell>
          <cell r="Q1068" t="str">
            <v xml:space="preserve"> </v>
          </cell>
          <cell r="R1068"/>
          <cell r="S1068"/>
          <cell r="T1068" t="str">
            <v>Sin reducción</v>
          </cell>
          <cell r="U1068">
            <v>0</v>
          </cell>
          <cell r="V1068"/>
          <cell r="W1068"/>
          <cell r="X1068">
            <v>0</v>
          </cell>
          <cell r="Y1068">
            <v>0</v>
          </cell>
          <cell r="Z1068">
            <v>0</v>
          </cell>
          <cell r="AA1068"/>
          <cell r="AB1068" t="str">
            <v>Active - signed</v>
          </cell>
          <cell r="AC1068" t="str">
            <v>ACTIVO</v>
          </cell>
          <cell r="AD1068"/>
          <cell r="AE1068"/>
          <cell r="AF1068"/>
          <cell r="AG1068"/>
          <cell r="AH1068"/>
          <cell r="AI1068">
            <v>5244038</v>
          </cell>
        </row>
        <row r="1069">
          <cell r="A1069" t="str">
            <v>AAD279396</v>
          </cell>
          <cell r="B1069" t="str">
            <v>Schor-Landman</v>
          </cell>
          <cell r="C1069" t="str">
            <v>Guillermo</v>
          </cell>
          <cell r="D1069" t="str">
            <v>Schor-Landman, Guillermo</v>
          </cell>
          <cell r="E1069" t="str">
            <v>guillermo.schorlandman</v>
          </cell>
          <cell r="F1069" t="str">
            <v>guillermo.schorlandman@professional.universidadviu.com</v>
          </cell>
          <cell r="G1069" t="str">
            <v>NO</v>
          </cell>
          <cell r="H1069" t="str">
            <v>NO</v>
          </cell>
          <cell r="I1069" t="str">
            <v>Abogado</v>
          </cell>
          <cell r="J1069" t="str">
            <v/>
          </cell>
          <cell r="K1069" t="str">
            <v/>
          </cell>
          <cell r="L1069" t="str">
            <v/>
          </cell>
          <cell r="M1069" t="str">
            <v>Professional</v>
          </cell>
          <cell r="N1069" t="str">
            <v/>
          </cell>
          <cell r="O1069" t="str">
            <v>CBS</v>
          </cell>
          <cell r="P1069">
            <v>0</v>
          </cell>
          <cell r="Q1069" t="str">
            <v xml:space="preserve"> </v>
          </cell>
          <cell r="R1069"/>
          <cell r="S1069"/>
          <cell r="T1069" t="str">
            <v>Sin reducción</v>
          </cell>
          <cell r="U1069">
            <v>0</v>
          </cell>
          <cell r="V1069"/>
          <cell r="W1069"/>
          <cell r="X1069">
            <v>0</v>
          </cell>
          <cell r="Y1069">
            <v>0</v>
          </cell>
          <cell r="Z1069">
            <v>0</v>
          </cell>
          <cell r="AA1069"/>
          <cell r="AB1069" t="str">
            <v>Active - signed</v>
          </cell>
          <cell r="AC1069" t="str">
            <v>ACTIVO</v>
          </cell>
          <cell r="AD1069"/>
          <cell r="AE1069"/>
          <cell r="AF1069"/>
          <cell r="AG1069"/>
          <cell r="AH1069"/>
          <cell r="AI1069" t="str">
            <v>AAD279396</v>
          </cell>
        </row>
        <row r="1070">
          <cell r="A1070" t="str">
            <v>Z0603378R</v>
          </cell>
          <cell r="B1070" t="str">
            <v>Schweizer</v>
          </cell>
          <cell r="C1070" t="str">
            <v>Theresa</v>
          </cell>
          <cell r="D1070" t="str">
            <v>Schweizer, Theresa</v>
          </cell>
          <cell r="E1070" t="str">
            <v>tschweizer@professional.universidadviu.com</v>
          </cell>
          <cell r="F1070" t="str">
            <v>tschweizer@professional.universidadviu.com</v>
          </cell>
          <cell r="G1070" t="str">
            <v>NO</v>
          </cell>
          <cell r="H1070" t="str">
            <v>NO</v>
          </cell>
          <cell r="I1070" t="str">
            <v/>
          </cell>
          <cell r="J1070" t="str">
            <v/>
          </cell>
          <cell r="K1070" t="str">
            <v/>
          </cell>
          <cell r="L1070" t="str">
            <v/>
          </cell>
          <cell r="M1070" t="str">
            <v>Professional</v>
          </cell>
          <cell r="N1070" t="str">
            <v/>
          </cell>
          <cell r="O1070" t="str">
            <v>CSS</v>
          </cell>
          <cell r="P1070">
            <v>0</v>
          </cell>
          <cell r="Q1070" t="str">
            <v xml:space="preserve"> </v>
          </cell>
          <cell r="R1070"/>
          <cell r="S1070"/>
          <cell r="T1070" t="str">
            <v>Sin reducción</v>
          </cell>
          <cell r="U1070">
            <v>0</v>
          </cell>
          <cell r="V1070"/>
          <cell r="W1070"/>
          <cell r="X1070">
            <v>0</v>
          </cell>
          <cell r="Y1070">
            <v>0</v>
          </cell>
          <cell r="Z1070">
            <v>0</v>
          </cell>
          <cell r="AA1070"/>
          <cell r="AB1070" t="str">
            <v>Active - signed</v>
          </cell>
          <cell r="AC1070" t="str">
            <v>ACTIVO</v>
          </cell>
          <cell r="AD1070"/>
          <cell r="AE1070"/>
          <cell r="AF1070"/>
          <cell r="AG1070"/>
          <cell r="AH1070"/>
          <cell r="AI1070" t="str">
            <v>Z0603378R</v>
          </cell>
        </row>
        <row r="1071">
          <cell r="A1071" t="str">
            <v>X4415981G</v>
          </cell>
          <cell r="B1071" t="str">
            <v>Sebastiani</v>
          </cell>
          <cell r="C1071" t="str">
            <v>Giorgia</v>
          </cell>
          <cell r="D1071" t="str">
            <v>Sebastiani, Giorgia</v>
          </cell>
          <cell r="E1071" t="str">
            <v>giorgia.sebastiani</v>
          </cell>
          <cell r="F1071" t="str">
            <v>giorgia.sebastiani@professional.universidadviu.com</v>
          </cell>
          <cell r="G1071" t="str">
            <v>Yes</v>
          </cell>
          <cell r="H1071" t="str">
            <v>NO</v>
          </cell>
          <cell r="I1071" t="str">
            <v>Medicina</v>
          </cell>
          <cell r="J1071" t="str">
            <v>Máster de Endocrinología del niño y del adolescente</v>
          </cell>
          <cell r="K1071" t="str">
            <v>Título oficial de Médica Especialista en Pediatría y sus áreas específicas</v>
          </cell>
          <cell r="L1071" t="str">
            <v>Licenciada en Medicina</v>
          </cell>
          <cell r="M1071" t="str">
            <v>Professional</v>
          </cell>
          <cell r="N1071" t="str">
            <v/>
          </cell>
          <cell r="O1071" t="str">
            <v>CBS</v>
          </cell>
          <cell r="P1071">
            <v>0</v>
          </cell>
          <cell r="Q1071" t="str">
            <v xml:space="preserve"> </v>
          </cell>
          <cell r="R1071"/>
          <cell r="S1071"/>
          <cell r="T1071" t="str">
            <v>Sin reducción</v>
          </cell>
          <cell r="U1071">
            <v>0</v>
          </cell>
          <cell r="V1071"/>
          <cell r="W1071"/>
          <cell r="X1071">
            <v>0</v>
          </cell>
          <cell r="Y1071">
            <v>0</v>
          </cell>
          <cell r="Z1071">
            <v>0</v>
          </cell>
          <cell r="AA1071"/>
          <cell r="AB1071" t="str">
            <v>Active - signed</v>
          </cell>
          <cell r="AC1071" t="str">
            <v>ACTIVO</v>
          </cell>
          <cell r="AD1071"/>
          <cell r="AE1071"/>
          <cell r="AF1071"/>
          <cell r="AG1071"/>
          <cell r="AH1071"/>
          <cell r="AI1071" t="str">
            <v>X4415981G</v>
          </cell>
        </row>
        <row r="1072">
          <cell r="A1072" t="str">
            <v>47888283Y</v>
          </cell>
          <cell r="B1072" t="str">
            <v>Segovia Minguet</v>
          </cell>
          <cell r="C1072" t="str">
            <v>Oriol</v>
          </cell>
          <cell r="D1072" t="str">
            <v>Segovia Minguet, Oriol</v>
          </cell>
          <cell r="E1072" t="str">
            <v>oriol.segovia</v>
          </cell>
          <cell r="F1072" t="str">
            <v>oriol.segovia@professional.universidadviu.com</v>
          </cell>
          <cell r="G1072" t="str">
            <v>NO</v>
          </cell>
          <cell r="H1072" t="str">
            <v>NO</v>
          </cell>
          <cell r="I1072" t="str">
            <v>Grau en Educació Social</v>
          </cell>
          <cell r="J1072" t="str">
            <v>Máster en Dirección, Gestión e Intervención en Servicios Sociales</v>
          </cell>
          <cell r="K1072" t="str">
            <v/>
          </cell>
          <cell r="L1072" t="str">
            <v/>
          </cell>
          <cell r="M1072" t="str">
            <v>Professional</v>
          </cell>
          <cell r="N1072" t="str">
            <v/>
          </cell>
          <cell r="O1072" t="str">
            <v>CSS</v>
          </cell>
          <cell r="P1072">
            <v>0</v>
          </cell>
          <cell r="Q1072" t="str">
            <v xml:space="preserve"> </v>
          </cell>
          <cell r="R1072"/>
          <cell r="S1072"/>
          <cell r="T1072" t="str">
            <v>Sin reducción</v>
          </cell>
          <cell r="U1072">
            <v>0</v>
          </cell>
          <cell r="V1072"/>
          <cell r="W1072"/>
          <cell r="X1072">
            <v>0</v>
          </cell>
          <cell r="Y1072">
            <v>0</v>
          </cell>
          <cell r="Z1072">
            <v>0</v>
          </cell>
          <cell r="AA1072"/>
          <cell r="AB1072" t="str">
            <v>Active - signed</v>
          </cell>
          <cell r="AC1072" t="str">
            <v>ACTIVO</v>
          </cell>
          <cell r="AD1072"/>
          <cell r="AE1072"/>
          <cell r="AF1072"/>
          <cell r="AG1072"/>
          <cell r="AH1072"/>
          <cell r="AI1072" t="str">
            <v>47888283Y</v>
          </cell>
        </row>
        <row r="1073">
          <cell r="A1073" t="str">
            <v>53358163A</v>
          </cell>
          <cell r="B1073" t="str">
            <v>Seguí López-Peñalver</v>
          </cell>
          <cell r="C1073" t="str">
            <v>Raimundo</v>
          </cell>
          <cell r="D1073" t="str">
            <v>Seguí López-Peñalver, Raimundo</v>
          </cell>
          <cell r="E1073" t="str">
            <v>raimundo.segui</v>
          </cell>
          <cell r="F1073" t="str">
            <v>raimundo.segui@professor.universidadviu.com</v>
          </cell>
          <cell r="G1073" t="str">
            <v>Yes</v>
          </cell>
          <cell r="H1073" t="str">
            <v>Yes</v>
          </cell>
          <cell r="I1073" t="str">
            <v>Parasitología Humana y Animal</v>
          </cell>
          <cell r="J1073" t="str">
            <v>Parasitología Humana y Animal</v>
          </cell>
          <cell r="K1073" t="str">
            <v>Master Universitario en Enfermedades Parasitarias Tropicales</v>
          </cell>
          <cell r="L1073" t="str">
            <v>Licenciatura en Farmacia</v>
          </cell>
          <cell r="M1073" t="str">
            <v>Labour</v>
          </cell>
          <cell r="N1073" t="str">
            <v>Pedelini Gassmann, Leda</v>
          </cell>
          <cell r="O1073" t="str">
            <v>CBS</v>
          </cell>
          <cell r="P1073">
            <v>100</v>
          </cell>
          <cell r="Q1073" t="str">
            <v>50</v>
          </cell>
          <cell r="R1073"/>
          <cell r="S1073"/>
          <cell r="T1073" t="str">
            <v>Subdirector/Coordinador de Máster</v>
          </cell>
          <cell r="U1073">
            <v>32</v>
          </cell>
          <cell r="V1073"/>
          <cell r="W1073"/>
          <cell r="X1073">
            <v>0</v>
          </cell>
          <cell r="Y1073">
            <v>15</v>
          </cell>
          <cell r="Z1073">
            <v>3</v>
          </cell>
          <cell r="AA1073"/>
          <cell r="AB1073" t="str">
            <v>Active - signed</v>
          </cell>
          <cell r="AC1073" t="str">
            <v>ACTIVO</v>
          </cell>
          <cell r="AD1073"/>
          <cell r="AE1073"/>
          <cell r="AF1073"/>
          <cell r="AG1073"/>
          <cell r="AH1073"/>
          <cell r="AI1073" t="str">
            <v>53358163A</v>
          </cell>
        </row>
        <row r="1074">
          <cell r="A1074" t="str">
            <v>15421405C</v>
          </cell>
          <cell r="B1074" t="str">
            <v>Segura Sabater</v>
          </cell>
          <cell r="C1074" t="str">
            <v>Remedios</v>
          </cell>
          <cell r="D1074" t="str">
            <v>Segura Sabater, Remedios</v>
          </cell>
          <cell r="E1074" t="str">
            <v>rsegura@professional.universidadviu.com</v>
          </cell>
          <cell r="F1074" t="str">
            <v>rseguras@professional.universidadviu.com</v>
          </cell>
          <cell r="G1074" t="str">
            <v>Yes</v>
          </cell>
          <cell r="H1074" t="str">
            <v>NO</v>
          </cell>
          <cell r="I1074" t="str">
            <v>Doctorado en Bioquímica y Biomedicina</v>
          </cell>
          <cell r="J1074" t="str">
            <v>MÁSTER UNIVERSITARIO EN FORMACIÓN DEL PROFESORADO DE EDUCACIÓN SECUNDARIA OBLIGATORIA, BACHILLERATO, FORMACIÓN PROFESIONAL Y ENSEÑANZA DE IDIOMAS</v>
          </cell>
          <cell r="K1074" t="str">
            <v>Máster en Microbiología Aplicada</v>
          </cell>
          <cell r="L1074" t="str">
            <v>Licenciada en Biología</v>
          </cell>
          <cell r="M1074" t="str">
            <v>Professional</v>
          </cell>
          <cell r="N1074" t="str">
            <v/>
          </cell>
          <cell r="O1074" t="str">
            <v>CBS</v>
          </cell>
          <cell r="P1074">
            <v>0</v>
          </cell>
          <cell r="Q1074" t="str">
            <v xml:space="preserve"> </v>
          </cell>
          <cell r="R1074"/>
          <cell r="S1074"/>
          <cell r="T1074" t="str">
            <v>Sin reducción</v>
          </cell>
          <cell r="U1074">
            <v>0</v>
          </cell>
          <cell r="V1074"/>
          <cell r="W1074"/>
          <cell r="X1074">
            <v>0</v>
          </cell>
          <cell r="Y1074">
            <v>0</v>
          </cell>
          <cell r="Z1074">
            <v>0</v>
          </cell>
          <cell r="AA1074"/>
          <cell r="AB1074" t="str">
            <v>Active - signed</v>
          </cell>
          <cell r="AC1074" t="str">
            <v>ACTIVO</v>
          </cell>
          <cell r="AD1074"/>
          <cell r="AE1074"/>
          <cell r="AF1074"/>
          <cell r="AG1074"/>
          <cell r="AH1074"/>
          <cell r="AI1074" t="str">
            <v>15421405C</v>
          </cell>
        </row>
        <row r="1075">
          <cell r="A1075" t="str">
            <v>72151193D</v>
          </cell>
          <cell r="B1075" t="str">
            <v>Selaya Berodia</v>
          </cell>
          <cell r="C1075" t="str">
            <v>Adriana</v>
          </cell>
          <cell r="D1075" t="str">
            <v>Selaya Berodia, Adriana</v>
          </cell>
          <cell r="E1075" t="str">
            <v>adriana.selaya</v>
          </cell>
          <cell r="F1075" t="str">
            <v>adriana.selaya@professor.universidadviu.com</v>
          </cell>
          <cell r="G1075" t="str">
            <v>Yes</v>
          </cell>
          <cell r="H1075" t="str">
            <v>NO</v>
          </cell>
          <cell r="I1075" t="str">
            <v>Programa de Doctorado en Psicología del Trabajo y las Organizaciones, Jurídica-Forense y del Consumidor y Usuario</v>
          </cell>
          <cell r="J1075" t="str">
            <v>Programa de Doctorado en Psicología del Trabajo y las Organizaciones, Jurídica-Forense y del Consumidor y Usuario</v>
          </cell>
          <cell r="K1075" t="str">
            <v>Máster universitario en Psicologia jurídica y forense</v>
          </cell>
          <cell r="L1075" t="str">
            <v>Graduado/a en Psicología</v>
          </cell>
          <cell r="M1075" t="str">
            <v>Labour</v>
          </cell>
          <cell r="N1075" t="str">
            <v>Rama Galdón, Encarnación</v>
          </cell>
          <cell r="O1075" t="str">
            <v>CSS</v>
          </cell>
          <cell r="P1075">
            <v>100</v>
          </cell>
          <cell r="Q1075" t="str">
            <v>50</v>
          </cell>
          <cell r="R1075"/>
          <cell r="S1075"/>
          <cell r="T1075" t="str">
            <v>Sin reducción</v>
          </cell>
          <cell r="U1075">
            <v>0</v>
          </cell>
          <cell r="V1075">
            <v>6</v>
          </cell>
          <cell r="W1075" t="str">
            <v>JURÍDICO</v>
          </cell>
          <cell r="X1075">
            <v>33.1</v>
          </cell>
          <cell r="Y1075">
            <v>0</v>
          </cell>
          <cell r="Z1075">
            <v>0</v>
          </cell>
          <cell r="AA1075"/>
          <cell r="AB1075" t="str">
            <v>Active - signed</v>
          </cell>
          <cell r="AC1075" t="str">
            <v>ACTIVO</v>
          </cell>
          <cell r="AD1075"/>
          <cell r="AE1075"/>
          <cell r="AF1075"/>
          <cell r="AG1075"/>
          <cell r="AH1075"/>
          <cell r="AI1075" t="str">
            <v>72151193D</v>
          </cell>
        </row>
        <row r="1076">
          <cell r="A1076" t="str">
            <v>45303976W</v>
          </cell>
          <cell r="B1076" t="str">
            <v>Sempere Bordes</v>
          </cell>
          <cell r="C1076" t="str">
            <v>Lluís</v>
          </cell>
          <cell r="D1076" t="str">
            <v>Sempere Bordes, Lluís</v>
          </cell>
          <cell r="E1076" t="str">
            <v>lsempereb@professional.universidadviu.com</v>
          </cell>
          <cell r="F1076" t="str">
            <v>lsempereb@professional.universidadviu.com</v>
          </cell>
          <cell r="G1076" t="str">
            <v>Yes</v>
          </cell>
          <cell r="H1076" t="str">
            <v>NO</v>
          </cell>
          <cell r="I1076" t="str">
            <v>Bioquímica y Biología molecular</v>
          </cell>
          <cell r="J1076" t="str">
            <v>Curso de Adaptación Pedagógica</v>
          </cell>
          <cell r="K1076" t="str">
            <v>Licenciado en Biología</v>
          </cell>
          <cell r="L1076" t="str">
            <v/>
          </cell>
          <cell r="M1076" t="str">
            <v>Professional</v>
          </cell>
          <cell r="N1076"/>
          <cell r="O1076" t="str">
            <v>CBS</v>
          </cell>
          <cell r="P1076">
            <v>0</v>
          </cell>
          <cell r="Q1076" t="str">
            <v xml:space="preserve"> </v>
          </cell>
          <cell r="R1076"/>
          <cell r="S1076"/>
          <cell r="T1076" t="str">
            <v>Sin reducción</v>
          </cell>
          <cell r="U1076">
            <v>0</v>
          </cell>
          <cell r="V1076"/>
          <cell r="W1076"/>
          <cell r="X1076">
            <v>0</v>
          </cell>
          <cell r="Y1076">
            <v>0</v>
          </cell>
          <cell r="Z1076">
            <v>0</v>
          </cell>
          <cell r="AA1076"/>
          <cell r="AB1076" t="str">
            <v>Active - signed</v>
          </cell>
          <cell r="AC1076" t="str">
            <v>ACTIVO</v>
          </cell>
          <cell r="AD1076"/>
          <cell r="AE1076"/>
          <cell r="AF1076"/>
          <cell r="AG1076"/>
          <cell r="AH1076"/>
          <cell r="AI1076" t="str">
            <v>45303976W</v>
          </cell>
        </row>
        <row r="1077">
          <cell r="A1077" t="str">
            <v>48671191V</v>
          </cell>
          <cell r="B1077" t="str">
            <v>Sendra Ortola</v>
          </cell>
          <cell r="C1077" t="str">
            <v>Miquel</v>
          </cell>
          <cell r="D1077" t="str">
            <v>Sendra Ortola, Miquel</v>
          </cell>
          <cell r="E1077" t="str">
            <v>miquel.sendra@professor.universidadviu.com</v>
          </cell>
          <cell r="F1077" t="str">
            <v>miquel.sendra@professor.universidadviu.com</v>
          </cell>
          <cell r="G1077" t="str">
            <v>Yes</v>
          </cell>
          <cell r="H1077" t="str">
            <v>NO</v>
          </cell>
          <cell r="I1077" t="str">
            <v>Biotecnología</v>
          </cell>
          <cell r="J1077" t="str">
            <v>Máster Universitario en Investigación Biomédica</v>
          </cell>
          <cell r="K1077" t="str">
            <v>Doctorado en biociencias moleculares</v>
          </cell>
          <cell r="L1077" t="str">
            <v/>
          </cell>
          <cell r="M1077" t="str">
            <v>Labour</v>
          </cell>
          <cell r="N1077" t="str">
            <v>Tronchoni León, Jordi</v>
          </cell>
          <cell r="O1077" t="str">
            <v>CBS</v>
          </cell>
          <cell r="P1077">
            <v>100</v>
          </cell>
          <cell r="Q1077" t="str">
            <v>50</v>
          </cell>
          <cell r="R1077"/>
          <cell r="S1077"/>
          <cell r="T1077" t="str">
            <v>Sin reducción</v>
          </cell>
          <cell r="U1077">
            <v>0</v>
          </cell>
          <cell r="V1077"/>
          <cell r="W1077"/>
          <cell r="X1077">
            <v>0</v>
          </cell>
          <cell r="Y1077">
            <v>0</v>
          </cell>
          <cell r="Z1077">
            <v>45.6</v>
          </cell>
          <cell r="AA1077"/>
          <cell r="AB1077" t="str">
            <v>Active - signed</v>
          </cell>
          <cell r="AC1077" t="str">
            <v>ACTIVO</v>
          </cell>
          <cell r="AD1077"/>
          <cell r="AE1077"/>
          <cell r="AF1077"/>
          <cell r="AG1077"/>
          <cell r="AH1077"/>
          <cell r="AI1077" t="str">
            <v>48671191V</v>
          </cell>
        </row>
        <row r="1078">
          <cell r="A1078" t="str">
            <v>47710776J</v>
          </cell>
          <cell r="B1078" t="str">
            <v>Senserrich Velasco</v>
          </cell>
          <cell r="C1078" t="str">
            <v>Jordi</v>
          </cell>
          <cell r="D1078" t="str">
            <v>Senserrich Velasco, Jordi</v>
          </cell>
          <cell r="E1078" t="str">
            <v>jsenserrichv@professional.universidadviu.com</v>
          </cell>
          <cell r="F1078"/>
          <cell r="G1078" t="str">
            <v>Yes</v>
          </cell>
          <cell r="H1078" t="str">
            <v>NO</v>
          </cell>
          <cell r="I1078" t="str">
            <v/>
          </cell>
          <cell r="J1078" t="str">
            <v/>
          </cell>
          <cell r="K1078" t="str">
            <v/>
          </cell>
          <cell r="L1078" t="str">
            <v/>
          </cell>
          <cell r="M1078" t="str">
            <v>Professional</v>
          </cell>
          <cell r="N1078"/>
          <cell r="O1078" t="str">
            <v>CSS</v>
          </cell>
          <cell r="P1078">
            <v>0</v>
          </cell>
          <cell r="Q1078" t="str">
            <v xml:space="preserve"> </v>
          </cell>
          <cell r="R1078"/>
          <cell r="S1078"/>
          <cell r="T1078" t="str">
            <v>Sin reducción</v>
          </cell>
          <cell r="U1078">
            <v>0</v>
          </cell>
          <cell r="V1078"/>
          <cell r="W1078"/>
          <cell r="X1078">
            <v>0</v>
          </cell>
          <cell r="Y1078">
            <v>0</v>
          </cell>
          <cell r="Z1078">
            <v>0</v>
          </cell>
          <cell r="AA1078"/>
          <cell r="AB1078" t="str">
            <v>Active - signed</v>
          </cell>
          <cell r="AC1078" t="str">
            <v>ACTIVO</v>
          </cell>
          <cell r="AD1078"/>
          <cell r="AE1078"/>
          <cell r="AF1078"/>
          <cell r="AG1078"/>
          <cell r="AH1078"/>
          <cell r="AI1078" t="str">
            <v>47710776J</v>
          </cell>
        </row>
        <row r="1079">
          <cell r="A1079" t="str">
            <v>08865299H</v>
          </cell>
          <cell r="B1079" t="str">
            <v>Sequera Martín</v>
          </cell>
          <cell r="C1079" t="str">
            <v>Manuel</v>
          </cell>
          <cell r="D1079" t="str">
            <v>Sequera Martín, Manuel</v>
          </cell>
          <cell r="E1079" t="str">
            <v>manuel.sequera</v>
          </cell>
          <cell r="F1079" t="str">
            <v>manuel.sequera@professional.universidadviu.com</v>
          </cell>
          <cell r="G1079" t="str">
            <v>Yes</v>
          </cell>
          <cell r="H1079" t="str">
            <v>NO</v>
          </cell>
          <cell r="I1079" t="str">
            <v>Especialista universitario en musicoterapia</v>
          </cell>
          <cell r="J1079" t="str">
            <v>Licenciado en veterinaria</v>
          </cell>
          <cell r="K1079" t="str">
            <v>Doctorado</v>
          </cell>
          <cell r="L1079" t="str">
            <v/>
          </cell>
          <cell r="M1079" t="str">
            <v>Professional</v>
          </cell>
          <cell r="N1079" t="str">
            <v/>
          </cell>
          <cell r="O1079"/>
          <cell r="P1079">
            <v>0</v>
          </cell>
          <cell r="Q1079" t="str">
            <v xml:space="preserve"> </v>
          </cell>
          <cell r="R1079"/>
          <cell r="S1079"/>
          <cell r="T1079" t="str">
            <v>Sin reducción</v>
          </cell>
          <cell r="U1079">
            <v>0</v>
          </cell>
          <cell r="V1079"/>
          <cell r="W1079"/>
          <cell r="X1079">
            <v>0</v>
          </cell>
          <cell r="Y1079">
            <v>0</v>
          </cell>
          <cell r="Z1079">
            <v>0</v>
          </cell>
          <cell r="AA1079"/>
          <cell r="AB1079" t="str">
            <v>Concluded</v>
          </cell>
          <cell r="AC1079" t="str">
            <v>NO ACTIVO</v>
          </cell>
          <cell r="AD1079"/>
          <cell r="AE1079"/>
          <cell r="AF1079">
            <v>45254</v>
          </cell>
          <cell r="AG1079" t="str">
            <v>CESE DE CONTRATO</v>
          </cell>
          <cell r="AH1079"/>
          <cell r="AI1079" t="str">
            <v>08865299H</v>
          </cell>
        </row>
        <row r="1080">
          <cell r="A1080" t="str">
            <v>Y3932236D</v>
          </cell>
          <cell r="B1080" t="str">
            <v>Serge Rodríguez</v>
          </cell>
          <cell r="C1080" t="str">
            <v>Andrea Cecilia</v>
          </cell>
          <cell r="D1080" t="str">
            <v>Serge Rodríguez, Andrea Cecilia</v>
          </cell>
          <cell r="E1080" t="str">
            <v>aserger@professional.universidadviu.com</v>
          </cell>
          <cell r="F1080" t="str">
            <v>aserger@professional.universidadviu.com</v>
          </cell>
          <cell r="G1080" t="str">
            <v>Yes</v>
          </cell>
          <cell r="H1080" t="str">
            <v>NO</v>
          </cell>
          <cell r="I1080" t="str">
            <v>Doctorado en psicologia</v>
          </cell>
          <cell r="J1080" t="str">
            <v>Grado en psicologia</v>
          </cell>
          <cell r="K1080" t="str">
            <v/>
          </cell>
          <cell r="L1080" t="str">
            <v/>
          </cell>
          <cell r="M1080" t="str">
            <v>Professional</v>
          </cell>
          <cell r="N1080" t="str">
            <v/>
          </cell>
          <cell r="O1080" t="str">
            <v>CSS</v>
          </cell>
          <cell r="P1080">
            <v>0</v>
          </cell>
          <cell r="Q1080" t="str">
            <v xml:space="preserve"> </v>
          </cell>
          <cell r="R1080"/>
          <cell r="S1080"/>
          <cell r="T1080" t="str">
            <v>Sin reducción</v>
          </cell>
          <cell r="U1080">
            <v>0</v>
          </cell>
          <cell r="V1080"/>
          <cell r="W1080"/>
          <cell r="X1080">
            <v>0</v>
          </cell>
          <cell r="Y1080">
            <v>0</v>
          </cell>
          <cell r="Z1080">
            <v>0</v>
          </cell>
          <cell r="AA1080"/>
          <cell r="AB1080" t="str">
            <v>Active - signed</v>
          </cell>
          <cell r="AC1080" t="str">
            <v>ACTIVO</v>
          </cell>
          <cell r="AD1080"/>
          <cell r="AE1080"/>
          <cell r="AF1080"/>
          <cell r="AG1080"/>
          <cell r="AH1080"/>
          <cell r="AI1080" t="str">
            <v>Y3932236D</v>
          </cell>
        </row>
        <row r="1081">
          <cell r="A1081" t="str">
            <v>78081675X</v>
          </cell>
          <cell r="B1081" t="str">
            <v>Serra Maqueda</v>
          </cell>
          <cell r="C1081" t="str">
            <v>Aida</v>
          </cell>
          <cell r="D1081" t="str">
            <v>Serra Maqueda, Aida</v>
          </cell>
          <cell r="E1081" t="str">
            <v>aida.serra</v>
          </cell>
          <cell r="F1081" t="str">
            <v>aida.serra@professional.universidadviu.com</v>
          </cell>
          <cell r="G1081" t="str">
            <v>Yes</v>
          </cell>
          <cell r="H1081" t="str">
            <v>Yes</v>
          </cell>
          <cell r="I1081" t="str">
            <v>Ciencia y tecnología de los alimentos</v>
          </cell>
          <cell r="J1081" t="str">
            <v>Doctorado en ciencia y tecnología agraria y alimentaria</v>
          </cell>
          <cell r="K1081" t="str">
            <v>Máster Universitario en Investigación en sistemas de producción agroalimentaria</v>
          </cell>
          <cell r="L1081" t="str">
            <v/>
          </cell>
          <cell r="M1081" t="str">
            <v>Professional</v>
          </cell>
          <cell r="N1081" t="str">
            <v/>
          </cell>
          <cell r="O1081" t="str">
            <v>CBS</v>
          </cell>
          <cell r="P1081">
            <v>0</v>
          </cell>
          <cell r="Q1081" t="str">
            <v xml:space="preserve"> </v>
          </cell>
          <cell r="R1081"/>
          <cell r="S1081"/>
          <cell r="T1081" t="str">
            <v>Sin reducción</v>
          </cell>
          <cell r="U1081">
            <v>0</v>
          </cell>
          <cell r="V1081"/>
          <cell r="W1081"/>
          <cell r="X1081">
            <v>0</v>
          </cell>
          <cell r="Y1081">
            <v>0</v>
          </cell>
          <cell r="Z1081">
            <v>0</v>
          </cell>
          <cell r="AA1081"/>
          <cell r="AB1081" t="str">
            <v>Active - signed</v>
          </cell>
          <cell r="AC1081" t="str">
            <v>ACTIVO</v>
          </cell>
          <cell r="AD1081"/>
          <cell r="AE1081"/>
          <cell r="AF1081"/>
          <cell r="AG1081"/>
          <cell r="AH1081"/>
          <cell r="AI1081" t="str">
            <v>78081675X</v>
          </cell>
        </row>
        <row r="1082">
          <cell r="A1082" t="str">
            <v>71169694N</v>
          </cell>
          <cell r="B1082" t="str">
            <v>Serrador Díez</v>
          </cell>
          <cell r="C1082" t="str">
            <v>Concepción</v>
          </cell>
          <cell r="D1082" t="str">
            <v>Serrador Díez, Concepción</v>
          </cell>
          <cell r="E1082" t="str">
            <v>cserradord@professional.universidadviu.com</v>
          </cell>
          <cell r="F1082" t="str">
            <v>cserradord@professional.universidadviu.com</v>
          </cell>
          <cell r="G1082" t="str">
            <v>NO</v>
          </cell>
          <cell r="H1082" t="str">
            <v>NO</v>
          </cell>
          <cell r="I1082" t="str">
            <v>Doctorado en Psicología de la Salud</v>
          </cell>
          <cell r="J1082" t="str">
            <v>Licenciatura Psicología</v>
          </cell>
          <cell r="K1082" t="str">
            <v/>
          </cell>
          <cell r="L1082" t="str">
            <v/>
          </cell>
          <cell r="M1082" t="str">
            <v>Professional</v>
          </cell>
          <cell r="N1082" t="str">
            <v/>
          </cell>
          <cell r="O1082" t="str">
            <v>CSS</v>
          </cell>
          <cell r="P1082">
            <v>0</v>
          </cell>
          <cell r="Q1082" t="str">
            <v xml:space="preserve"> </v>
          </cell>
          <cell r="R1082"/>
          <cell r="S1082"/>
          <cell r="T1082" t="str">
            <v>Sin reducción</v>
          </cell>
          <cell r="U1082">
            <v>0</v>
          </cell>
          <cell r="V1082"/>
          <cell r="W1082"/>
          <cell r="X1082">
            <v>0</v>
          </cell>
          <cell r="Y1082">
            <v>0</v>
          </cell>
          <cell r="Z1082">
            <v>0</v>
          </cell>
          <cell r="AA1082"/>
          <cell r="AB1082" t="str">
            <v>Concluded</v>
          </cell>
          <cell r="AC1082" t="str">
            <v>NO ACTIVO</v>
          </cell>
          <cell r="AD1082"/>
          <cell r="AE1082"/>
          <cell r="AF1082"/>
          <cell r="AG1082" t="str">
            <v>CESE DE CONTRATO</v>
          </cell>
          <cell r="AH1082"/>
          <cell r="AI1082" t="str">
            <v>71169694N</v>
          </cell>
        </row>
        <row r="1083">
          <cell r="A1083" t="str">
            <v>44890584N</v>
          </cell>
          <cell r="B1083" t="str">
            <v>Serralta García</v>
          </cell>
          <cell r="C1083" t="str">
            <v>Laura Beatriz</v>
          </cell>
          <cell r="D1083" t="str">
            <v>Serralta García, Laura Beatriz</v>
          </cell>
          <cell r="E1083" t="str">
            <v>laurabeatriz.serralta</v>
          </cell>
          <cell r="F1083" t="str">
            <v>laurabeatriz.serralta@professional.universidadviu.com</v>
          </cell>
          <cell r="G1083" t="str">
            <v>NO</v>
          </cell>
          <cell r="H1083" t="str">
            <v>NO</v>
          </cell>
          <cell r="I1083" t="str">
            <v>Enfermería</v>
          </cell>
          <cell r="J1083" t="str">
            <v>Graduada en Biotecnología</v>
          </cell>
          <cell r="K1083" t="str">
            <v/>
          </cell>
          <cell r="L1083" t="str">
            <v/>
          </cell>
          <cell r="M1083" t="str">
            <v>Professional</v>
          </cell>
          <cell r="N1083" t="str">
            <v/>
          </cell>
          <cell r="O1083" t="str">
            <v>CBS</v>
          </cell>
          <cell r="P1083">
            <v>0</v>
          </cell>
          <cell r="Q1083" t="str">
            <v xml:space="preserve"> </v>
          </cell>
          <cell r="R1083"/>
          <cell r="S1083"/>
          <cell r="T1083" t="str">
            <v>Sin reducción</v>
          </cell>
          <cell r="U1083">
            <v>0</v>
          </cell>
          <cell r="V1083"/>
          <cell r="W1083"/>
          <cell r="X1083">
            <v>0</v>
          </cell>
          <cell r="Y1083">
            <v>0</v>
          </cell>
          <cell r="Z1083">
            <v>0</v>
          </cell>
          <cell r="AA1083"/>
          <cell r="AB1083" t="str">
            <v>Active - signed</v>
          </cell>
          <cell r="AC1083" t="str">
            <v>ACTIVO</v>
          </cell>
          <cell r="AD1083"/>
          <cell r="AE1083"/>
          <cell r="AF1083"/>
          <cell r="AG1083"/>
          <cell r="AH1083"/>
          <cell r="AI1083" t="str">
            <v>44890584N</v>
          </cell>
        </row>
        <row r="1084">
          <cell r="A1084" t="str">
            <v>74379309T</v>
          </cell>
          <cell r="B1084" t="str">
            <v>Serrano Alcalá</v>
          </cell>
          <cell r="C1084" t="str">
            <v>Alicia</v>
          </cell>
          <cell r="D1084" t="str">
            <v>Serrano Alcalá, Alicia</v>
          </cell>
          <cell r="E1084" t="str">
            <v>alicia.serrano0</v>
          </cell>
          <cell r="F1084" t="str">
            <v>alicia.serrano0@professional.universidadviu.com</v>
          </cell>
          <cell r="G1084" t="str">
            <v>Yes</v>
          </cell>
          <cell r="H1084" t="str">
            <v>NO</v>
          </cell>
          <cell r="I1084" t="str">
            <v>Biotecnología</v>
          </cell>
          <cell r="J1084" t="str">
            <v>Master universitario en aproximaciones moleculares en ciencias de la salud</v>
          </cell>
          <cell r="K1084" t="str">
            <v>Graduada en Biotecnologia</v>
          </cell>
          <cell r="L1084" t="str">
            <v/>
          </cell>
          <cell r="M1084" t="str">
            <v>Professional</v>
          </cell>
          <cell r="N1084" t="str">
            <v/>
          </cell>
          <cell r="O1084" t="str">
            <v>CBS</v>
          </cell>
          <cell r="P1084">
            <v>0</v>
          </cell>
          <cell r="Q1084" t="str">
            <v xml:space="preserve"> </v>
          </cell>
          <cell r="R1084"/>
          <cell r="S1084"/>
          <cell r="T1084" t="str">
            <v>Sin reducción</v>
          </cell>
          <cell r="U1084">
            <v>0</v>
          </cell>
          <cell r="V1084"/>
          <cell r="W1084"/>
          <cell r="X1084">
            <v>0</v>
          </cell>
          <cell r="Y1084">
            <v>0</v>
          </cell>
          <cell r="Z1084">
            <v>0</v>
          </cell>
          <cell r="AA1084"/>
          <cell r="AB1084" t="str">
            <v>Active - signed</v>
          </cell>
          <cell r="AC1084" t="str">
            <v>ACTIVO</v>
          </cell>
          <cell r="AD1084"/>
          <cell r="AE1084"/>
          <cell r="AF1084"/>
          <cell r="AG1084"/>
          <cell r="AH1084"/>
          <cell r="AI1084" t="str">
            <v>74379309T</v>
          </cell>
        </row>
        <row r="1085">
          <cell r="A1085" t="str">
            <v>09002063R</v>
          </cell>
          <cell r="B1085" t="str">
            <v>Serrano García</v>
          </cell>
          <cell r="C1085" t="str">
            <v>Cristina</v>
          </cell>
          <cell r="D1085" t="str">
            <v>Serrano García, Cristina</v>
          </cell>
          <cell r="E1085" t="str">
            <v>cristina.serrano.g</v>
          </cell>
          <cell r="F1085" t="str">
            <v>cristina.serrano.g@professor.universidadviu.com</v>
          </cell>
          <cell r="G1085" t="str">
            <v>Yes</v>
          </cell>
          <cell r="H1085" t="str">
            <v>Yes</v>
          </cell>
          <cell r="I1085" t="str">
            <v>Programa Doctorado en La Acción Educativa: Perspectivas Histórico Funcionales</v>
          </cell>
          <cell r="J1085" t="str">
            <v>Maestra - Especialidad de Audición y Lenguaje</v>
          </cell>
          <cell r="K1085" t="str">
            <v>Licenciado en Psicopedagogía</v>
          </cell>
          <cell r="L1085" t="str">
            <v>Máster en Neuropsicología</v>
          </cell>
          <cell r="M1085" t="str">
            <v>Labour</v>
          </cell>
          <cell r="N1085"/>
          <cell r="O1085" t="str">
            <v>CSS</v>
          </cell>
          <cell r="P1085">
            <v>100</v>
          </cell>
          <cell r="Q1085" t="str">
            <v>50</v>
          </cell>
          <cell r="R1085"/>
          <cell r="S1085"/>
          <cell r="T1085" t="str">
            <v>Sin reducción</v>
          </cell>
          <cell r="U1085">
            <v>0</v>
          </cell>
          <cell r="V1085">
            <v>47</v>
          </cell>
          <cell r="W1085" t="str">
            <v>EDUCACIÓN</v>
          </cell>
          <cell r="X1085">
            <v>0</v>
          </cell>
          <cell r="Y1085">
            <v>0</v>
          </cell>
          <cell r="Z1085">
            <v>0</v>
          </cell>
          <cell r="AA1085"/>
          <cell r="AB1085" t="str">
            <v>Concluded</v>
          </cell>
          <cell r="AC1085" t="str">
            <v>NO ACTIVO</v>
          </cell>
          <cell r="AD1085"/>
          <cell r="AE1085"/>
          <cell r="AF1085">
            <v>45198</v>
          </cell>
          <cell r="AG1085" t="str">
            <v>CESE DE CONTRATO</v>
          </cell>
          <cell r="AH1085"/>
          <cell r="AI1085" t="str">
            <v>09002063R</v>
          </cell>
        </row>
        <row r="1086">
          <cell r="A1086" t="str">
            <v>X9069676V</v>
          </cell>
          <cell r="B1086" t="str">
            <v>Serrano Zárate</v>
          </cell>
          <cell r="C1086" t="str">
            <v>Berenice</v>
          </cell>
          <cell r="D1086" t="str">
            <v>Serrano Zárate, Berenice</v>
          </cell>
          <cell r="E1086" t="str">
            <v>berenice.serrano</v>
          </cell>
          <cell r="F1086" t="str">
            <v>berenice.serrano@professional.universidadviu.com</v>
          </cell>
          <cell r="G1086" t="str">
            <v>Yes</v>
          </cell>
          <cell r="H1086" t="str">
            <v>Yes</v>
          </cell>
          <cell r="I1086" t="str">
            <v>Psicología</v>
          </cell>
          <cell r="J1086" t="str">
            <v>Programa Doctorado en Psicopatología, Salud y Neuropsicología</v>
          </cell>
          <cell r="K1086" t="str">
            <v>Técnico en computación</v>
          </cell>
          <cell r="L1086" t="str">
            <v>Máster Universitario en Piscopatología, Salud y neuropsicología</v>
          </cell>
          <cell r="M1086" t="str">
            <v>Professional</v>
          </cell>
          <cell r="N1086" t="str">
            <v/>
          </cell>
          <cell r="O1086" t="str">
            <v>CSS</v>
          </cell>
          <cell r="P1086">
            <v>0</v>
          </cell>
          <cell r="Q1086" t="str">
            <v xml:space="preserve"> </v>
          </cell>
          <cell r="R1086"/>
          <cell r="S1086"/>
          <cell r="T1086" t="str">
            <v>Sin reducción</v>
          </cell>
          <cell r="U1086">
            <v>0</v>
          </cell>
          <cell r="V1086"/>
          <cell r="W1086"/>
          <cell r="X1086">
            <v>0</v>
          </cell>
          <cell r="Y1086">
            <v>0</v>
          </cell>
          <cell r="Z1086">
            <v>0</v>
          </cell>
          <cell r="AA1086"/>
          <cell r="AB1086" t="str">
            <v>Active - signed</v>
          </cell>
          <cell r="AC1086" t="str">
            <v>ACTIVO</v>
          </cell>
          <cell r="AD1086"/>
          <cell r="AE1086"/>
          <cell r="AF1086"/>
          <cell r="AG1086"/>
          <cell r="AH1086"/>
          <cell r="AI1086" t="str">
            <v>X9069676V</v>
          </cell>
        </row>
        <row r="1087">
          <cell r="A1087" t="str">
            <v>50612648K</v>
          </cell>
          <cell r="B1087" t="str">
            <v>Servián Franco</v>
          </cell>
          <cell r="C1087" t="str">
            <v>Fátima</v>
          </cell>
          <cell r="D1087" t="str">
            <v>Servián Franco, Fátima</v>
          </cell>
          <cell r="E1087" t="str">
            <v>fatima.servian</v>
          </cell>
          <cell r="F1087" t="str">
            <v>fatima.servian@professor.universidadviu.com</v>
          </cell>
          <cell r="G1087" t="str">
            <v>Yes</v>
          </cell>
          <cell r="H1087" t="str">
            <v>NO</v>
          </cell>
          <cell r="I1087" t="str">
            <v>Programa de Doctorado en Psicología</v>
          </cell>
          <cell r="J1087" t="str">
            <v>Programa de Doctorado en Psicología</v>
          </cell>
          <cell r="K1087" t="str">
            <v>Máster Universitario en Intervención Psicológica en ámbitos clínicos y de la salud</v>
          </cell>
          <cell r="L1087" t="str">
            <v>Licenciado en Psicología</v>
          </cell>
          <cell r="M1087" t="str">
            <v>Labour</v>
          </cell>
          <cell r="N1087" t="str">
            <v>Hernández Saguar, Aida Esther</v>
          </cell>
          <cell r="O1087" t="str">
            <v>CSS</v>
          </cell>
          <cell r="P1087">
            <v>100</v>
          </cell>
          <cell r="Q1087" t="str">
            <v>50</v>
          </cell>
          <cell r="R1087"/>
          <cell r="S1087"/>
          <cell r="T1087" t="str">
            <v>Sin reducción</v>
          </cell>
          <cell r="U1087">
            <v>0</v>
          </cell>
          <cell r="V1087"/>
          <cell r="W1087"/>
          <cell r="X1087">
            <v>46.7</v>
          </cell>
          <cell r="Y1087">
            <v>3</v>
          </cell>
          <cell r="Z1087">
            <v>0</v>
          </cell>
          <cell r="AA1087"/>
          <cell r="AB1087" t="str">
            <v>Active - signed</v>
          </cell>
          <cell r="AC1087" t="str">
            <v>ACTIVO</v>
          </cell>
          <cell r="AD1087"/>
          <cell r="AE1087"/>
          <cell r="AF1087"/>
          <cell r="AG1087"/>
          <cell r="AH1087"/>
          <cell r="AI1087" t="str">
            <v>50612648K</v>
          </cell>
        </row>
        <row r="1088">
          <cell r="A1088" t="str">
            <v>75913211D</v>
          </cell>
          <cell r="B1088" t="str">
            <v>Shub Skorniakova</v>
          </cell>
          <cell r="C1088" t="str">
            <v>Svetlana</v>
          </cell>
          <cell r="D1088" t="str">
            <v>Shub Skorniakova, Svetlana</v>
          </cell>
          <cell r="E1088" t="str">
            <v>sshubs@professor.universidadviu.com</v>
          </cell>
          <cell r="F1088" t="str">
            <v>sshubs@professor.universidadviu.com</v>
          </cell>
          <cell r="G1088" t="str">
            <v>Yes</v>
          </cell>
          <cell r="H1088" t="str">
            <v>NO</v>
          </cell>
          <cell r="I1088" t="str">
            <v>Doctorado en Ciencias de la Salud</v>
          </cell>
          <cell r="J1088" t="str">
            <v>Máster Universitario en Investigación en Psicología</v>
          </cell>
          <cell r="K1088" t="str">
            <v>Licenciada en Psicología. Especialidad Clínica.</v>
          </cell>
          <cell r="L1088" t="str">
            <v/>
          </cell>
          <cell r="M1088" t="str">
            <v>Labour</v>
          </cell>
          <cell r="N1088" t="str">
            <v>Rama Galdón, Encarnación</v>
          </cell>
          <cell r="O1088" t="str">
            <v>CSS</v>
          </cell>
          <cell r="P1088">
            <v>40</v>
          </cell>
          <cell r="Q1088" t="str">
            <v>32</v>
          </cell>
          <cell r="R1088"/>
          <cell r="S1088"/>
          <cell r="T1088" t="str">
            <v>Sin reducción</v>
          </cell>
          <cell r="U1088">
            <v>0</v>
          </cell>
          <cell r="V1088"/>
          <cell r="W1088"/>
          <cell r="X1088">
            <v>17.100000000000001</v>
          </cell>
          <cell r="Y1088">
            <v>0</v>
          </cell>
          <cell r="Z1088">
            <v>0</v>
          </cell>
          <cell r="AA1088"/>
          <cell r="AB1088" t="str">
            <v>Active - signed</v>
          </cell>
          <cell r="AC1088" t="str">
            <v>ACTIVO</v>
          </cell>
          <cell r="AD1088"/>
          <cell r="AE1088"/>
          <cell r="AF1088"/>
          <cell r="AG1088"/>
          <cell r="AH1088"/>
          <cell r="AI1088" t="str">
            <v>75913211D</v>
          </cell>
        </row>
        <row r="1089">
          <cell r="A1089" t="str">
            <v>50548000A</v>
          </cell>
          <cell r="B1089" t="str">
            <v>Silva López</v>
          </cell>
          <cell r="C1089" t="str">
            <v>Mariana</v>
          </cell>
          <cell r="D1089" t="str">
            <v>Silva López, Mariana</v>
          </cell>
          <cell r="E1089" t="str">
            <v>mariana.silva</v>
          </cell>
          <cell r="F1089" t="str">
            <v>mariana.silva@professor.universidadviu.com</v>
          </cell>
          <cell r="G1089" t="str">
            <v>Yes</v>
          </cell>
          <cell r="H1089" t="str">
            <v>Yes</v>
          </cell>
          <cell r="I1089" t="str">
            <v>Programa de Doctorado en Tecnologías Industriales: Química, Ambiental, Energética, Electrónica, Mecánica y de los Materiales.</v>
          </cell>
          <cell r="J1089" t="str">
            <v>Programa de Doctorado en Tecnologías Industriales: Química, Ambiental, Energética, Electrónica, Mecánica y de los Materiales.</v>
          </cell>
          <cell r="K1089" t="str">
            <v>Grado en Ciencia y Tecnología de los Alimentos</v>
          </cell>
          <cell r="L1089" t="str">
            <v>Máster Universitario en Química Agrícola y Nuevos alimentos</v>
          </cell>
          <cell r="M1089" t="str">
            <v>Labour</v>
          </cell>
          <cell r="N1089" t="str">
            <v>García Tejedor, Aurora</v>
          </cell>
          <cell r="O1089" t="str">
            <v>CBS</v>
          </cell>
          <cell r="P1089">
            <v>100</v>
          </cell>
          <cell r="Q1089" t="str">
            <v>50</v>
          </cell>
          <cell r="R1089"/>
          <cell r="S1089" t="str">
            <v>1er 2015-2020</v>
          </cell>
          <cell r="T1089" t="str">
            <v>Dirección de título Máster Universitario - 2 ediciones</v>
          </cell>
          <cell r="U1089">
            <v>38</v>
          </cell>
          <cell r="V1089"/>
          <cell r="W1089"/>
          <cell r="X1089">
            <v>0</v>
          </cell>
          <cell r="Y1089">
            <v>12.6</v>
          </cell>
          <cell r="Z1089">
            <v>0</v>
          </cell>
          <cell r="AA1089"/>
          <cell r="AB1089" t="str">
            <v>Active - signed</v>
          </cell>
          <cell r="AC1089" t="str">
            <v>ACTIVO</v>
          </cell>
          <cell r="AD1089"/>
          <cell r="AE1089"/>
          <cell r="AF1089"/>
          <cell r="AG1089"/>
          <cell r="AH1089"/>
          <cell r="AI1089" t="str">
            <v>50548000A</v>
          </cell>
        </row>
        <row r="1090">
          <cell r="A1090" t="str">
            <v>41538855G</v>
          </cell>
          <cell r="B1090" t="str">
            <v>Siquier Perelló</v>
          </cell>
          <cell r="C1090" t="str">
            <v>Antònia</v>
          </cell>
          <cell r="D1090" t="str">
            <v>Siquier Perelló, Antònia</v>
          </cell>
          <cell r="E1090" t="str">
            <v>asiquierp@professional.universidadviu.com</v>
          </cell>
          <cell r="F1090" t="str">
            <v>asiquierp@professional.universidadviu.com</v>
          </cell>
          <cell r="G1090" t="str">
            <v>Yes</v>
          </cell>
          <cell r="H1090" t="str">
            <v>NO</v>
          </cell>
          <cell r="I1090" t="str">
            <v>Doctorado en Psicología</v>
          </cell>
          <cell r="J1090" t="str">
            <v>Máster en Psicología General Sanitaria</v>
          </cell>
          <cell r="K1090" t="str">
            <v/>
          </cell>
          <cell r="L1090" t="str">
            <v/>
          </cell>
          <cell r="M1090" t="str">
            <v>Professional</v>
          </cell>
          <cell r="N1090" t="str">
            <v/>
          </cell>
          <cell r="O1090" t="str">
            <v>CSS</v>
          </cell>
          <cell r="P1090">
            <v>0</v>
          </cell>
          <cell r="Q1090" t="str">
            <v xml:space="preserve"> </v>
          </cell>
          <cell r="R1090"/>
          <cell r="S1090"/>
          <cell r="T1090" t="str">
            <v>Sin reducción</v>
          </cell>
          <cell r="U1090">
            <v>0</v>
          </cell>
          <cell r="V1090"/>
          <cell r="W1090"/>
          <cell r="X1090">
            <v>0</v>
          </cell>
          <cell r="Y1090">
            <v>0</v>
          </cell>
          <cell r="Z1090">
            <v>0</v>
          </cell>
          <cell r="AA1090"/>
          <cell r="AB1090" t="str">
            <v>Active - signed</v>
          </cell>
          <cell r="AC1090" t="str">
            <v>ACTIVO</v>
          </cell>
          <cell r="AD1090"/>
          <cell r="AE1090"/>
          <cell r="AF1090"/>
          <cell r="AG1090"/>
          <cell r="AH1090"/>
          <cell r="AI1090" t="str">
            <v>41538855G</v>
          </cell>
        </row>
        <row r="1091">
          <cell r="A1091" t="str">
            <v>X9251096J</v>
          </cell>
          <cell r="B1091" t="str">
            <v>Smani</v>
          </cell>
          <cell r="C1091" t="str">
            <v>Younes</v>
          </cell>
          <cell r="D1091" t="str">
            <v>Smani, Younes</v>
          </cell>
          <cell r="E1091" t="str">
            <v>younessmani.smani</v>
          </cell>
          <cell r="F1091" t="str">
            <v>younessmani.smani@professional.universidadviu.com</v>
          </cell>
          <cell r="G1091" t="str">
            <v>Yes</v>
          </cell>
          <cell r="H1091" t="str">
            <v>Yes</v>
          </cell>
          <cell r="I1091" t="str">
            <v>Farmacia</v>
          </cell>
          <cell r="J1091" t="str">
            <v>Programa Doctorado en Farmacia</v>
          </cell>
          <cell r="K1091" t="str">
            <v/>
          </cell>
          <cell r="L1091" t="str">
            <v/>
          </cell>
          <cell r="M1091" t="str">
            <v>Professional</v>
          </cell>
          <cell r="N1091" t="str">
            <v/>
          </cell>
          <cell r="O1091" t="str">
            <v>CBS</v>
          </cell>
          <cell r="P1091">
            <v>0</v>
          </cell>
          <cell r="Q1091" t="str">
            <v xml:space="preserve"> </v>
          </cell>
          <cell r="R1091"/>
          <cell r="S1091"/>
          <cell r="T1091" t="str">
            <v>Sin reducción</v>
          </cell>
          <cell r="U1091">
            <v>0</v>
          </cell>
          <cell r="V1091"/>
          <cell r="W1091"/>
          <cell r="X1091">
            <v>0</v>
          </cell>
          <cell r="Y1091">
            <v>0</v>
          </cell>
          <cell r="Z1091">
            <v>0</v>
          </cell>
          <cell r="AA1091"/>
          <cell r="AB1091" t="str">
            <v>Active - signed</v>
          </cell>
          <cell r="AC1091" t="str">
            <v>ACTIVO</v>
          </cell>
          <cell r="AD1091"/>
          <cell r="AE1091"/>
          <cell r="AF1091"/>
          <cell r="AG1091"/>
          <cell r="AH1091"/>
          <cell r="AI1091" t="str">
            <v>X9251096J</v>
          </cell>
        </row>
        <row r="1092">
          <cell r="A1092" t="str">
            <v>74036954T</v>
          </cell>
          <cell r="B1092" t="str">
            <v>Solano Parada</v>
          </cell>
          <cell r="C1092" t="str">
            <v>Jennifer</v>
          </cell>
          <cell r="D1092" t="str">
            <v>Solano Parada, Jennifer</v>
          </cell>
          <cell r="E1092" t="str">
            <v>jennifer.solano</v>
          </cell>
          <cell r="F1092" t="str">
            <v>jennifer.solano@professional.universidadviu.com</v>
          </cell>
          <cell r="G1092" t="str">
            <v>Yes</v>
          </cell>
          <cell r="H1092" t="str">
            <v>Yes</v>
          </cell>
          <cell r="I1092" t="str">
            <v>Microbiología con Enfasis en alimentos</v>
          </cell>
          <cell r="J1092" t="str">
            <v>Doctorado en el instituto de Biotecnología</v>
          </cell>
          <cell r="K1092" t="str">
            <v/>
          </cell>
          <cell r="L1092" t="str">
            <v/>
          </cell>
          <cell r="M1092" t="str">
            <v>Professional</v>
          </cell>
          <cell r="N1092" t="str">
            <v/>
          </cell>
          <cell r="O1092" t="str">
            <v>CBS</v>
          </cell>
          <cell r="P1092">
            <v>0</v>
          </cell>
          <cell r="Q1092" t="str">
            <v xml:space="preserve"> </v>
          </cell>
          <cell r="R1092"/>
          <cell r="S1092"/>
          <cell r="T1092" t="str">
            <v>Sin reducción</v>
          </cell>
          <cell r="U1092">
            <v>0</v>
          </cell>
          <cell r="V1092"/>
          <cell r="W1092"/>
          <cell r="X1092">
            <v>0</v>
          </cell>
          <cell r="Y1092">
            <v>0</v>
          </cell>
          <cell r="Z1092">
            <v>0</v>
          </cell>
          <cell r="AA1092"/>
          <cell r="AB1092" t="str">
            <v>Active - signed</v>
          </cell>
          <cell r="AC1092" t="str">
            <v>ACTIVO</v>
          </cell>
          <cell r="AD1092"/>
          <cell r="AE1092"/>
          <cell r="AF1092"/>
          <cell r="AG1092"/>
          <cell r="AH1092"/>
          <cell r="AI1092" t="str">
            <v>74036954T</v>
          </cell>
        </row>
        <row r="1093">
          <cell r="A1093" t="str">
            <v>73596322W</v>
          </cell>
          <cell r="B1093" t="str">
            <v>Solaz García</v>
          </cell>
          <cell r="C1093" t="str">
            <v>Álvaro</v>
          </cell>
          <cell r="D1093" t="str">
            <v>Solaz García, Álvaro</v>
          </cell>
          <cell r="E1093" t="str">
            <v>alvaro.solaz</v>
          </cell>
          <cell r="F1093" t="str">
            <v>alvaro.solaz@professional.universidadviu.com</v>
          </cell>
          <cell r="G1093" t="str">
            <v>NO</v>
          </cell>
          <cell r="H1093" t="str">
            <v>NO</v>
          </cell>
          <cell r="I1093" t="str">
            <v>Enfermería</v>
          </cell>
          <cell r="J1093" t="str">
            <v>Graduado/a en Enfermeria</v>
          </cell>
          <cell r="K1093" t="str">
            <v/>
          </cell>
          <cell r="L1093" t="str">
            <v/>
          </cell>
          <cell r="M1093" t="str">
            <v>Professional</v>
          </cell>
          <cell r="N1093" t="str">
            <v/>
          </cell>
          <cell r="O1093" t="str">
            <v>CBS</v>
          </cell>
          <cell r="P1093">
            <v>0</v>
          </cell>
          <cell r="Q1093" t="str">
            <v xml:space="preserve"> </v>
          </cell>
          <cell r="R1093"/>
          <cell r="S1093"/>
          <cell r="T1093" t="str">
            <v>Sin reducción</v>
          </cell>
          <cell r="U1093">
            <v>0</v>
          </cell>
          <cell r="V1093"/>
          <cell r="W1093"/>
          <cell r="X1093">
            <v>0</v>
          </cell>
          <cell r="Y1093">
            <v>0</v>
          </cell>
          <cell r="Z1093">
            <v>0</v>
          </cell>
          <cell r="AA1093"/>
          <cell r="AB1093" t="str">
            <v>Active - signed</v>
          </cell>
          <cell r="AC1093" t="str">
            <v>ACTIVO</v>
          </cell>
          <cell r="AD1093"/>
          <cell r="AE1093"/>
          <cell r="AF1093"/>
          <cell r="AG1093"/>
          <cell r="AH1093"/>
          <cell r="AI1093" t="str">
            <v>73596322W</v>
          </cell>
        </row>
        <row r="1094">
          <cell r="A1094" t="str">
            <v>53629592D</v>
          </cell>
          <cell r="B1094" t="str">
            <v>Soler Pons</v>
          </cell>
          <cell r="C1094" t="str">
            <v>Carlos</v>
          </cell>
          <cell r="D1094" t="str">
            <v>Soler Pons, Carlos</v>
          </cell>
          <cell r="E1094" t="str">
            <v>csolerp@professional.universidadviu.com</v>
          </cell>
          <cell r="F1094" t="str">
            <v>csolerp@professional.universidadviu.com</v>
          </cell>
          <cell r="G1094" t="str">
            <v>NO</v>
          </cell>
          <cell r="H1094" t="str">
            <v>NO</v>
          </cell>
          <cell r="I1094" t="str">
            <v>Máster terapia ocupacional en neurología</v>
          </cell>
          <cell r="J1094" t="str">
            <v>Grado en terapia ocupacional</v>
          </cell>
          <cell r="K1094" t="str">
            <v/>
          </cell>
          <cell r="L1094" t="str">
            <v/>
          </cell>
          <cell r="M1094" t="str">
            <v>Professional</v>
          </cell>
          <cell r="N1094" t="str">
            <v/>
          </cell>
          <cell r="O1094" t="str">
            <v>CSS</v>
          </cell>
          <cell r="P1094">
            <v>0</v>
          </cell>
          <cell r="Q1094" t="str">
            <v xml:space="preserve"> </v>
          </cell>
          <cell r="R1094"/>
          <cell r="S1094"/>
          <cell r="T1094" t="str">
            <v>Sin reducción</v>
          </cell>
          <cell r="U1094">
            <v>0</v>
          </cell>
          <cell r="V1094"/>
          <cell r="W1094"/>
          <cell r="X1094">
            <v>0</v>
          </cell>
          <cell r="Y1094">
            <v>0</v>
          </cell>
          <cell r="Z1094">
            <v>0</v>
          </cell>
          <cell r="AA1094"/>
          <cell r="AB1094" t="str">
            <v>Active - signed</v>
          </cell>
          <cell r="AC1094" t="str">
            <v>ACTIVO</v>
          </cell>
          <cell r="AD1094"/>
          <cell r="AE1094"/>
          <cell r="AF1094"/>
          <cell r="AG1094"/>
          <cell r="AH1094"/>
          <cell r="AI1094" t="str">
            <v>53629592D</v>
          </cell>
        </row>
        <row r="1095">
          <cell r="A1095" t="str">
            <v>48294021R</v>
          </cell>
          <cell r="B1095" t="str">
            <v>Soler Vila</v>
          </cell>
          <cell r="C1095" t="str">
            <v>Paula</v>
          </cell>
          <cell r="D1095" t="str">
            <v>Soler Vila, Paula</v>
          </cell>
          <cell r="E1095" t="str">
            <v>paula.solerv</v>
          </cell>
          <cell r="F1095" t="str">
            <v>paula.solerv@professor.universidadviu.com</v>
          </cell>
          <cell r="G1095" t="str">
            <v>Yes</v>
          </cell>
          <cell r="H1095" t="str">
            <v>Yes</v>
          </cell>
          <cell r="I1095" t="str">
            <v>Programa de Doctorado en Biomedicina por la Universidad Pompeu Fabra</v>
          </cell>
          <cell r="J1095" t="str">
            <v>Programa de Doctorado en Biomedicina por la Universidad Pompeu Fabra</v>
          </cell>
          <cell r="K1095" t="str">
            <v>Licenciada en Farmacia</v>
          </cell>
          <cell r="L1095" t="str">
            <v>Máster universitario en Bioinformática</v>
          </cell>
          <cell r="M1095" t="str">
            <v>Labour</v>
          </cell>
          <cell r="N1095" t="str">
            <v>Tronchoni León, Jordi</v>
          </cell>
          <cell r="O1095" t="str">
            <v>CBS</v>
          </cell>
          <cell r="P1095">
            <v>100</v>
          </cell>
          <cell r="Q1095" t="str">
            <v>50</v>
          </cell>
          <cell r="R1095"/>
          <cell r="S1095"/>
          <cell r="T1095" t="str">
            <v>Sin reducción</v>
          </cell>
          <cell r="U1095">
            <v>0</v>
          </cell>
          <cell r="V1095">
            <v>16</v>
          </cell>
          <cell r="W1095" t="str">
            <v>ESCUELA</v>
          </cell>
          <cell r="X1095">
            <v>0</v>
          </cell>
          <cell r="Y1095">
            <v>10.8</v>
          </cell>
          <cell r="Z1095">
            <v>10.8</v>
          </cell>
          <cell r="AA1095"/>
          <cell r="AB1095" t="str">
            <v>Active - IT leave</v>
          </cell>
          <cell r="AC1095" t="str">
            <v>BAJA TEMPORAL</v>
          </cell>
          <cell r="AD1095">
            <v>45976</v>
          </cell>
          <cell r="AE1095">
            <v>46188</v>
          </cell>
          <cell r="AF1095"/>
          <cell r="AG1095" t="str">
            <v>MATERNIDAD</v>
          </cell>
          <cell r="AH1095" t="str">
            <v>fecha aprox. parto enero</v>
          </cell>
          <cell r="AI1095" t="str">
            <v>48294021R</v>
          </cell>
        </row>
        <row r="1096">
          <cell r="A1096" t="str">
            <v>71669762Z</v>
          </cell>
          <cell r="B1096" t="str">
            <v>Solís García</v>
          </cell>
          <cell r="C1096" t="str">
            <v>Gonzalo</v>
          </cell>
          <cell r="D1096" t="str">
            <v>Solís García, Gonzalo</v>
          </cell>
          <cell r="E1096" t="str">
            <v>gsolisgarcia@student.universidadviu.com</v>
          </cell>
          <cell r="F1096"/>
          <cell r="G1096" t="str">
            <v>Yes</v>
          </cell>
          <cell r="H1096" t="str">
            <v>Yes</v>
          </cell>
          <cell r="I1096" t="str">
            <v/>
          </cell>
          <cell r="J1096" t="str">
            <v/>
          </cell>
          <cell r="K1096" t="str">
            <v/>
          </cell>
          <cell r="L1096" t="str">
            <v/>
          </cell>
          <cell r="M1096" t="str">
            <v>Professional</v>
          </cell>
          <cell r="N1096"/>
          <cell r="O1096" t="str">
            <v>CBS</v>
          </cell>
          <cell r="P1096">
            <v>0</v>
          </cell>
          <cell r="Q1096" t="str">
            <v xml:space="preserve"> </v>
          </cell>
          <cell r="R1096"/>
          <cell r="S1096"/>
          <cell r="T1096" t="str">
            <v>Sin reducción</v>
          </cell>
          <cell r="U1096">
            <v>0</v>
          </cell>
          <cell r="V1096"/>
          <cell r="W1096"/>
          <cell r="X1096">
            <v>0</v>
          </cell>
          <cell r="Y1096">
            <v>0</v>
          </cell>
          <cell r="Z1096">
            <v>0</v>
          </cell>
          <cell r="AA1096"/>
          <cell r="AB1096" t="str">
            <v>Active - signed</v>
          </cell>
          <cell r="AC1096" t="str">
            <v>ACTIVO</v>
          </cell>
          <cell r="AD1096"/>
          <cell r="AE1096"/>
          <cell r="AF1096"/>
          <cell r="AG1096"/>
          <cell r="AH1096"/>
          <cell r="AI1096" t="str">
            <v>71669762Z</v>
          </cell>
        </row>
        <row r="1097">
          <cell r="A1097" t="str">
            <v>73565399Z</v>
          </cell>
          <cell r="B1097" t="str">
            <v>Soria Urios</v>
          </cell>
          <cell r="C1097" t="str">
            <v>Gema</v>
          </cell>
          <cell r="D1097" t="str">
            <v>Soria Urios, Gema</v>
          </cell>
          <cell r="E1097" t="str">
            <v>gema.soria</v>
          </cell>
          <cell r="F1097" t="str">
            <v>gema.soria@professor.universidadviu.com</v>
          </cell>
          <cell r="G1097" t="str">
            <v>Yes</v>
          </cell>
          <cell r="H1097" t="str">
            <v>NO</v>
          </cell>
          <cell r="I1097" t="str">
            <v>Programa de Doctorado en Psicogerontología</v>
          </cell>
          <cell r="J1097" t="str">
            <v>Programa de Doctorado en Psicogerontología</v>
          </cell>
          <cell r="K1097" t="str">
            <v>Licenciada en Psicología</v>
          </cell>
          <cell r="L1097" t="str">
            <v/>
          </cell>
          <cell r="M1097" t="str">
            <v>Labour</v>
          </cell>
          <cell r="N1097" t="str">
            <v>Ródenas González, Francisco</v>
          </cell>
          <cell r="O1097" t="str">
            <v>CSS</v>
          </cell>
          <cell r="P1097">
            <v>50</v>
          </cell>
          <cell r="Q1097" t="str">
            <v>38</v>
          </cell>
          <cell r="R1097"/>
          <cell r="S1097"/>
          <cell r="T1097" t="str">
            <v>Sin reducción</v>
          </cell>
          <cell r="U1097">
            <v>0</v>
          </cell>
          <cell r="V1097"/>
          <cell r="W1097"/>
          <cell r="X1097">
            <v>32.6</v>
          </cell>
          <cell r="Y1097">
            <v>0</v>
          </cell>
          <cell r="Z1097">
            <v>1.4</v>
          </cell>
          <cell r="AA1097"/>
          <cell r="AB1097" t="str">
            <v>Active - signed</v>
          </cell>
          <cell r="AC1097" t="str">
            <v>ACTIVO</v>
          </cell>
          <cell r="AD1097"/>
          <cell r="AE1097"/>
          <cell r="AF1097"/>
          <cell r="AG1097"/>
          <cell r="AH1097"/>
          <cell r="AI1097" t="str">
            <v>73565399Z</v>
          </cell>
        </row>
        <row r="1098">
          <cell r="A1098" t="str">
            <v>52904918L</v>
          </cell>
          <cell r="B1098" t="str">
            <v>Soriano Álvarez</v>
          </cell>
          <cell r="C1098" t="str">
            <v>Arantxa</v>
          </cell>
          <cell r="D1098" t="str">
            <v>Soriano Álvarez, Arantxa</v>
          </cell>
          <cell r="E1098" t="str">
            <v>asorianoa@professional.universidadviu.com</v>
          </cell>
          <cell r="F1098"/>
          <cell r="G1098" t="str">
            <v>Yes</v>
          </cell>
          <cell r="H1098" t="str">
            <v>NO</v>
          </cell>
          <cell r="I1098" t="str">
            <v>Doctorado en Psicología</v>
          </cell>
          <cell r="J1098" t="str">
            <v>Máster en Psicología General Sanitaria</v>
          </cell>
          <cell r="K1098" t="str">
            <v>Grado en psicología</v>
          </cell>
          <cell r="L1098" t="str">
            <v/>
          </cell>
          <cell r="M1098" t="str">
            <v>Professional</v>
          </cell>
          <cell r="N1098"/>
          <cell r="O1098" t="str">
            <v>CSS</v>
          </cell>
          <cell r="P1098">
            <v>0</v>
          </cell>
          <cell r="Q1098" t="str">
            <v xml:space="preserve"> </v>
          </cell>
          <cell r="R1098"/>
          <cell r="S1098"/>
          <cell r="T1098" t="str">
            <v>Sin reducción</v>
          </cell>
          <cell r="U1098">
            <v>0</v>
          </cell>
          <cell r="V1098"/>
          <cell r="W1098"/>
          <cell r="X1098">
            <v>0</v>
          </cell>
          <cell r="Y1098">
            <v>0</v>
          </cell>
          <cell r="Z1098">
            <v>0</v>
          </cell>
          <cell r="AA1098"/>
          <cell r="AB1098" t="str">
            <v>Active - signed</v>
          </cell>
          <cell r="AC1098" t="str">
            <v>ACTIVO</v>
          </cell>
          <cell r="AD1098"/>
          <cell r="AE1098"/>
          <cell r="AF1098"/>
          <cell r="AG1098"/>
          <cell r="AH1098"/>
          <cell r="AI1098" t="str">
            <v>52904918L</v>
          </cell>
        </row>
        <row r="1099">
          <cell r="A1099" t="str">
            <v>44524068R</v>
          </cell>
          <cell r="B1099" t="str">
            <v>Soriano Romaní</v>
          </cell>
          <cell r="C1099" t="str">
            <v>Laura</v>
          </cell>
          <cell r="D1099" t="str">
            <v>Soriano Romaní, Laura</v>
          </cell>
          <cell r="E1099" t="str">
            <v>laura.soriano.r</v>
          </cell>
          <cell r="F1099" t="str">
            <v>laura.soriano.r@professional.universidadviu.com</v>
          </cell>
          <cell r="G1099" t="str">
            <v>Yes</v>
          </cell>
          <cell r="H1099" t="str">
            <v>Yes</v>
          </cell>
          <cell r="I1099" t="str">
            <v>Biotecnología</v>
          </cell>
          <cell r="J1099" t="str">
            <v>Programa de Doctorado en Ciencias de la Visión</v>
          </cell>
          <cell r="K1099" t="str">
            <v>Máster Universitario en Investigación en Ciencias de la Visión</v>
          </cell>
          <cell r="L1099" t="str">
            <v/>
          </cell>
          <cell r="M1099" t="str">
            <v>Professional</v>
          </cell>
          <cell r="N1099" t="str">
            <v/>
          </cell>
          <cell r="O1099" t="str">
            <v>CBS</v>
          </cell>
          <cell r="P1099">
            <v>0</v>
          </cell>
          <cell r="Q1099" t="str">
            <v xml:space="preserve"> </v>
          </cell>
          <cell r="R1099"/>
          <cell r="S1099"/>
          <cell r="T1099" t="str">
            <v>Sin reducción</v>
          </cell>
          <cell r="U1099">
            <v>0</v>
          </cell>
          <cell r="V1099"/>
          <cell r="W1099"/>
          <cell r="X1099">
            <v>0</v>
          </cell>
          <cell r="Y1099">
            <v>0</v>
          </cell>
          <cell r="Z1099">
            <v>0</v>
          </cell>
          <cell r="AA1099"/>
          <cell r="AB1099" t="str">
            <v>Concluded</v>
          </cell>
          <cell r="AC1099" t="str">
            <v>NO ACTIVO</v>
          </cell>
          <cell r="AD1099"/>
          <cell r="AE1099"/>
          <cell r="AF1099">
            <v>45371</v>
          </cell>
          <cell r="AG1099" t="str">
            <v>CESE DE CONTRATO</v>
          </cell>
          <cell r="AH1099"/>
          <cell r="AI1099" t="str">
            <v>44524068R</v>
          </cell>
        </row>
        <row r="1100">
          <cell r="A1100" t="str">
            <v>20435270T</v>
          </cell>
          <cell r="B1100" t="str">
            <v>Soriano Vidal</v>
          </cell>
          <cell r="C1100" t="str">
            <v>Francisco Javier</v>
          </cell>
          <cell r="D1100" t="str">
            <v>Soriano Vidal, Francisco Javier</v>
          </cell>
          <cell r="E1100" t="str">
            <v>fsorianov@professional.universidadviu.com</v>
          </cell>
          <cell r="F1100" t="str">
            <v>fsorianov@professional.universidadviu.com</v>
          </cell>
          <cell r="G1100" t="str">
            <v>Yes</v>
          </cell>
          <cell r="H1100" t="str">
            <v>Yes</v>
          </cell>
          <cell r="I1100" t="str">
            <v>Doctorado en Ciencias de la Salud</v>
          </cell>
          <cell r="J1100" t="str">
            <v>Bachelor of Sciences with Honours in Midwifery</v>
          </cell>
          <cell r="K1100" t="str">
            <v>Diplomado en Enfermería</v>
          </cell>
          <cell r="L1100" t="str">
            <v/>
          </cell>
          <cell r="M1100" t="str">
            <v>Professional</v>
          </cell>
          <cell r="N1100" t="str">
            <v/>
          </cell>
          <cell r="O1100" t="str">
            <v>CBS</v>
          </cell>
          <cell r="P1100">
            <v>0</v>
          </cell>
          <cell r="Q1100" t="str">
            <v xml:space="preserve"> </v>
          </cell>
          <cell r="R1100"/>
          <cell r="S1100"/>
          <cell r="T1100" t="str">
            <v>Sin reducción</v>
          </cell>
          <cell r="U1100">
            <v>0</v>
          </cell>
          <cell r="V1100"/>
          <cell r="W1100"/>
          <cell r="X1100">
            <v>0</v>
          </cell>
          <cell r="Y1100">
            <v>0</v>
          </cell>
          <cell r="Z1100">
            <v>0</v>
          </cell>
          <cell r="AA1100"/>
          <cell r="AB1100" t="str">
            <v>Active - signed</v>
          </cell>
          <cell r="AC1100" t="str">
            <v>ACTIVO</v>
          </cell>
          <cell r="AD1100"/>
          <cell r="AE1100"/>
          <cell r="AF1100"/>
          <cell r="AG1100"/>
          <cell r="AH1100"/>
          <cell r="AI1100" t="str">
            <v>20435270T</v>
          </cell>
        </row>
        <row r="1101">
          <cell r="A1101" t="str">
            <v>25139602G</v>
          </cell>
          <cell r="B1101" t="str">
            <v>Soro Domingo</v>
          </cell>
          <cell r="C1101" t="str">
            <v>Marina</v>
          </cell>
          <cell r="D1101" t="str">
            <v>Soro Domingo, Marina</v>
          </cell>
          <cell r="E1101" t="str">
            <v>marina.soro</v>
          </cell>
          <cell r="F1101"/>
          <cell r="G1101" t="str">
            <v>Yes</v>
          </cell>
          <cell r="H1101" t="str">
            <v>Yes</v>
          </cell>
          <cell r="I1101" t="str">
            <v>Medicina</v>
          </cell>
          <cell r="J1101" t="str">
            <v>Licenciada en Medicina y Cirugía</v>
          </cell>
          <cell r="K1101" t="str">
            <v>Programa de Doctorado en Cirugía</v>
          </cell>
          <cell r="L1101" t="str">
            <v/>
          </cell>
          <cell r="M1101" t="str">
            <v>Labour</v>
          </cell>
          <cell r="N1101"/>
          <cell r="O1101" t="str">
            <v>CBS</v>
          </cell>
          <cell r="P1101" t="str">
            <v>12,00</v>
          </cell>
          <cell r="Q1101" t="b">
            <v>0</v>
          </cell>
          <cell r="R1101"/>
          <cell r="S1101"/>
          <cell r="T1101" t="str">
            <v>Sin reducción</v>
          </cell>
          <cell r="U1101">
            <v>0</v>
          </cell>
          <cell r="V1101"/>
          <cell r="W1101"/>
          <cell r="X1101">
            <v>0</v>
          </cell>
          <cell r="Y1101">
            <v>0</v>
          </cell>
          <cell r="Z1101">
            <v>0</v>
          </cell>
          <cell r="AA1101"/>
          <cell r="AB1101" t="str">
            <v>Concluded</v>
          </cell>
          <cell r="AC1101" t="str">
            <v>NO ACTIVO</v>
          </cell>
          <cell r="AD1101"/>
          <cell r="AE1101"/>
          <cell r="AF1101">
            <v>44992</v>
          </cell>
          <cell r="AG1101" t="str">
            <v>CESE DE CONTRATO</v>
          </cell>
          <cell r="AH1101"/>
          <cell r="AI1101" t="str">
            <v>25139602G</v>
          </cell>
        </row>
        <row r="1102">
          <cell r="A1102" t="str">
            <v>71054008Q</v>
          </cell>
          <cell r="B1102" t="str">
            <v>Soto Pérez</v>
          </cell>
          <cell r="C1102" t="str">
            <v>Felipe Claudio</v>
          </cell>
          <cell r="D1102" t="str">
            <v>Soto Pérez, Felipe Claudio</v>
          </cell>
          <cell r="E1102" t="str">
            <v>felipeclaudio.soto</v>
          </cell>
          <cell r="F1102" t="str">
            <v>felipeclaudio.soto@professional.universidadviu.com</v>
          </cell>
          <cell r="G1102" t="str">
            <v>Yes</v>
          </cell>
          <cell r="H1102" t="str">
            <v>NO</v>
          </cell>
          <cell r="I1102" t="str">
            <v>Psicología</v>
          </cell>
          <cell r="J1102" t="str">
            <v>Licenciado en Psicología</v>
          </cell>
          <cell r="K1102" t="str">
            <v/>
          </cell>
          <cell r="L1102" t="str">
            <v/>
          </cell>
          <cell r="M1102" t="str">
            <v>Professional</v>
          </cell>
          <cell r="N1102" t="str">
            <v/>
          </cell>
          <cell r="O1102" t="str">
            <v>CSS</v>
          </cell>
          <cell r="P1102">
            <v>0</v>
          </cell>
          <cell r="Q1102" t="str">
            <v xml:space="preserve"> </v>
          </cell>
          <cell r="R1102"/>
          <cell r="S1102"/>
          <cell r="T1102" t="str">
            <v>Sin reducción</v>
          </cell>
          <cell r="U1102">
            <v>0</v>
          </cell>
          <cell r="V1102"/>
          <cell r="W1102"/>
          <cell r="X1102">
            <v>0</v>
          </cell>
          <cell r="Y1102">
            <v>0</v>
          </cell>
          <cell r="Z1102">
            <v>0</v>
          </cell>
          <cell r="AA1102"/>
          <cell r="AB1102" t="str">
            <v>Active - signed</v>
          </cell>
          <cell r="AC1102" t="str">
            <v>ACTIVO</v>
          </cell>
          <cell r="AD1102"/>
          <cell r="AE1102"/>
          <cell r="AF1102"/>
          <cell r="AG1102"/>
          <cell r="AH1102"/>
          <cell r="AI1102" t="str">
            <v>71054008Q</v>
          </cell>
        </row>
        <row r="1103">
          <cell r="A1103" t="str">
            <v>54126854B</v>
          </cell>
          <cell r="B1103" t="str">
            <v>Soto Rubio</v>
          </cell>
          <cell r="C1103" t="str">
            <v>Ana Lucila</v>
          </cell>
          <cell r="D1103" t="str">
            <v>Soto Rubio, Ana Lucila</v>
          </cell>
          <cell r="E1103" t="str">
            <v>analucila.soto</v>
          </cell>
          <cell r="F1103"/>
          <cell r="G1103" t="str">
            <v>Yes</v>
          </cell>
          <cell r="H1103" t="str">
            <v>NO</v>
          </cell>
          <cell r="I1103" t="str">
            <v>Programa de Doctorado en Promoción de la Autonomía y Atención Socio Sanitaria a la Dependencia</v>
          </cell>
          <cell r="J1103"/>
          <cell r="K1103" t="str">
            <v>Licenciada</v>
          </cell>
          <cell r="L1103" t="str">
            <v/>
          </cell>
          <cell r="M1103" t="str">
            <v>Labour</v>
          </cell>
          <cell r="N1103"/>
          <cell r="O1103"/>
          <cell r="P1103">
            <v>100</v>
          </cell>
          <cell r="Q1103" t="str">
            <v>50</v>
          </cell>
          <cell r="R1103"/>
          <cell r="S1103"/>
          <cell r="T1103" t="str">
            <v>Sin reducción</v>
          </cell>
          <cell r="U1103">
            <v>0</v>
          </cell>
          <cell r="V1103"/>
          <cell r="W1103"/>
          <cell r="X1103">
            <v>0</v>
          </cell>
          <cell r="Y1103">
            <v>0</v>
          </cell>
          <cell r="Z1103">
            <v>0</v>
          </cell>
          <cell r="AA1103"/>
          <cell r="AB1103" t="str">
            <v>Concluded</v>
          </cell>
          <cell r="AC1103" t="str">
            <v>NO ACTIVO</v>
          </cell>
          <cell r="AD1103"/>
          <cell r="AE1103"/>
          <cell r="AF1103">
            <v>44946</v>
          </cell>
          <cell r="AG1103" t="str">
            <v>CESE DE CONTRATO</v>
          </cell>
          <cell r="AH1103"/>
          <cell r="AI1103" t="str">
            <v>54126854B</v>
          </cell>
        </row>
        <row r="1104">
          <cell r="A1104" t="str">
            <v>74374931S</v>
          </cell>
          <cell r="B1104" t="str">
            <v>Soto Sanz</v>
          </cell>
          <cell r="C1104" t="str">
            <v>Victoria</v>
          </cell>
          <cell r="D1104" t="str">
            <v>Soto Sanz, Victoria</v>
          </cell>
          <cell r="E1104" t="str">
            <v>victoria.soto.s</v>
          </cell>
          <cell r="F1104" t="str">
            <v>victoria.soto.s@professional.universidadviu.com</v>
          </cell>
          <cell r="G1104" t="str">
            <v>Yes</v>
          </cell>
          <cell r="H1104" t="str">
            <v>Yes</v>
          </cell>
          <cell r="I1104" t="str">
            <v>Psicología</v>
          </cell>
          <cell r="J1104" t="str">
            <v>Programa de Doctorado en Deporte y Salud</v>
          </cell>
          <cell r="K1104" t="str">
            <v/>
          </cell>
          <cell r="L1104" t="str">
            <v/>
          </cell>
          <cell r="M1104" t="str">
            <v>Professional</v>
          </cell>
          <cell r="N1104" t="str">
            <v/>
          </cell>
          <cell r="O1104" t="str">
            <v>CSS</v>
          </cell>
          <cell r="P1104">
            <v>0</v>
          </cell>
          <cell r="Q1104" t="str">
            <v xml:space="preserve"> </v>
          </cell>
          <cell r="R1104"/>
          <cell r="S1104"/>
          <cell r="T1104" t="str">
            <v>Sin reducción</v>
          </cell>
          <cell r="U1104">
            <v>0</v>
          </cell>
          <cell r="V1104"/>
          <cell r="W1104"/>
          <cell r="X1104">
            <v>0</v>
          </cell>
          <cell r="Y1104">
            <v>0</v>
          </cell>
          <cell r="Z1104">
            <v>0</v>
          </cell>
          <cell r="AA1104"/>
          <cell r="AB1104" t="str">
            <v>Active - signed</v>
          </cell>
          <cell r="AC1104" t="str">
            <v>ACTIVO</v>
          </cell>
          <cell r="AD1104"/>
          <cell r="AE1104"/>
          <cell r="AF1104"/>
          <cell r="AG1104"/>
          <cell r="AH1104"/>
          <cell r="AI1104" t="str">
            <v>74374931S</v>
          </cell>
        </row>
        <row r="1105">
          <cell r="A1105" t="str">
            <v>50094505E</v>
          </cell>
          <cell r="B1105" t="str">
            <v>Suárez Blay</v>
          </cell>
          <cell r="C1105" t="str">
            <v>María Dolores</v>
          </cell>
          <cell r="D1105" t="str">
            <v>Suárez Blay, María Dolores</v>
          </cell>
          <cell r="E1105" t="str">
            <v>msuarezb@professional.universidadviu.com</v>
          </cell>
          <cell r="F1105" t="str">
            <v>msuarezb@professional.universidadviu.com</v>
          </cell>
          <cell r="G1105" t="str">
            <v>NO</v>
          </cell>
          <cell r="H1105" t="str">
            <v>NO</v>
          </cell>
          <cell r="I1105" t="str">
            <v>Master psicologia clinica nivel I y II</v>
          </cell>
          <cell r="J1105" t="str">
            <v>Licenciada en Psicología</v>
          </cell>
          <cell r="K1105" t="str">
            <v/>
          </cell>
          <cell r="L1105" t="str">
            <v/>
          </cell>
          <cell r="M1105" t="str">
            <v>Professional</v>
          </cell>
          <cell r="N1105" t="str">
            <v/>
          </cell>
          <cell r="O1105" t="str">
            <v>CSS</v>
          </cell>
          <cell r="P1105">
            <v>0</v>
          </cell>
          <cell r="Q1105" t="str">
            <v xml:space="preserve"> </v>
          </cell>
          <cell r="R1105"/>
          <cell r="S1105"/>
          <cell r="T1105" t="str">
            <v>Sin reducción</v>
          </cell>
          <cell r="U1105">
            <v>0</v>
          </cell>
          <cell r="V1105"/>
          <cell r="W1105"/>
          <cell r="X1105">
            <v>0</v>
          </cell>
          <cell r="Y1105">
            <v>0</v>
          </cell>
          <cell r="Z1105">
            <v>0</v>
          </cell>
          <cell r="AA1105"/>
          <cell r="AB1105" t="str">
            <v>Active - signed</v>
          </cell>
          <cell r="AC1105" t="str">
            <v>ACTIVO</v>
          </cell>
          <cell r="AD1105"/>
          <cell r="AE1105"/>
          <cell r="AF1105"/>
          <cell r="AG1105"/>
          <cell r="AH1105"/>
          <cell r="AI1105" t="str">
            <v>50094505E</v>
          </cell>
        </row>
        <row r="1106">
          <cell r="A1106" t="str">
            <v>32891426T</v>
          </cell>
          <cell r="B1106" t="str">
            <v>Suárez Castro</v>
          </cell>
          <cell r="C1106" t="str">
            <v>Daniel</v>
          </cell>
          <cell r="D1106" t="str">
            <v>Suárez Castro, Daniel</v>
          </cell>
          <cell r="E1106" t="str">
            <v>dsuarezc@professor.universidadviu.com</v>
          </cell>
          <cell r="F1106" t="str">
            <v>dsuarezc@professor.universidadviu.com</v>
          </cell>
          <cell r="G1106" t="str">
            <v>Yes</v>
          </cell>
          <cell r="H1106" t="str">
            <v>Yes</v>
          </cell>
          <cell r="I1106" t="str">
            <v>Doctorado en Neurociencia y Psicología Clínica</v>
          </cell>
          <cell r="J1106" t="str">
            <v>Máster Universitario en Psicología General Sanitaria</v>
          </cell>
          <cell r="K1106" t="str">
            <v>Graduado en Psicología</v>
          </cell>
          <cell r="L1106" t="str">
            <v>Doctorado en Neurociencia y Psicología Clínica</v>
          </cell>
          <cell r="M1106" t="str">
            <v>Labour</v>
          </cell>
          <cell r="N1106" t="str">
            <v>Ródenas González, Francisco</v>
          </cell>
          <cell r="O1106" t="str">
            <v>CSS</v>
          </cell>
          <cell r="P1106">
            <v>100</v>
          </cell>
          <cell r="Q1106" t="str">
            <v>50</v>
          </cell>
          <cell r="R1106"/>
          <cell r="S1106"/>
          <cell r="T1106" t="str">
            <v>Sin reducción</v>
          </cell>
          <cell r="U1106">
            <v>0</v>
          </cell>
          <cell r="V1106"/>
          <cell r="W1106"/>
          <cell r="X1106">
            <v>45.5</v>
          </cell>
          <cell r="Y1106">
            <v>0</v>
          </cell>
          <cell r="Z1106">
            <v>0</v>
          </cell>
          <cell r="AA1106"/>
          <cell r="AB1106" t="str">
            <v>Active - signed</v>
          </cell>
          <cell r="AC1106" t="str">
            <v>ACTIVO</v>
          </cell>
          <cell r="AD1106"/>
          <cell r="AE1106"/>
          <cell r="AF1106"/>
          <cell r="AG1106"/>
          <cell r="AH1106"/>
          <cell r="AI1106" t="str">
            <v>32891426T</v>
          </cell>
        </row>
        <row r="1107">
          <cell r="A1107" t="str">
            <v>46903242D</v>
          </cell>
          <cell r="B1107" t="str">
            <v>Suárez López</v>
          </cell>
          <cell r="C1107" t="str">
            <v>María Pilar</v>
          </cell>
          <cell r="D1107" t="str">
            <v>Suárez López, María Pilar</v>
          </cell>
          <cell r="E1107" t="str">
            <v>mariapilar.suarez</v>
          </cell>
          <cell r="F1107" t="str">
            <v>mariapilar.suarez@professional.universidadviu.com</v>
          </cell>
          <cell r="G1107" t="str">
            <v>Yes</v>
          </cell>
          <cell r="H1107" t="str">
            <v>NO</v>
          </cell>
          <cell r="I1107" t="str">
            <v>Doctorado  en Gerontología</v>
          </cell>
          <cell r="J1107" t="str">
            <v>MÁSTER UNIVERSITARIO EN PSICOLOGÍA GENERAL SANITARIA</v>
          </cell>
          <cell r="K1107" t="str">
            <v>LICENCIATURA EN PSICOLOGÍA</v>
          </cell>
          <cell r="L1107" t="str">
            <v/>
          </cell>
          <cell r="M1107" t="str">
            <v>Labour</v>
          </cell>
          <cell r="N1107" t="str">
            <v/>
          </cell>
          <cell r="O1107" t="str">
            <v>CSS</v>
          </cell>
          <cell r="P1107">
            <v>30</v>
          </cell>
          <cell r="Q1107" t="str">
            <v>24</v>
          </cell>
          <cell r="R1107" t="str">
            <v>Laboralización marzo</v>
          </cell>
          <cell r="S1107"/>
          <cell r="T1107" t="str">
            <v>Sin reducción</v>
          </cell>
          <cell r="U1107">
            <v>0</v>
          </cell>
          <cell r="V1107"/>
          <cell r="W1107"/>
          <cell r="X1107">
            <v>25.4</v>
          </cell>
          <cell r="Y1107">
            <v>0</v>
          </cell>
          <cell r="Z1107">
            <v>0.7</v>
          </cell>
          <cell r="AA1107"/>
          <cell r="AB1107" t="str">
            <v>Active - signed</v>
          </cell>
          <cell r="AC1107" t="str">
            <v>ACTIVO</v>
          </cell>
          <cell r="AD1107"/>
          <cell r="AE1107"/>
          <cell r="AF1107"/>
          <cell r="AG1107"/>
          <cell r="AH1107" t="str">
            <v>PTE. LABORALIZACIÓN/ PROPUESTA LABORAL</v>
          </cell>
          <cell r="AI1107" t="str">
            <v>46903242D</v>
          </cell>
        </row>
        <row r="1108">
          <cell r="A1108" t="str">
            <v>60395922S</v>
          </cell>
          <cell r="B1108" t="str">
            <v>Suárez Soto</v>
          </cell>
          <cell r="C1108" t="str">
            <v>Elizabeth</v>
          </cell>
          <cell r="D1108" t="str">
            <v>Suárez Soto, Elizabeth</v>
          </cell>
          <cell r="E1108" t="str">
            <v>elizabeth.suarez.s</v>
          </cell>
          <cell r="F1108" t="str">
            <v>elizabeth.suarez.s@professor.universidadviu.com</v>
          </cell>
          <cell r="G1108" t="str">
            <v>Yes</v>
          </cell>
          <cell r="H1108" t="str">
            <v>NO</v>
          </cell>
          <cell r="I1108" t="str">
            <v>Programa Doctorado en Cerebro, Cognición y Conducta</v>
          </cell>
          <cell r="J1108" t="str">
            <v>Programa Doctorado en Cerebro, Cognición y Conducta</v>
          </cell>
          <cell r="K1108" t="str">
            <v>Postítulo en Interpretación clínica en pruebas de Cat, Ro, Tro y Wisc III en niños y adolescentes</v>
          </cell>
          <cell r="L1108" t="str">
            <v>Licenciada en Psicología</v>
          </cell>
          <cell r="M1108" t="str">
            <v>Labour</v>
          </cell>
          <cell r="N1108" t="str">
            <v>Gómez Martínez, Sandra</v>
          </cell>
          <cell r="O1108" t="str">
            <v>CSS</v>
          </cell>
          <cell r="P1108">
            <v>100</v>
          </cell>
          <cell r="Q1108" t="str">
            <v>50</v>
          </cell>
          <cell r="R1108"/>
          <cell r="S1108"/>
          <cell r="T1108" t="str">
            <v>Sin reducción</v>
          </cell>
          <cell r="U1108">
            <v>0</v>
          </cell>
          <cell r="V1108"/>
          <cell r="W1108"/>
          <cell r="X1108">
            <v>43.9</v>
          </cell>
          <cell r="Y1108">
            <v>0</v>
          </cell>
          <cell r="Z1108">
            <v>0</v>
          </cell>
          <cell r="AA1108"/>
          <cell r="AB1108" t="str">
            <v>Active - signed</v>
          </cell>
          <cell r="AC1108" t="str">
            <v>ACTIVO</v>
          </cell>
          <cell r="AD1108"/>
          <cell r="AE1108"/>
          <cell r="AF1108"/>
          <cell r="AG1108"/>
          <cell r="AH1108"/>
          <cell r="AI1108" t="str">
            <v>60395922S</v>
          </cell>
        </row>
        <row r="1109">
          <cell r="A1109" t="str">
            <v>47790788P</v>
          </cell>
          <cell r="B1109" t="str">
            <v>Subirana Mirete</v>
          </cell>
          <cell r="C1109" t="str">
            <v>Judit</v>
          </cell>
          <cell r="D1109" t="str">
            <v>Subirana Mirete, Judit</v>
          </cell>
          <cell r="E1109" t="str">
            <v>judit.subirana</v>
          </cell>
          <cell r="F1109" t="str">
            <v>judit.subirana@professional.universidadviu.com</v>
          </cell>
          <cell r="G1109" t="str">
            <v>Yes</v>
          </cell>
          <cell r="H1109" t="str">
            <v>Yes</v>
          </cell>
          <cell r="I1109" t="str">
            <v>Psicología</v>
          </cell>
          <cell r="J1109" t="str">
            <v>Máster en neuropsicologia: diagnostico y rehabilitación neuropsicológica</v>
          </cell>
          <cell r="K1109" t="str">
            <v>Licenciatura en Psicología</v>
          </cell>
          <cell r="L1109" t="str">
            <v/>
          </cell>
          <cell r="M1109" t="str">
            <v>Professional</v>
          </cell>
          <cell r="N1109" t="str">
            <v/>
          </cell>
          <cell r="O1109" t="str">
            <v>CSS</v>
          </cell>
          <cell r="P1109">
            <v>0</v>
          </cell>
          <cell r="Q1109" t="str">
            <v xml:space="preserve"> </v>
          </cell>
          <cell r="R1109"/>
          <cell r="S1109"/>
          <cell r="T1109" t="str">
            <v>Sin reducción</v>
          </cell>
          <cell r="U1109">
            <v>0</v>
          </cell>
          <cell r="V1109"/>
          <cell r="W1109"/>
          <cell r="X1109">
            <v>0</v>
          </cell>
          <cell r="Y1109">
            <v>0</v>
          </cell>
          <cell r="Z1109">
            <v>0</v>
          </cell>
          <cell r="AA1109"/>
          <cell r="AB1109" t="str">
            <v>Active - signed</v>
          </cell>
          <cell r="AC1109" t="str">
            <v>ACTIVO</v>
          </cell>
          <cell r="AD1109"/>
          <cell r="AE1109"/>
          <cell r="AF1109"/>
          <cell r="AG1109"/>
          <cell r="AH1109"/>
          <cell r="AI1109" t="str">
            <v>47790788P</v>
          </cell>
        </row>
        <row r="1110">
          <cell r="A1110" t="str">
            <v>36529664Y</v>
          </cell>
          <cell r="B1110" t="str">
            <v>Suso Ribera</v>
          </cell>
          <cell r="C1110" t="str">
            <v>Carlos</v>
          </cell>
          <cell r="D1110" t="str">
            <v>Suso Ribera, Carlos</v>
          </cell>
          <cell r="E1110" t="str">
            <v>csusor@professional.universidadviu.com</v>
          </cell>
          <cell r="F1110" t="str">
            <v>csusor@professional.universidadviu.com</v>
          </cell>
          <cell r="G1110" t="str">
            <v>Yes</v>
          </cell>
          <cell r="H1110" t="str">
            <v>Yes</v>
          </cell>
          <cell r="I1110" t="str">
            <v>Doctorado en Personalidad y Comportamiento</v>
          </cell>
          <cell r="J1110" t="str">
            <v>Máster Universitario en Investigación en Personalidad y Comportamiento</v>
          </cell>
          <cell r="K1110" t="str">
            <v>Licenciatura en Psicología</v>
          </cell>
          <cell r="L1110" t="str">
            <v/>
          </cell>
          <cell r="M1110" t="str">
            <v>Professional</v>
          </cell>
          <cell r="N1110" t="str">
            <v/>
          </cell>
          <cell r="O1110" t="str">
            <v>CSS</v>
          </cell>
          <cell r="P1110">
            <v>0</v>
          </cell>
          <cell r="Q1110" t="str">
            <v xml:space="preserve"> </v>
          </cell>
          <cell r="R1110"/>
          <cell r="S1110"/>
          <cell r="T1110" t="str">
            <v>Sin reducción</v>
          </cell>
          <cell r="U1110">
            <v>0</v>
          </cell>
          <cell r="V1110"/>
          <cell r="W1110"/>
          <cell r="X1110">
            <v>0</v>
          </cell>
          <cell r="Y1110">
            <v>0</v>
          </cell>
          <cell r="Z1110">
            <v>0</v>
          </cell>
          <cell r="AA1110"/>
          <cell r="AB1110" t="str">
            <v>Active - signed</v>
          </cell>
          <cell r="AC1110" t="str">
            <v>ACTIVO</v>
          </cell>
          <cell r="AD1110"/>
          <cell r="AE1110"/>
          <cell r="AF1110"/>
          <cell r="AG1110"/>
          <cell r="AH1110"/>
          <cell r="AI1110" t="str">
            <v>36529664Y</v>
          </cell>
        </row>
        <row r="1111">
          <cell r="A1111" t="str">
            <v>X7033484S</v>
          </cell>
          <cell r="B1111" t="str">
            <v>Szygendowska</v>
          </cell>
          <cell r="C1111" t="str">
            <v>Marta</v>
          </cell>
          <cell r="D1111" t="str">
            <v>Szygendowska, Marta</v>
          </cell>
          <cell r="E1111" t="str">
            <v>marta.szygendowska</v>
          </cell>
          <cell r="F1111" t="str">
            <v>marta.szygendowska@professional.universidadviu.com</v>
          </cell>
          <cell r="G1111" t="str">
            <v>Yes</v>
          </cell>
          <cell r="H1111" t="str">
            <v>NO</v>
          </cell>
          <cell r="I1111" t="str">
            <v>Programa Doctorado en Derechos Humanos, Paz y Desarrollo Sostenible</v>
          </cell>
          <cell r="J1111" t="str">
            <v>Máster Universitario en Estudios Internacionales y de la Unión Europea</v>
          </cell>
          <cell r="K1111" t="str">
            <v>Licenciatura en Derecho</v>
          </cell>
          <cell r="L1111" t="str">
            <v/>
          </cell>
          <cell r="M1111" t="str">
            <v>Professional</v>
          </cell>
          <cell r="N1111" t="str">
            <v/>
          </cell>
          <cell r="O1111" t="str">
            <v>CSS</v>
          </cell>
          <cell r="P1111">
            <v>0</v>
          </cell>
          <cell r="Q1111" t="str">
            <v xml:space="preserve"> </v>
          </cell>
          <cell r="R1111"/>
          <cell r="S1111"/>
          <cell r="T1111" t="str">
            <v>Sin reducción</v>
          </cell>
          <cell r="U1111">
            <v>0</v>
          </cell>
          <cell r="V1111"/>
          <cell r="W1111"/>
          <cell r="X1111">
            <v>0</v>
          </cell>
          <cell r="Y1111">
            <v>0</v>
          </cell>
          <cell r="Z1111">
            <v>0</v>
          </cell>
          <cell r="AA1111"/>
          <cell r="AB1111" t="str">
            <v>Active - signed</v>
          </cell>
          <cell r="AC1111" t="str">
            <v>ACTIVO</v>
          </cell>
          <cell r="AD1111"/>
          <cell r="AE1111"/>
          <cell r="AF1111"/>
          <cell r="AG1111"/>
          <cell r="AH1111"/>
          <cell r="AI1111" t="str">
            <v>X7033484S</v>
          </cell>
        </row>
        <row r="1112">
          <cell r="A1112" t="str">
            <v>53207980X</v>
          </cell>
          <cell r="B1112" t="str">
            <v>Taberner Cortés</v>
          </cell>
          <cell r="C1112" t="str">
            <v>Alida</v>
          </cell>
          <cell r="D1112" t="str">
            <v>Taberner Cortés, Alida</v>
          </cell>
          <cell r="E1112" t="str">
            <v>alida.taberner</v>
          </cell>
          <cell r="F1112" t="str">
            <v>alida.taberner@professional.universidadviu.com</v>
          </cell>
          <cell r="G1112" t="str">
            <v>Yes</v>
          </cell>
          <cell r="H1112" t="str">
            <v>Yes</v>
          </cell>
          <cell r="I1112" t="str">
            <v>Biología y Genética</v>
          </cell>
          <cell r="J1112" t="str">
            <v>Programa de Doctorado en Biotecnología</v>
          </cell>
          <cell r="K1112" t="str">
            <v>Máster universitario en Biotecnología de la reproducción asistida</v>
          </cell>
          <cell r="L1112" t="str">
            <v/>
          </cell>
          <cell r="M1112" t="str">
            <v>Professional</v>
          </cell>
          <cell r="N1112" t="str">
            <v/>
          </cell>
          <cell r="O1112" t="str">
            <v>CBS</v>
          </cell>
          <cell r="P1112">
            <v>0</v>
          </cell>
          <cell r="Q1112" t="str">
            <v xml:space="preserve"> </v>
          </cell>
          <cell r="R1112"/>
          <cell r="S1112"/>
          <cell r="T1112" t="str">
            <v>Sin reducción</v>
          </cell>
          <cell r="U1112">
            <v>0</v>
          </cell>
          <cell r="V1112"/>
          <cell r="W1112"/>
          <cell r="X1112">
            <v>0</v>
          </cell>
          <cell r="Y1112">
            <v>0</v>
          </cell>
          <cell r="Z1112">
            <v>0</v>
          </cell>
          <cell r="AA1112"/>
          <cell r="AB1112" t="str">
            <v>Active - signed</v>
          </cell>
          <cell r="AC1112" t="str">
            <v>ACTIVO</v>
          </cell>
          <cell r="AD1112"/>
          <cell r="AE1112"/>
          <cell r="AF1112"/>
          <cell r="AG1112"/>
          <cell r="AH1112"/>
          <cell r="AI1112" t="str">
            <v>53207980X</v>
          </cell>
        </row>
        <row r="1113">
          <cell r="A1113" t="str">
            <v>29214751J</v>
          </cell>
          <cell r="B1113" t="str">
            <v>Tamarit Chuliá</v>
          </cell>
          <cell r="C1113" t="str">
            <v>Alicia</v>
          </cell>
          <cell r="D1113" t="str">
            <v>Tamarit Chuliá, Alicia</v>
          </cell>
          <cell r="E1113" t="str">
            <v>atamaritc@professional.universidadviu.com</v>
          </cell>
          <cell r="F1113" t="str">
            <v>atamaritc@professional.universidadviu.com</v>
          </cell>
          <cell r="G1113" t="str">
            <v>NO</v>
          </cell>
          <cell r="H1113" t="str">
            <v>NO</v>
          </cell>
          <cell r="I1113" t="str">
            <v>Doctorado e Investigación en Psicología</v>
          </cell>
          <cell r="J1113" t="str">
            <v>Grado en Psicología</v>
          </cell>
          <cell r="K1113" t="str">
            <v>Máster en Psicología General Sanitaria</v>
          </cell>
          <cell r="L1113" t="str">
            <v/>
          </cell>
          <cell r="M1113" t="str">
            <v>Professional</v>
          </cell>
          <cell r="N1113"/>
          <cell r="O1113" t="str">
            <v>CSS</v>
          </cell>
          <cell r="P1113"/>
          <cell r="Q1113" t="str">
            <v xml:space="preserve"> </v>
          </cell>
          <cell r="R1113"/>
          <cell r="S1113"/>
          <cell r="T1113" t="str">
            <v>Sin reducción</v>
          </cell>
          <cell r="U1113">
            <v>0</v>
          </cell>
          <cell r="V1113"/>
          <cell r="W1113"/>
          <cell r="X1113">
            <v>0</v>
          </cell>
          <cell r="Y1113">
            <v>0</v>
          </cell>
          <cell r="Z1113">
            <v>0</v>
          </cell>
          <cell r="AA1113"/>
          <cell r="AB1113" t="str">
            <v>Concluded</v>
          </cell>
          <cell r="AC1113" t="str">
            <v>NO ACTIVO</v>
          </cell>
          <cell r="AD1113"/>
          <cell r="AE1113"/>
          <cell r="AF1113"/>
          <cell r="AG1113" t="str">
            <v>CESE DE CONTRATO</v>
          </cell>
          <cell r="AH1113"/>
          <cell r="AI1113" t="str">
            <v>29214751J</v>
          </cell>
        </row>
        <row r="1114">
          <cell r="A1114" t="str">
            <v>73587811R</v>
          </cell>
          <cell r="B1114" t="str">
            <v>Tapia Iglesias</v>
          </cell>
          <cell r="C1114" t="str">
            <v>José Luis</v>
          </cell>
          <cell r="D1114" t="str">
            <v>Tapia Iglesias, José Luis</v>
          </cell>
          <cell r="E1114" t="str">
            <v>jtapiai@professional.universidadviu.com</v>
          </cell>
          <cell r="F1114" t="str">
            <v>jtapiai@professional.universidadviu.com</v>
          </cell>
          <cell r="G1114" t="str">
            <v>Yes</v>
          </cell>
          <cell r="H1114" t="str">
            <v>Yes</v>
          </cell>
          <cell r="I1114" t="str">
            <v>Doctorado en Educación y Procesos Cognitivos</v>
          </cell>
          <cell r="J1114" t="str">
            <v>Máster de Actualización en Intervención Psicológica y Salud Mental</v>
          </cell>
          <cell r="K1114" t="str">
            <v>Máster Universitario en Neuropsicología</v>
          </cell>
          <cell r="L1114" t="str">
            <v/>
          </cell>
          <cell r="M1114" t="str">
            <v>Professional</v>
          </cell>
          <cell r="N1114"/>
          <cell r="O1114" t="str">
            <v>CSS</v>
          </cell>
          <cell r="P1114">
            <v>0</v>
          </cell>
          <cell r="Q1114" t="str">
            <v xml:space="preserve"> </v>
          </cell>
          <cell r="R1114"/>
          <cell r="S1114"/>
          <cell r="T1114" t="str">
            <v>Sin reducción</v>
          </cell>
          <cell r="U1114">
            <v>0</v>
          </cell>
          <cell r="V1114"/>
          <cell r="W1114"/>
          <cell r="X1114">
            <v>0</v>
          </cell>
          <cell r="Y1114">
            <v>0</v>
          </cell>
          <cell r="Z1114">
            <v>0</v>
          </cell>
          <cell r="AA1114"/>
          <cell r="AB1114" t="str">
            <v>Active - signed</v>
          </cell>
          <cell r="AC1114" t="str">
            <v>ACTIVO</v>
          </cell>
          <cell r="AD1114"/>
          <cell r="AE1114"/>
          <cell r="AF1114"/>
          <cell r="AG1114"/>
          <cell r="AH1114"/>
          <cell r="AI1114" t="str">
            <v>73587811R</v>
          </cell>
        </row>
        <row r="1115">
          <cell r="A1115" t="str">
            <v>73579879G</v>
          </cell>
          <cell r="B1115" t="str">
            <v>Tarazón Melguizo</v>
          </cell>
          <cell r="C1115" t="str">
            <v>Estefanía</v>
          </cell>
          <cell r="D1115" t="str">
            <v>Tarazón Melguizo, Estefanía</v>
          </cell>
          <cell r="E1115" t="str">
            <v>estefania.tarazon</v>
          </cell>
          <cell r="F1115" t="str">
            <v>estefania.tarazon@professional.universidadviu.com</v>
          </cell>
          <cell r="G1115" t="str">
            <v>Yes</v>
          </cell>
          <cell r="H1115" t="str">
            <v>Yes</v>
          </cell>
          <cell r="I1115" t="str">
            <v>Biología y Genética</v>
          </cell>
          <cell r="J1115" t="str">
            <v>Doctora en Biotecnología</v>
          </cell>
          <cell r="K1115" t="str">
            <v>Máster en Biotecnología y Biomédica</v>
          </cell>
          <cell r="L1115" t="str">
            <v/>
          </cell>
          <cell r="M1115" t="str">
            <v>Professional</v>
          </cell>
          <cell r="N1115" t="str">
            <v/>
          </cell>
          <cell r="O1115" t="str">
            <v>CBS</v>
          </cell>
          <cell r="P1115">
            <v>0</v>
          </cell>
          <cell r="Q1115" t="str">
            <v xml:space="preserve"> </v>
          </cell>
          <cell r="R1115"/>
          <cell r="S1115"/>
          <cell r="T1115" t="str">
            <v>Sin reducción</v>
          </cell>
          <cell r="U1115">
            <v>0</v>
          </cell>
          <cell r="V1115"/>
          <cell r="W1115"/>
          <cell r="X1115">
            <v>0</v>
          </cell>
          <cell r="Y1115">
            <v>0</v>
          </cell>
          <cell r="Z1115">
            <v>0</v>
          </cell>
          <cell r="AA1115"/>
          <cell r="AB1115" t="str">
            <v>Active - signed</v>
          </cell>
          <cell r="AC1115" t="str">
            <v>ACTIVO</v>
          </cell>
          <cell r="AD1115"/>
          <cell r="AE1115"/>
          <cell r="AF1115"/>
          <cell r="AG1115"/>
          <cell r="AH1115"/>
          <cell r="AI1115" t="str">
            <v>73579879G</v>
          </cell>
        </row>
        <row r="1116">
          <cell r="A1116" t="str">
            <v>29170546Z</v>
          </cell>
          <cell r="B1116" t="str">
            <v>Tarazona Santabalbina</v>
          </cell>
          <cell r="C1116" t="str">
            <v>Francisco José</v>
          </cell>
          <cell r="D1116" t="str">
            <v>Tarazona Santabalbina, Francisco José</v>
          </cell>
          <cell r="E1116" t="str">
            <v>ftarazonas@professor.universidadviu.com</v>
          </cell>
          <cell r="F1116" t="str">
            <v>ftarazonas@professor.universidadviu.com</v>
          </cell>
          <cell r="G1116" t="str">
            <v>Yes</v>
          </cell>
          <cell r="H1116" t="str">
            <v>Yes</v>
          </cell>
          <cell r="I1116" t="str">
            <v>Programa de doctorado en Fisiología del Envejecimiento</v>
          </cell>
          <cell r="J1116" t="str">
            <v>Licenciado en Medicina y Geriatría</v>
          </cell>
          <cell r="K1116" t="str">
            <v/>
          </cell>
          <cell r="L1116" t="str">
            <v/>
          </cell>
          <cell r="M1116" t="str">
            <v>Labour</v>
          </cell>
          <cell r="N1116" t="str">
            <v>Mateu Mollá, Joaquín</v>
          </cell>
          <cell r="O1116" t="str">
            <v>CSS</v>
          </cell>
          <cell r="P1116">
            <v>12</v>
          </cell>
          <cell r="Q1116" t="str">
            <v>12</v>
          </cell>
          <cell r="R1116"/>
          <cell r="S1116"/>
          <cell r="T1116" t="str">
            <v>Sin reducción</v>
          </cell>
          <cell r="U1116">
            <v>0</v>
          </cell>
          <cell r="V1116"/>
          <cell r="W1116"/>
          <cell r="X1116">
            <v>0</v>
          </cell>
          <cell r="Y1116">
            <v>0</v>
          </cell>
          <cell r="Z1116">
            <v>12</v>
          </cell>
          <cell r="AA1116"/>
          <cell r="AB1116" t="str">
            <v>Active - signed</v>
          </cell>
          <cell r="AC1116" t="str">
            <v>ACTIVO</v>
          </cell>
          <cell r="AD1116"/>
          <cell r="AE1116"/>
          <cell r="AF1116"/>
          <cell r="AG1116"/>
          <cell r="AH1116"/>
          <cell r="AI1116" t="str">
            <v>29170546Z</v>
          </cell>
        </row>
        <row r="1117">
          <cell r="A1117" t="str">
            <v>47865329Y</v>
          </cell>
          <cell r="B1117" t="str">
            <v>Tarifa Rodríguez</v>
          </cell>
          <cell r="C1117" t="str">
            <v>Aida</v>
          </cell>
          <cell r="D1117" t="str">
            <v>Tarifa Rodríguez, Aida</v>
          </cell>
          <cell r="E1117" t="str">
            <v>aida.tarifa@professional.universidadviu.com</v>
          </cell>
          <cell r="F1117" t="str">
            <v>aida.tarifa@professional.universidadviu.com</v>
          </cell>
          <cell r="G1117" t="str">
            <v>Yes</v>
          </cell>
          <cell r="H1117" t="str">
            <v>NO</v>
          </cell>
          <cell r="I1117" t="str">
            <v>Doctorado en Psicología Clínica y de la Salud</v>
          </cell>
          <cell r="J1117" t="str">
            <v>Master en Neurologopedia</v>
          </cell>
          <cell r="K1117" t="str">
            <v>Master Universitario en Prevención e Intervención Psicológica en Problemas de Conducta en la Escuela</v>
          </cell>
          <cell r="L1117" t="str">
            <v/>
          </cell>
          <cell r="M1117" t="str">
            <v>Professional</v>
          </cell>
          <cell r="N1117" t="str">
            <v/>
          </cell>
          <cell r="O1117" t="str">
            <v>CSS</v>
          </cell>
          <cell r="P1117">
            <v>0</v>
          </cell>
          <cell r="Q1117" t="str">
            <v xml:space="preserve"> </v>
          </cell>
          <cell r="R1117"/>
          <cell r="S1117"/>
          <cell r="T1117" t="str">
            <v>Sin reducción</v>
          </cell>
          <cell r="U1117">
            <v>0</v>
          </cell>
          <cell r="V1117"/>
          <cell r="W1117"/>
          <cell r="X1117">
            <v>0</v>
          </cell>
          <cell r="Y1117">
            <v>0</v>
          </cell>
          <cell r="Z1117">
            <v>0</v>
          </cell>
          <cell r="AA1117"/>
          <cell r="AB1117" t="str">
            <v>Active - signed</v>
          </cell>
          <cell r="AC1117" t="str">
            <v>ACTIVO</v>
          </cell>
          <cell r="AD1117"/>
          <cell r="AE1117"/>
          <cell r="AF1117"/>
          <cell r="AG1117"/>
          <cell r="AH1117"/>
          <cell r="AI1117" t="str">
            <v>47865329Y</v>
          </cell>
        </row>
        <row r="1118">
          <cell r="A1118" t="str">
            <v>47698601M</v>
          </cell>
          <cell r="B1118" t="str">
            <v>Tejada Gallardo</v>
          </cell>
          <cell r="C1118" t="str">
            <v>Claudia</v>
          </cell>
          <cell r="D1118" t="str">
            <v>Tejada Gallardo, Claudia</v>
          </cell>
          <cell r="E1118" t="str">
            <v>claudia.tejada@professional.universidadviu.com</v>
          </cell>
          <cell r="F1118" t="str">
            <v>claudia.tejada@professional.universidadviu.com</v>
          </cell>
          <cell r="G1118" t="str">
            <v>Yes</v>
          </cell>
          <cell r="H1118" t="str">
            <v>Yes</v>
          </cell>
          <cell r="I1118" t="str">
            <v>Doctorado en psicología</v>
          </cell>
          <cell r="J1118" t="str">
            <v>Master de ciencias en psicología</v>
          </cell>
          <cell r="K1118" t="str">
            <v/>
          </cell>
          <cell r="L1118" t="str">
            <v/>
          </cell>
          <cell r="M1118" t="str">
            <v>Professional</v>
          </cell>
          <cell r="N1118" t="str">
            <v/>
          </cell>
          <cell r="O1118" t="str">
            <v>CSS</v>
          </cell>
          <cell r="P1118">
            <v>0</v>
          </cell>
          <cell r="Q1118" t="str">
            <v xml:space="preserve"> </v>
          </cell>
          <cell r="R1118"/>
          <cell r="S1118"/>
          <cell r="T1118" t="str">
            <v>Sin reducción</v>
          </cell>
          <cell r="U1118">
            <v>0</v>
          </cell>
          <cell r="V1118"/>
          <cell r="W1118"/>
          <cell r="X1118">
            <v>0</v>
          </cell>
          <cell r="Y1118">
            <v>0</v>
          </cell>
          <cell r="Z1118">
            <v>0</v>
          </cell>
          <cell r="AA1118"/>
          <cell r="AB1118" t="str">
            <v>Concluded</v>
          </cell>
          <cell r="AC1118" t="str">
            <v>ACTIVO</v>
          </cell>
          <cell r="AD1118"/>
          <cell r="AE1118"/>
          <cell r="AF1118"/>
          <cell r="AG1118"/>
          <cell r="AH1118"/>
          <cell r="AI1118" t="str">
            <v>47698601M</v>
          </cell>
        </row>
        <row r="1119">
          <cell r="A1119" t="str">
            <v>24884046R</v>
          </cell>
          <cell r="B1119" t="str">
            <v>Tejedor Huerta</v>
          </cell>
          <cell r="C1119" t="str">
            <v>María Asunción</v>
          </cell>
          <cell r="D1119" t="str">
            <v>Tejedor Huerta, María Asunción</v>
          </cell>
          <cell r="E1119" t="str">
            <v>mariaasuncion.tejedor</v>
          </cell>
          <cell r="F1119" t="str">
            <v>mariaasuncion.tejedor@professor.universidadviu.com</v>
          </cell>
          <cell r="G1119" t="str">
            <v>NO</v>
          </cell>
          <cell r="H1119" t="str">
            <v>NO</v>
          </cell>
          <cell r="I1119" t="str">
            <v>Experta universitaria en Mediación de conflictos familiares</v>
          </cell>
          <cell r="J1119" t="str">
            <v>Licenciada en filosofía y letras - División filosofía y ciencias de la educación - sección: Psicología</v>
          </cell>
          <cell r="K1119" t="str">
            <v/>
          </cell>
          <cell r="L1119" t="str">
            <v/>
          </cell>
          <cell r="M1119" t="str">
            <v>Labour</v>
          </cell>
          <cell r="N1119" t="str">
            <v>Vázquez Orellana, Nuria</v>
          </cell>
          <cell r="O1119" t="str">
            <v>CSS</v>
          </cell>
          <cell r="P1119">
            <v>100</v>
          </cell>
          <cell r="Q1119" t="str">
            <v>50</v>
          </cell>
          <cell r="R1119"/>
          <cell r="S1119"/>
          <cell r="T1119" t="str">
            <v>Sin reducción</v>
          </cell>
          <cell r="U1119">
            <v>0</v>
          </cell>
          <cell r="V1119">
            <v>6</v>
          </cell>
          <cell r="W1119" t="str">
            <v>EDUCACIÓN</v>
          </cell>
          <cell r="X1119">
            <v>43.3</v>
          </cell>
          <cell r="Y1119">
            <v>0</v>
          </cell>
          <cell r="Z1119">
            <v>0</v>
          </cell>
          <cell r="AA1119"/>
          <cell r="AB1119" t="str">
            <v>Active - signed</v>
          </cell>
          <cell r="AC1119" t="str">
            <v>ACTIVO</v>
          </cell>
          <cell r="AD1119"/>
          <cell r="AE1119"/>
          <cell r="AF1119"/>
          <cell r="AG1119"/>
          <cell r="AH1119"/>
          <cell r="AI1119" t="str">
            <v>24884046R</v>
          </cell>
        </row>
        <row r="1120">
          <cell r="A1120" t="str">
            <v>18505226R</v>
          </cell>
          <cell r="B1120" t="str">
            <v>Telechea Fernández</v>
          </cell>
          <cell r="C1120" t="str">
            <v>Marcelino</v>
          </cell>
          <cell r="D1120" t="str">
            <v>Telechea Fernández, Marcelino</v>
          </cell>
          <cell r="E1120" t="str">
            <v>marcelino.telechea</v>
          </cell>
          <cell r="F1120" t="str">
            <v>marcelino.telechea@professional.universidadviu.com</v>
          </cell>
          <cell r="G1120" t="str">
            <v>Yes</v>
          </cell>
          <cell r="H1120" t="str">
            <v>NO</v>
          </cell>
          <cell r="I1120" t="str">
            <v>Biología y Genética</v>
          </cell>
          <cell r="J1120" t="str">
            <v>Master en Biomedicina y Oncología Molecular</v>
          </cell>
          <cell r="K1120" t="str">
            <v>Doctorado en Biomedicina y Biotecnología</v>
          </cell>
          <cell r="L1120" t="str">
            <v/>
          </cell>
          <cell r="M1120" t="str">
            <v>Professional</v>
          </cell>
          <cell r="N1120" t="str">
            <v/>
          </cell>
          <cell r="O1120" t="str">
            <v>CBS</v>
          </cell>
          <cell r="P1120">
            <v>0</v>
          </cell>
          <cell r="Q1120" t="str">
            <v xml:space="preserve"> </v>
          </cell>
          <cell r="R1120"/>
          <cell r="S1120"/>
          <cell r="T1120" t="str">
            <v>Sin reducción</v>
          </cell>
          <cell r="U1120">
            <v>0</v>
          </cell>
          <cell r="V1120"/>
          <cell r="W1120"/>
          <cell r="X1120">
            <v>0</v>
          </cell>
          <cell r="Y1120">
            <v>0</v>
          </cell>
          <cell r="Z1120">
            <v>0</v>
          </cell>
          <cell r="AA1120"/>
          <cell r="AB1120" t="str">
            <v>Active - signed</v>
          </cell>
          <cell r="AC1120" t="str">
            <v>ACTIVO</v>
          </cell>
          <cell r="AD1120"/>
          <cell r="AE1120"/>
          <cell r="AF1120"/>
          <cell r="AG1120"/>
          <cell r="AH1120"/>
          <cell r="AI1120" t="str">
            <v>18505226R</v>
          </cell>
        </row>
        <row r="1121">
          <cell r="A1121" t="str">
            <v>24395859N</v>
          </cell>
          <cell r="B1121" t="str">
            <v>Terreros García</v>
          </cell>
          <cell r="C1121" t="str">
            <v>Elena</v>
          </cell>
          <cell r="D1121" t="str">
            <v>Terreros García, Elena</v>
          </cell>
          <cell r="E1121" t="str">
            <v>elena.terreros</v>
          </cell>
          <cell r="F1121" t="str">
            <v>elena.terreros@professor.universidadviu.com</v>
          </cell>
          <cell r="G1121" t="str">
            <v>Yes</v>
          </cell>
          <cell r="H1121" t="str">
            <v>NO</v>
          </cell>
          <cell r="I1121" t="str">
            <v>Programa Oficial de Doctorado en Investigación en Psicología</v>
          </cell>
          <cell r="J1121" t="str">
            <v>Máster Univeritario en Intervención Psicológica en ámbitos sociales</v>
          </cell>
          <cell r="K1121" t="str">
            <v>Programa Oficial de Doctorado en Investigación en Psicología</v>
          </cell>
          <cell r="L1121" t="str">
            <v>Licenciada en Psicología</v>
          </cell>
          <cell r="M1121" t="str">
            <v>Labour</v>
          </cell>
          <cell r="N1121" t="str">
            <v>Consultar a Facultad Ciencias Sociales y Jurídicas</v>
          </cell>
          <cell r="O1121" t="str">
            <v>CSS</v>
          </cell>
          <cell r="P1121">
            <v>30</v>
          </cell>
          <cell r="Q1121" t="str">
            <v>24</v>
          </cell>
          <cell r="R1121"/>
          <cell r="S1121"/>
          <cell r="T1121" t="str">
            <v>Sin reducción</v>
          </cell>
          <cell r="U1121">
            <v>0</v>
          </cell>
          <cell r="V1121">
            <v>21</v>
          </cell>
          <cell r="W1121" t="str">
            <v>JURÍDICO</v>
          </cell>
          <cell r="X1121">
            <v>3</v>
          </cell>
          <cell r="Y1121">
            <v>0</v>
          </cell>
          <cell r="Z1121">
            <v>0</v>
          </cell>
          <cell r="AA1121"/>
          <cell r="AB1121" t="str">
            <v>Active - signed</v>
          </cell>
          <cell r="AC1121" t="str">
            <v>ACTIVO</v>
          </cell>
          <cell r="AD1121"/>
          <cell r="AE1121"/>
          <cell r="AF1121"/>
          <cell r="AG1121"/>
          <cell r="AH1121"/>
          <cell r="AI1121" t="str">
            <v>24395859N</v>
          </cell>
        </row>
        <row r="1122">
          <cell r="A1122">
            <v>21050335992</v>
          </cell>
          <cell r="B1122" t="str">
            <v>Tirado Gómez</v>
          </cell>
          <cell r="C1122" t="str">
            <v>Graciela Isabel</v>
          </cell>
          <cell r="D1122" t="str">
            <v>Tirado Gómez, Graciela Isabel</v>
          </cell>
          <cell r="E1122" t="str">
            <v>gracielaisabel.tirado</v>
          </cell>
          <cell r="F1122" t="str">
            <v>gracielaisabel.tirado@professional.universidadviu.com</v>
          </cell>
          <cell r="G1122" t="str">
            <v>NO</v>
          </cell>
          <cell r="H1122" t="str">
            <v>NO</v>
          </cell>
          <cell r="I1122" t="str">
            <v>Maestra en Ciencias Sociales</v>
          </cell>
          <cell r="J1122" t="str">
            <v>Licenciada en Psicología</v>
          </cell>
          <cell r="K1122" t="str">
            <v/>
          </cell>
          <cell r="L1122" t="str">
            <v/>
          </cell>
          <cell r="M1122" t="str">
            <v>Professional</v>
          </cell>
          <cell r="N1122" t="str">
            <v/>
          </cell>
          <cell r="O1122" t="str">
            <v>CSS</v>
          </cell>
          <cell r="P1122">
            <v>0</v>
          </cell>
          <cell r="Q1122" t="str">
            <v xml:space="preserve"> </v>
          </cell>
          <cell r="R1122"/>
          <cell r="S1122"/>
          <cell r="T1122" t="str">
            <v>Sin reducción</v>
          </cell>
          <cell r="U1122">
            <v>0</v>
          </cell>
          <cell r="V1122"/>
          <cell r="W1122"/>
          <cell r="X1122">
            <v>0</v>
          </cell>
          <cell r="Y1122">
            <v>0</v>
          </cell>
          <cell r="Z1122">
            <v>0</v>
          </cell>
          <cell r="AA1122"/>
          <cell r="AB1122" t="str">
            <v>Active - signed</v>
          </cell>
          <cell r="AC1122" t="str">
            <v>ACTIVO</v>
          </cell>
          <cell r="AD1122"/>
          <cell r="AE1122"/>
          <cell r="AF1122"/>
          <cell r="AG1122"/>
          <cell r="AH1122"/>
          <cell r="AI1122">
            <v>21050335992</v>
          </cell>
        </row>
        <row r="1123">
          <cell r="A1123" t="str">
            <v>CO10298955-4</v>
          </cell>
          <cell r="B1123" t="str">
            <v>Tobar Tosse</v>
          </cell>
          <cell r="C1123" t="str">
            <v>Henry Fabian</v>
          </cell>
          <cell r="D1123" t="str">
            <v>Tobar Tosse, Henry Fabian</v>
          </cell>
          <cell r="E1123" t="str">
            <v>henryfabian.tobar@professional.universidadviu.com</v>
          </cell>
          <cell r="F1123" t="str">
            <v>henryfabian.tobar@professional.universidadviu.com</v>
          </cell>
          <cell r="G1123" t="str">
            <v>Yes</v>
          </cell>
          <cell r="H1123" t="str">
            <v>NO</v>
          </cell>
          <cell r="I1123" t="str">
            <v>Biología y Genética</v>
          </cell>
          <cell r="J1123" t="str">
            <v>Doctorado en Ciencias Biomédicas</v>
          </cell>
          <cell r="K1123" t="str">
            <v>Doctorado en Ciencias Biomédicas</v>
          </cell>
          <cell r="L1123" t="str">
            <v/>
          </cell>
          <cell r="M1123" t="str">
            <v>Professional</v>
          </cell>
          <cell r="N1123" t="str">
            <v/>
          </cell>
          <cell r="O1123" t="str">
            <v>CBS</v>
          </cell>
          <cell r="P1123">
            <v>0</v>
          </cell>
          <cell r="Q1123" t="str">
            <v xml:space="preserve"> </v>
          </cell>
          <cell r="R1123"/>
          <cell r="S1123"/>
          <cell r="T1123" t="str">
            <v>Sin reducción</v>
          </cell>
          <cell r="U1123">
            <v>0</v>
          </cell>
          <cell r="V1123"/>
          <cell r="W1123"/>
          <cell r="X1123">
            <v>0</v>
          </cell>
          <cell r="Y1123">
            <v>0</v>
          </cell>
          <cell r="Z1123">
            <v>0</v>
          </cell>
          <cell r="AA1123"/>
          <cell r="AB1123" t="str">
            <v>Active - signed</v>
          </cell>
          <cell r="AC1123" t="str">
            <v>ACTIVO</v>
          </cell>
          <cell r="AD1123"/>
          <cell r="AE1123"/>
          <cell r="AF1123"/>
          <cell r="AG1123"/>
          <cell r="AH1123"/>
          <cell r="AI1123" t="str">
            <v>CO10298955-4</v>
          </cell>
        </row>
        <row r="1124">
          <cell r="A1124" t="str">
            <v>18991791R</v>
          </cell>
          <cell r="B1124" t="str">
            <v>Tormo Irún</v>
          </cell>
          <cell r="C1124" t="str">
            <v>María Pilar</v>
          </cell>
          <cell r="D1124" t="str">
            <v>Tormo Irún, María Pilar</v>
          </cell>
          <cell r="E1124" t="str">
            <v>mariapilar.tormo</v>
          </cell>
          <cell r="F1124" t="str">
            <v>mariapilar.tormo@professor.universidadviu.com</v>
          </cell>
          <cell r="G1124" t="str">
            <v>Yes</v>
          </cell>
          <cell r="H1124" t="str">
            <v>Yes</v>
          </cell>
          <cell r="I1124" t="str">
            <v>Doctorado</v>
          </cell>
          <cell r="J1124" t="str">
            <v>Doctorado</v>
          </cell>
          <cell r="K1124" t="str">
            <v>Máster Internacional en Psicología Forense</v>
          </cell>
          <cell r="L1124" t="str">
            <v>Licenciado en Psicología</v>
          </cell>
          <cell r="M1124" t="str">
            <v>Labour</v>
          </cell>
          <cell r="N1124"/>
          <cell r="O1124" t="str">
            <v>CSS</v>
          </cell>
          <cell r="P1124">
            <v>100</v>
          </cell>
          <cell r="Q1124" t="str">
            <v>50</v>
          </cell>
          <cell r="R1124"/>
          <cell r="S1124"/>
          <cell r="T1124" t="str">
            <v>Sin reducción</v>
          </cell>
          <cell r="U1124">
            <v>0</v>
          </cell>
          <cell r="V1124"/>
          <cell r="W1124"/>
          <cell r="X1124">
            <v>41.8</v>
          </cell>
          <cell r="Y1124">
            <v>0</v>
          </cell>
          <cell r="Z1124">
            <v>3</v>
          </cell>
          <cell r="AA1124"/>
          <cell r="AB1124" t="str">
            <v>Active - signed</v>
          </cell>
          <cell r="AC1124" t="str">
            <v>ACTIVO</v>
          </cell>
          <cell r="AD1124">
            <v>45398</v>
          </cell>
          <cell r="AE1124">
            <v>45945</v>
          </cell>
          <cell r="AF1124"/>
          <cell r="AG1124"/>
          <cell r="AH1124"/>
          <cell r="AI1124" t="str">
            <v>18991791R</v>
          </cell>
        </row>
        <row r="1125">
          <cell r="A1125" t="str">
            <v>18048795M</v>
          </cell>
          <cell r="B1125" t="str">
            <v>Toro Funes</v>
          </cell>
          <cell r="C1125" t="str">
            <v>Natalia</v>
          </cell>
          <cell r="D1125" t="str">
            <v>Toro Funes, Natalia</v>
          </cell>
          <cell r="E1125" t="str">
            <v>natialia.toro</v>
          </cell>
          <cell r="F1125" t="str">
            <v>natalia.toro@professor.universidadviu.com</v>
          </cell>
          <cell r="G1125" t="str">
            <v>Yes</v>
          </cell>
          <cell r="H1125" t="str">
            <v>Yes</v>
          </cell>
          <cell r="I1125" t="str">
            <v>Ciencia y tecnología de los alimentos</v>
          </cell>
          <cell r="J1125" t="str">
            <v>Graduado en Biología</v>
          </cell>
          <cell r="K1125" t="str">
            <v>Máster Universitario en Seguridad Alimentaria</v>
          </cell>
          <cell r="L1125" t="str">
            <v>Doctorado en Alimentación y Nutrición</v>
          </cell>
          <cell r="M1125" t="str">
            <v>Labour</v>
          </cell>
          <cell r="N1125"/>
          <cell r="O1125" t="str">
            <v>CBS</v>
          </cell>
          <cell r="P1125">
            <v>100</v>
          </cell>
          <cell r="Q1125" t="str">
            <v>50</v>
          </cell>
          <cell r="R1125"/>
          <cell r="S1125"/>
          <cell r="T1125"/>
          <cell r="U1125" t="str">
            <v/>
          </cell>
          <cell r="V1125"/>
          <cell r="W1125"/>
          <cell r="X1125">
            <v>0</v>
          </cell>
          <cell r="Y1125">
            <v>0</v>
          </cell>
          <cell r="Z1125">
            <v>0</v>
          </cell>
          <cell r="AA1125"/>
          <cell r="AB1125" t="str">
            <v>Concluded</v>
          </cell>
          <cell r="AC1125" t="str">
            <v>NO ACTIVO</v>
          </cell>
          <cell r="AD1125"/>
          <cell r="AE1125"/>
          <cell r="AF1125">
            <v>45833</v>
          </cell>
          <cell r="AG1125" t="str">
            <v>CESE DE CONTRATO</v>
          </cell>
          <cell r="AH1125"/>
          <cell r="AI1125" t="str">
            <v>18048795M</v>
          </cell>
        </row>
        <row r="1126">
          <cell r="A1126" t="str">
            <v>15451306K</v>
          </cell>
          <cell r="B1126" t="str">
            <v>Toro García</v>
          </cell>
          <cell r="C1126" t="str">
            <v>Virginia</v>
          </cell>
          <cell r="D1126" t="str">
            <v>Toro García, Virginia</v>
          </cell>
          <cell r="E1126" t="str">
            <v>vtorog@professional.universidadviu.com</v>
          </cell>
          <cell r="F1126" t="str">
            <v>vtorog@professional.universidadviu.com</v>
          </cell>
          <cell r="G1126" t="str">
            <v>Yes</v>
          </cell>
          <cell r="H1126" t="str">
            <v>NO</v>
          </cell>
          <cell r="I1126" t="str">
            <v>Doctorado en Psicología</v>
          </cell>
          <cell r="J1126" t="str">
            <v>Máster Universitario en Psicología de la Intervención Social</v>
          </cell>
          <cell r="K1126" t="str">
            <v>Licencia en Psicología</v>
          </cell>
          <cell r="L1126" t="str">
            <v/>
          </cell>
          <cell r="M1126" t="str">
            <v>Professional</v>
          </cell>
          <cell r="N1126" t="str">
            <v/>
          </cell>
          <cell r="O1126" t="str">
            <v>CSS</v>
          </cell>
          <cell r="P1126">
            <v>0</v>
          </cell>
          <cell r="Q1126" t="str">
            <v xml:space="preserve"> </v>
          </cell>
          <cell r="R1126"/>
          <cell r="S1126"/>
          <cell r="T1126" t="str">
            <v>Sin reducción</v>
          </cell>
          <cell r="U1126">
            <v>0</v>
          </cell>
          <cell r="V1126"/>
          <cell r="W1126"/>
          <cell r="X1126">
            <v>0</v>
          </cell>
          <cell r="Y1126">
            <v>0</v>
          </cell>
          <cell r="Z1126">
            <v>0</v>
          </cell>
          <cell r="AA1126"/>
          <cell r="AB1126" t="str">
            <v>Active - signed</v>
          </cell>
          <cell r="AC1126" t="str">
            <v>ACTIVO</v>
          </cell>
          <cell r="AD1126"/>
          <cell r="AE1126"/>
          <cell r="AF1126"/>
          <cell r="AG1126"/>
          <cell r="AH1126"/>
          <cell r="AI1126" t="str">
            <v>15451306K</v>
          </cell>
        </row>
        <row r="1127">
          <cell r="A1127" t="str">
            <v>75912510K</v>
          </cell>
          <cell r="B1127" t="str">
            <v>Toro Martín</v>
          </cell>
          <cell r="C1127" t="str">
            <v>Silvia</v>
          </cell>
          <cell r="D1127" t="str">
            <v>Toro Martín, Silvia</v>
          </cell>
          <cell r="E1127" t="str">
            <v>storom@professional.universidadviu.com</v>
          </cell>
          <cell r="F1127" t="str">
            <v>storom@professional.universidadviu.com</v>
          </cell>
          <cell r="G1127" t="str">
            <v>NO</v>
          </cell>
          <cell r="H1127" t="str">
            <v>NO</v>
          </cell>
          <cell r="I1127" t="str">
            <v/>
          </cell>
          <cell r="J1127" t="str">
            <v/>
          </cell>
          <cell r="K1127" t="str">
            <v/>
          </cell>
          <cell r="L1127" t="str">
            <v/>
          </cell>
          <cell r="M1127" t="str">
            <v>Professional</v>
          </cell>
          <cell r="N1127"/>
          <cell r="O1127" t="str">
            <v>CSS</v>
          </cell>
          <cell r="P1127">
            <v>0</v>
          </cell>
          <cell r="Q1127" t="str">
            <v xml:space="preserve"> </v>
          </cell>
          <cell r="R1127"/>
          <cell r="S1127"/>
          <cell r="T1127" t="str">
            <v>Sin reducción</v>
          </cell>
          <cell r="U1127">
            <v>0</v>
          </cell>
          <cell r="V1127"/>
          <cell r="W1127"/>
          <cell r="X1127">
            <v>0</v>
          </cell>
          <cell r="Y1127">
            <v>0</v>
          </cell>
          <cell r="Z1127">
            <v>0</v>
          </cell>
          <cell r="AA1127"/>
          <cell r="AB1127" t="str">
            <v>Active - signed</v>
          </cell>
          <cell r="AC1127" t="str">
            <v>ACTIVO</v>
          </cell>
          <cell r="AD1127"/>
          <cell r="AE1127"/>
          <cell r="AF1127"/>
          <cell r="AG1127"/>
          <cell r="AH1127"/>
          <cell r="AI1127" t="str">
            <v>75912510K</v>
          </cell>
        </row>
        <row r="1128">
          <cell r="A1128" t="str">
            <v>47908938F</v>
          </cell>
          <cell r="B1128" t="str">
            <v>Torondel Rivera</v>
          </cell>
          <cell r="C1128" t="str">
            <v>Sergi</v>
          </cell>
          <cell r="D1128" t="str">
            <v>Torondel Rivera, Sergi</v>
          </cell>
          <cell r="E1128" t="str">
            <v>storondelr@professional.universidadviu.com</v>
          </cell>
          <cell r="F1128" t="str">
            <v>storondelr@professional.universidadviu.com</v>
          </cell>
          <cell r="G1128" t="str">
            <v>NO</v>
          </cell>
          <cell r="H1128" t="str">
            <v>NO</v>
          </cell>
          <cell r="I1128" t="str">
            <v/>
          </cell>
          <cell r="J1128" t="str">
            <v/>
          </cell>
          <cell r="K1128" t="str">
            <v/>
          </cell>
          <cell r="L1128" t="str">
            <v/>
          </cell>
          <cell r="M1128" t="str">
            <v>Professional</v>
          </cell>
          <cell r="N1128"/>
          <cell r="O1128" t="str">
            <v>CSS</v>
          </cell>
          <cell r="P1128">
            <v>0</v>
          </cell>
          <cell r="Q1128" t="str">
            <v xml:space="preserve"> </v>
          </cell>
          <cell r="R1128"/>
          <cell r="S1128"/>
          <cell r="T1128" t="str">
            <v>Sin reducción</v>
          </cell>
          <cell r="U1128">
            <v>0</v>
          </cell>
          <cell r="V1128"/>
          <cell r="W1128"/>
          <cell r="X1128">
            <v>0</v>
          </cell>
          <cell r="Y1128">
            <v>0</v>
          </cell>
          <cell r="Z1128">
            <v>0</v>
          </cell>
          <cell r="AA1128"/>
          <cell r="AB1128" t="str">
            <v>Active - signed</v>
          </cell>
          <cell r="AC1128" t="str">
            <v>ACTIVO</v>
          </cell>
          <cell r="AD1128"/>
          <cell r="AE1128"/>
          <cell r="AF1128"/>
          <cell r="AG1128"/>
          <cell r="AH1128"/>
          <cell r="AI1128" t="str">
            <v>47908938F</v>
          </cell>
        </row>
        <row r="1129">
          <cell r="A1129" t="str">
            <v>29170913J</v>
          </cell>
          <cell r="B1129" t="str">
            <v>Torralba Jerez</v>
          </cell>
          <cell r="C1129" t="str">
            <v>Eva María</v>
          </cell>
          <cell r="D1129" t="str">
            <v>Torralba Jerez, Eva María</v>
          </cell>
          <cell r="E1129" t="str">
            <v>evamaria.torralba</v>
          </cell>
          <cell r="F1129" t="str">
            <v>evamaria.torralba@professional.universidadviu.com</v>
          </cell>
          <cell r="G1129" t="str">
            <v>Yes</v>
          </cell>
          <cell r="H1129" t="str">
            <v>NO</v>
          </cell>
          <cell r="I1129" t="str">
            <v>Programa Doctorado en Psicología</v>
          </cell>
          <cell r="J1129" t="str">
            <v>Licenciada</v>
          </cell>
          <cell r="K1129" t="str">
            <v/>
          </cell>
          <cell r="L1129" t="str">
            <v/>
          </cell>
          <cell r="M1129" t="str">
            <v>Professional</v>
          </cell>
          <cell r="N1129" t="str">
            <v/>
          </cell>
          <cell r="O1129" t="str">
            <v>CSS</v>
          </cell>
          <cell r="P1129">
            <v>0</v>
          </cell>
          <cell r="Q1129" t="str">
            <v xml:space="preserve"> </v>
          </cell>
          <cell r="R1129"/>
          <cell r="S1129"/>
          <cell r="T1129" t="str">
            <v>Sin reducción</v>
          </cell>
          <cell r="U1129">
            <v>0</v>
          </cell>
          <cell r="V1129"/>
          <cell r="W1129"/>
          <cell r="X1129">
            <v>0</v>
          </cell>
          <cell r="Y1129">
            <v>0</v>
          </cell>
          <cell r="Z1129">
            <v>0</v>
          </cell>
          <cell r="AA1129"/>
          <cell r="AB1129" t="str">
            <v>Active - signed</v>
          </cell>
          <cell r="AC1129" t="str">
            <v>ACTIVO</v>
          </cell>
          <cell r="AD1129"/>
          <cell r="AE1129"/>
          <cell r="AF1129"/>
          <cell r="AG1129"/>
          <cell r="AH1129"/>
          <cell r="AI1129" t="str">
            <v>29170913J</v>
          </cell>
        </row>
        <row r="1130">
          <cell r="A1130" t="str">
            <v>47197164Z</v>
          </cell>
          <cell r="B1130" t="str">
            <v>Torres Apolo</v>
          </cell>
          <cell r="C1130" t="str">
            <v>Víctor Andrés</v>
          </cell>
          <cell r="D1130" t="str">
            <v>Torres Apolo, Víctor Andrés</v>
          </cell>
          <cell r="E1130" t="str">
            <v>victorandres.torres</v>
          </cell>
          <cell r="F1130" t="str">
            <v>victorandres.torres@professor.universidadviu.com</v>
          </cell>
          <cell r="G1130" t="str">
            <v>Yes</v>
          </cell>
          <cell r="H1130" t="str">
            <v>NO</v>
          </cell>
          <cell r="I1130" t="str">
            <v>Doctorado</v>
          </cell>
          <cell r="J1130" t="str">
            <v>Doctorado</v>
          </cell>
          <cell r="K1130" t="str">
            <v>Graduado en Psicología</v>
          </cell>
          <cell r="L1130" t="str">
            <v>Máster universitario en Psicología General Sanitaria</v>
          </cell>
          <cell r="M1130" t="str">
            <v>Labour</v>
          </cell>
          <cell r="N1130"/>
          <cell r="O1130" t="str">
            <v>CSS</v>
          </cell>
          <cell r="P1130">
            <v>100</v>
          </cell>
          <cell r="Q1130" t="str">
            <v>50</v>
          </cell>
          <cell r="R1130"/>
          <cell r="S1130"/>
          <cell r="T1130" t="str">
            <v>Sin reducción</v>
          </cell>
          <cell r="U1130">
            <v>0</v>
          </cell>
          <cell r="V1130"/>
          <cell r="W1130"/>
          <cell r="X1130">
            <v>0</v>
          </cell>
          <cell r="Y1130">
            <v>0</v>
          </cell>
          <cell r="Z1130">
            <v>0</v>
          </cell>
          <cell r="AA1130"/>
          <cell r="AB1130" t="str">
            <v>Concluded</v>
          </cell>
          <cell r="AC1130" t="str">
            <v>NO ACTIVO</v>
          </cell>
          <cell r="AD1130"/>
          <cell r="AE1130"/>
          <cell r="AF1130">
            <v>45336</v>
          </cell>
          <cell r="AG1130" t="str">
            <v>CESE DE CONTRATO</v>
          </cell>
          <cell r="AH1130"/>
          <cell r="AI1130" t="str">
            <v>47197164Z</v>
          </cell>
        </row>
        <row r="1131">
          <cell r="A1131" t="str">
            <v>20824476T</v>
          </cell>
          <cell r="B1131" t="str">
            <v>Torres Aviño</v>
          </cell>
          <cell r="C1131" t="str">
            <v>Elena</v>
          </cell>
          <cell r="D1131" t="str">
            <v>Torres Aviño, Elena</v>
          </cell>
          <cell r="E1131" t="str">
            <v>elena.torres.a</v>
          </cell>
          <cell r="F1131" t="str">
            <v>elena.torres.a@professional.universidadviu.com</v>
          </cell>
          <cell r="G1131" t="str">
            <v>NO</v>
          </cell>
          <cell r="H1131" t="str">
            <v>NO</v>
          </cell>
          <cell r="I1131" t="str">
            <v/>
          </cell>
          <cell r="J1131" t="str">
            <v/>
          </cell>
          <cell r="K1131" t="str">
            <v/>
          </cell>
          <cell r="L1131" t="str">
            <v/>
          </cell>
          <cell r="M1131" t="str">
            <v>Professional</v>
          </cell>
          <cell r="N1131" t="str">
            <v/>
          </cell>
          <cell r="O1131" t="str">
            <v>CSS</v>
          </cell>
          <cell r="P1131">
            <v>0</v>
          </cell>
          <cell r="Q1131" t="str">
            <v xml:space="preserve"> </v>
          </cell>
          <cell r="R1131"/>
          <cell r="S1131"/>
          <cell r="T1131" t="str">
            <v>Sin reducción</v>
          </cell>
          <cell r="U1131">
            <v>0</v>
          </cell>
          <cell r="V1131"/>
          <cell r="W1131"/>
          <cell r="X1131">
            <v>0</v>
          </cell>
          <cell r="Y1131">
            <v>0</v>
          </cell>
          <cell r="Z1131">
            <v>0</v>
          </cell>
          <cell r="AA1131"/>
          <cell r="AB1131" t="str">
            <v>Active - signed</v>
          </cell>
          <cell r="AC1131" t="str">
            <v>ACTIVO</v>
          </cell>
          <cell r="AD1131"/>
          <cell r="AE1131"/>
          <cell r="AF1131"/>
          <cell r="AG1131"/>
          <cell r="AH1131"/>
          <cell r="AI1131" t="str">
            <v>20824476T</v>
          </cell>
        </row>
        <row r="1132">
          <cell r="A1132" t="str">
            <v>26222607P</v>
          </cell>
          <cell r="B1132" t="str">
            <v>Torres Fernández</v>
          </cell>
          <cell r="C1132" t="str">
            <v>Gloria María</v>
          </cell>
          <cell r="D1132" t="str">
            <v>Torres Fernández, Gloria María</v>
          </cell>
          <cell r="E1132" t="str">
            <v>gtorresf@professional.universidadviu.com</v>
          </cell>
          <cell r="F1132" t="str">
            <v>gtorresf@professional.universidadviu.com</v>
          </cell>
          <cell r="G1132" t="str">
            <v>Yes</v>
          </cell>
          <cell r="H1132" t="str">
            <v>NO</v>
          </cell>
          <cell r="I1132" t="str">
            <v>Doctorado en Psicología. Uso del procedimiento IRAP para el estudio de la Flexibilidad Psicológica con niños y adolescentes</v>
          </cell>
          <cell r="J1132" t="str">
            <v>MASTER DE PSICOLOGÍA GENERALSANITARIA</v>
          </cell>
          <cell r="K1132" t="str">
            <v>LICENCIADA EN FILOSOFÍA Y LETRAS</v>
          </cell>
          <cell r="L1132" t="str">
            <v>Doctorado en Psicología</v>
          </cell>
          <cell r="M1132" t="str">
            <v>Professional</v>
          </cell>
          <cell r="N1132" t="str">
            <v/>
          </cell>
          <cell r="O1132" t="str">
            <v>CSS</v>
          </cell>
          <cell r="P1132">
            <v>0</v>
          </cell>
          <cell r="Q1132" t="str">
            <v xml:space="preserve"> </v>
          </cell>
          <cell r="R1132"/>
          <cell r="S1132"/>
          <cell r="T1132" t="str">
            <v>Sin reducción</v>
          </cell>
          <cell r="U1132">
            <v>0</v>
          </cell>
          <cell r="V1132"/>
          <cell r="W1132"/>
          <cell r="X1132">
            <v>0</v>
          </cell>
          <cell r="Y1132">
            <v>0</v>
          </cell>
          <cell r="Z1132">
            <v>0</v>
          </cell>
          <cell r="AA1132"/>
          <cell r="AB1132" t="str">
            <v>Active - signed</v>
          </cell>
          <cell r="AC1132" t="str">
            <v>ACTIVO</v>
          </cell>
          <cell r="AD1132"/>
          <cell r="AE1132"/>
          <cell r="AF1132"/>
          <cell r="AG1132"/>
          <cell r="AH1132"/>
          <cell r="AI1132" t="str">
            <v>26222607P</v>
          </cell>
        </row>
        <row r="1133">
          <cell r="A1133" t="str">
            <v>74015448E</v>
          </cell>
          <cell r="B1133" t="str">
            <v>Torres Martínez</v>
          </cell>
          <cell r="C1133" t="str">
            <v>Susana</v>
          </cell>
          <cell r="D1133" t="str">
            <v>Torres Martínez, Susana</v>
          </cell>
          <cell r="E1133" t="str">
            <v>storresm@professor.universidadviu.com</v>
          </cell>
          <cell r="F1133" t="str">
            <v>storresm@professor.universidadviu.com</v>
          </cell>
          <cell r="G1133" t="str">
            <v>Yes</v>
          </cell>
          <cell r="H1133" t="str">
            <v>NO</v>
          </cell>
          <cell r="I1133" t="str">
            <v/>
          </cell>
          <cell r="J1133" t="str">
            <v/>
          </cell>
          <cell r="K1133" t="str">
            <v/>
          </cell>
          <cell r="L1133" t="str">
            <v/>
          </cell>
          <cell r="M1133" t="str">
            <v>Labour</v>
          </cell>
          <cell r="N1133" t="str">
            <v>Navarro Tapia, Elisabet</v>
          </cell>
          <cell r="O1133" t="str">
            <v>CBS</v>
          </cell>
          <cell r="P1133">
            <v>18</v>
          </cell>
          <cell r="Q1133" t="str">
            <v>18</v>
          </cell>
          <cell r="R1133"/>
          <cell r="S1133"/>
          <cell r="T1133" t="str">
            <v>Sin reducción</v>
          </cell>
          <cell r="U1133">
            <v>0</v>
          </cell>
          <cell r="V1133"/>
          <cell r="W1133"/>
          <cell r="X1133">
            <v>0</v>
          </cell>
          <cell r="Y1133">
            <v>0</v>
          </cell>
          <cell r="Z1133">
            <v>18</v>
          </cell>
          <cell r="AA1133"/>
          <cell r="AB1133" t="str">
            <v>Active - signed</v>
          </cell>
          <cell r="AC1133"/>
          <cell r="AD1133"/>
          <cell r="AE1133"/>
          <cell r="AF1133"/>
          <cell r="AG1133"/>
          <cell r="AH1133"/>
          <cell r="AI1133" t="str">
            <v>74015448E</v>
          </cell>
        </row>
        <row r="1134">
          <cell r="A1134" t="str">
            <v>47926664T</v>
          </cell>
          <cell r="B1134" t="str">
            <v>Torres Moral</v>
          </cell>
          <cell r="C1134" t="str">
            <v>Teresa</v>
          </cell>
          <cell r="D1134" t="str">
            <v>Torres Moral, Teresa</v>
          </cell>
          <cell r="E1134" t="str">
            <v>ttorresm@professor.universidadviu.com</v>
          </cell>
          <cell r="F1134" t="str">
            <v>ttorresm@professor.universidadviu.com</v>
          </cell>
          <cell r="G1134" t="str">
            <v>Yes</v>
          </cell>
          <cell r="H1134" t="str">
            <v>NO</v>
          </cell>
          <cell r="I1134" t="str">
            <v>Doctora en Medicina i Recerca Traslacional</v>
          </cell>
          <cell r="J1134" t="str">
            <v>Màster Universitari d'Antropologia Biològica</v>
          </cell>
          <cell r="K1134" t="str">
            <v>Grado en microbiología</v>
          </cell>
          <cell r="L1134" t="str">
            <v/>
          </cell>
          <cell r="M1134" t="str">
            <v>Labour</v>
          </cell>
          <cell r="N1134" t="str">
            <v>Tronchoni León, Jordi</v>
          </cell>
          <cell r="O1134" t="str">
            <v>CBS</v>
          </cell>
          <cell r="P1134">
            <v>30</v>
          </cell>
          <cell r="Q1134" t="str">
            <v>24</v>
          </cell>
          <cell r="R1134"/>
          <cell r="S1134"/>
          <cell r="T1134" t="str">
            <v>Sin reducción</v>
          </cell>
          <cell r="U1134">
            <v>0</v>
          </cell>
          <cell r="V1134"/>
          <cell r="W1134"/>
          <cell r="X1134">
            <v>0</v>
          </cell>
          <cell r="Y1134">
            <v>0</v>
          </cell>
          <cell r="Z1134">
            <v>24.3</v>
          </cell>
          <cell r="AA1134"/>
          <cell r="AB1134" t="str">
            <v>Active - signed</v>
          </cell>
          <cell r="AC1134" t="str">
            <v>ACTIVO</v>
          </cell>
          <cell r="AD1134"/>
          <cell r="AE1134"/>
          <cell r="AF1134"/>
          <cell r="AG1134"/>
          <cell r="AH1134"/>
          <cell r="AI1134" t="str">
            <v>47926664T</v>
          </cell>
        </row>
        <row r="1135">
          <cell r="A1135" t="str">
            <v>77429133R</v>
          </cell>
          <cell r="B1135" t="str">
            <v>Torres Prioris</v>
          </cell>
          <cell r="C1135" t="str">
            <v>María José</v>
          </cell>
          <cell r="D1135" t="str">
            <v>Torres Prioris, María José</v>
          </cell>
          <cell r="E1135" t="str">
            <v>mariajose.torres.p</v>
          </cell>
          <cell r="F1135" t="str">
            <v>mariajose.torres.p@professional.universidadviu.com</v>
          </cell>
          <cell r="G1135" t="str">
            <v>Yes</v>
          </cell>
          <cell r="H1135" t="str">
            <v>Yes</v>
          </cell>
          <cell r="I1135" t="str">
            <v>Psicología</v>
          </cell>
          <cell r="J1135" t="str">
            <v>Máster Universitario en Neurociencia Cognitiva y del Comportamiento</v>
          </cell>
          <cell r="K1135" t="str">
            <v>Doctorado Programa Biomedicina, Investigación traslacional y Nuevas tecnologías en Salud</v>
          </cell>
          <cell r="L1135" t="str">
            <v/>
          </cell>
          <cell r="M1135" t="str">
            <v>Professional</v>
          </cell>
          <cell r="N1135" t="str">
            <v/>
          </cell>
          <cell r="O1135" t="str">
            <v>CSS</v>
          </cell>
          <cell r="P1135">
            <v>0</v>
          </cell>
          <cell r="Q1135" t="str">
            <v xml:space="preserve"> </v>
          </cell>
          <cell r="R1135"/>
          <cell r="S1135"/>
          <cell r="T1135" t="str">
            <v>Sin reducción</v>
          </cell>
          <cell r="U1135">
            <v>0</v>
          </cell>
          <cell r="V1135"/>
          <cell r="W1135"/>
          <cell r="X1135">
            <v>0</v>
          </cell>
          <cell r="Y1135">
            <v>0</v>
          </cell>
          <cell r="Z1135">
            <v>0</v>
          </cell>
          <cell r="AA1135"/>
          <cell r="AB1135" t="str">
            <v>Active - signed</v>
          </cell>
          <cell r="AC1135" t="str">
            <v>ACTIVO</v>
          </cell>
          <cell r="AD1135"/>
          <cell r="AE1135"/>
          <cell r="AF1135"/>
          <cell r="AG1135"/>
          <cell r="AH1135"/>
          <cell r="AI1135" t="str">
            <v>77429133R</v>
          </cell>
        </row>
        <row r="1136">
          <cell r="A1136" t="str">
            <v>21009402Y</v>
          </cell>
          <cell r="B1136" t="str">
            <v>Tortosa Pérez</v>
          </cell>
          <cell r="C1136" t="str">
            <v>Macarena</v>
          </cell>
          <cell r="D1136" t="str">
            <v>Tortosa Pérez, Macarena</v>
          </cell>
          <cell r="E1136" t="str">
            <v>macarena.tortosap</v>
          </cell>
          <cell r="F1136" t="str">
            <v>macarena.tortosap@professor.universidadviu.com</v>
          </cell>
          <cell r="G1136" t="str">
            <v>Yes</v>
          </cell>
          <cell r="H1136" t="str">
            <v>Yes</v>
          </cell>
          <cell r="I1136" t="str">
            <v>Programa Oficial de Doctorado en Investigación en Psicología</v>
          </cell>
          <cell r="J1136" t="str">
            <v>Programa Oficial de Doctorado en Investigación en Psicología</v>
          </cell>
          <cell r="K1136" t="str">
            <v>Licenciado en Psicología</v>
          </cell>
          <cell r="L1136" t="str">
            <v/>
          </cell>
          <cell r="M1136" t="str">
            <v>Labour</v>
          </cell>
          <cell r="N1136" t="str">
            <v>Rama Galdón, Encarnación</v>
          </cell>
          <cell r="O1136" t="str">
            <v>CSS</v>
          </cell>
          <cell r="P1136">
            <v>100</v>
          </cell>
          <cell r="Q1136" t="str">
            <v>50</v>
          </cell>
          <cell r="R1136"/>
          <cell r="S1136"/>
          <cell r="T1136" t="str">
            <v>Sin reducción</v>
          </cell>
          <cell r="U1136">
            <v>0</v>
          </cell>
          <cell r="V1136"/>
          <cell r="W1136"/>
          <cell r="X1136">
            <v>49.8</v>
          </cell>
          <cell r="Y1136">
            <v>0</v>
          </cell>
          <cell r="Z1136">
            <v>0</v>
          </cell>
          <cell r="AA1136"/>
          <cell r="AB1136" t="str">
            <v>Active - signed</v>
          </cell>
          <cell r="AC1136" t="str">
            <v>ACTIVO</v>
          </cell>
          <cell r="AD1136"/>
          <cell r="AE1136"/>
          <cell r="AF1136"/>
          <cell r="AG1136"/>
          <cell r="AH1136"/>
          <cell r="AI1136" t="str">
            <v>21009402Y</v>
          </cell>
        </row>
        <row r="1137">
          <cell r="A1137" t="str">
            <v>76419007N</v>
          </cell>
          <cell r="B1137" t="str">
            <v>Trapero González</v>
          </cell>
          <cell r="C1137" t="str">
            <v>Irene</v>
          </cell>
          <cell r="D1137" t="str">
            <v>Trapero González, Irene</v>
          </cell>
          <cell r="E1137" t="str">
            <v>itraperog@professional.universidadviu.com</v>
          </cell>
          <cell r="F1137" t="str">
            <v>itraperog@professional.universidadviu.com</v>
          </cell>
          <cell r="G1137" t="str">
            <v>Yes</v>
          </cell>
          <cell r="H1137" t="str">
            <v>NO</v>
          </cell>
          <cell r="I1137" t="str">
            <v/>
          </cell>
          <cell r="J1137" t="str">
            <v/>
          </cell>
          <cell r="K1137" t="str">
            <v/>
          </cell>
          <cell r="L1137" t="str">
            <v/>
          </cell>
          <cell r="M1137" t="str">
            <v>Professional</v>
          </cell>
          <cell r="N1137"/>
          <cell r="O1137" t="str">
            <v>CSS</v>
          </cell>
          <cell r="P1137">
            <v>0</v>
          </cell>
          <cell r="Q1137" t="str">
            <v xml:space="preserve"> </v>
          </cell>
          <cell r="R1137"/>
          <cell r="S1137"/>
          <cell r="T1137" t="str">
            <v>Sin reducción</v>
          </cell>
          <cell r="U1137">
            <v>0</v>
          </cell>
          <cell r="V1137"/>
          <cell r="W1137"/>
          <cell r="X1137">
            <v>0</v>
          </cell>
          <cell r="Y1137">
            <v>0</v>
          </cell>
          <cell r="Z1137">
            <v>0</v>
          </cell>
          <cell r="AA1137"/>
          <cell r="AB1137" t="str">
            <v>Active - signed</v>
          </cell>
          <cell r="AC1137" t="str">
            <v>ACTIVO</v>
          </cell>
          <cell r="AD1137"/>
          <cell r="AE1137"/>
          <cell r="AF1137"/>
          <cell r="AG1137"/>
          <cell r="AH1137"/>
          <cell r="AI1137" t="str">
            <v>76419007N</v>
          </cell>
        </row>
        <row r="1138">
          <cell r="A1138" t="str">
            <v>13897985M</v>
          </cell>
          <cell r="B1138" t="str">
            <v>Tresgallo Saiz</v>
          </cell>
          <cell r="C1138" t="str">
            <v>Emilio Constantino</v>
          </cell>
          <cell r="D1138" t="str">
            <v>Tresgallo Saiz, Emilio Constantino</v>
          </cell>
          <cell r="E1138" t="str">
            <v>emilio.tresgallo</v>
          </cell>
          <cell r="F1138" t="str">
            <v>emilio.tresgallo@professional.universidadviu.com</v>
          </cell>
          <cell r="G1138" t="str">
            <v>Yes</v>
          </cell>
          <cell r="H1138" t="str">
            <v>NO</v>
          </cell>
          <cell r="I1138" t="str">
            <v>Doctor en Educación</v>
          </cell>
          <cell r="J1138" t="str">
            <v>Licenciado en Filosofía y ciencias de la educación</v>
          </cell>
          <cell r="K1138" t="str">
            <v>Diplomado en Profesorado de Educación General Básica</v>
          </cell>
          <cell r="L1138" t="str">
            <v/>
          </cell>
          <cell r="M1138" t="str">
            <v>Professional</v>
          </cell>
          <cell r="N1138" t="str">
            <v/>
          </cell>
          <cell r="O1138" t="str">
            <v>CSS</v>
          </cell>
          <cell r="P1138">
            <v>0</v>
          </cell>
          <cell r="Q1138" t="str">
            <v xml:space="preserve"> </v>
          </cell>
          <cell r="R1138"/>
          <cell r="S1138"/>
          <cell r="T1138" t="str">
            <v>Sin reducción</v>
          </cell>
          <cell r="U1138">
            <v>0</v>
          </cell>
          <cell r="V1138"/>
          <cell r="W1138"/>
          <cell r="X1138">
            <v>0</v>
          </cell>
          <cell r="Y1138">
            <v>0</v>
          </cell>
          <cell r="Z1138">
            <v>0</v>
          </cell>
          <cell r="AA1138"/>
          <cell r="AB1138" t="str">
            <v>Active - signed</v>
          </cell>
          <cell r="AC1138" t="str">
            <v>ACTIVO</v>
          </cell>
          <cell r="AD1138"/>
          <cell r="AE1138"/>
          <cell r="AF1138"/>
          <cell r="AG1138"/>
          <cell r="AH1138"/>
          <cell r="AI1138" t="str">
            <v>13897985M</v>
          </cell>
        </row>
        <row r="1139">
          <cell r="A1139" t="str">
            <v>18998595C</v>
          </cell>
          <cell r="B1139" t="str">
            <v>Tripiana Sánchez</v>
          </cell>
          <cell r="C1139" t="str">
            <v>Iban</v>
          </cell>
          <cell r="D1139" t="str">
            <v>Tripiana Sánchez, Iban</v>
          </cell>
          <cell r="E1139" t="str">
            <v>iban.tripiana</v>
          </cell>
          <cell r="F1139" t="str">
            <v>iban.tripiana@professional.universidadviu.com</v>
          </cell>
          <cell r="G1139" t="str">
            <v>NO</v>
          </cell>
          <cell r="H1139" t="str">
            <v>NO</v>
          </cell>
          <cell r="I1139" t="str">
            <v>Psicología</v>
          </cell>
          <cell r="J1139" t="str">
            <v>MASTER UNIVERSITARIO EN PSICOPATOLOGÍA, SALUD Y NEUROPSICOLOGÍA</v>
          </cell>
          <cell r="K1139" t="str">
            <v/>
          </cell>
          <cell r="L1139" t="str">
            <v/>
          </cell>
          <cell r="M1139" t="str">
            <v>Professional</v>
          </cell>
          <cell r="N1139" t="str">
            <v/>
          </cell>
          <cell r="O1139" t="str">
            <v>CSS</v>
          </cell>
          <cell r="P1139">
            <v>0</v>
          </cell>
          <cell r="Q1139" t="str">
            <v xml:space="preserve"> </v>
          </cell>
          <cell r="R1139"/>
          <cell r="S1139"/>
          <cell r="T1139" t="str">
            <v>Sin reducción</v>
          </cell>
          <cell r="U1139">
            <v>0</v>
          </cell>
          <cell r="V1139"/>
          <cell r="W1139"/>
          <cell r="X1139">
            <v>0</v>
          </cell>
          <cell r="Y1139">
            <v>0</v>
          </cell>
          <cell r="Z1139">
            <v>0</v>
          </cell>
          <cell r="AA1139"/>
          <cell r="AB1139" t="str">
            <v>Active - signed</v>
          </cell>
          <cell r="AC1139" t="str">
            <v>ACTIVO</v>
          </cell>
          <cell r="AD1139"/>
          <cell r="AE1139"/>
          <cell r="AF1139"/>
          <cell r="AG1139"/>
          <cell r="AH1139"/>
          <cell r="AI1139" t="str">
            <v>18998595C</v>
          </cell>
        </row>
        <row r="1140">
          <cell r="A1140" t="str">
            <v>53206415D</v>
          </cell>
          <cell r="B1140" t="str">
            <v>Tronchoni Albert</v>
          </cell>
          <cell r="C1140" t="str">
            <v>Héctor</v>
          </cell>
          <cell r="D1140" t="str">
            <v>Tronchoni Albert, Héctor</v>
          </cell>
          <cell r="E1140" t="str">
            <v>hector.tronchoni</v>
          </cell>
          <cell r="F1140" t="str">
            <v>hector.tronchoni@professional.universidadviu.com</v>
          </cell>
          <cell r="G1140" t="str">
            <v>Yes</v>
          </cell>
          <cell r="H1140" t="str">
            <v>NO</v>
          </cell>
          <cell r="I1140" t="str">
            <v>Psicología</v>
          </cell>
          <cell r="J1140" t="str">
            <v>Programa Doctorado en Psicología de la Comunicación y Cambio</v>
          </cell>
          <cell r="K1140" t="str">
            <v>Máster Universitario en Psicología de la Cognición y de la Comunicación</v>
          </cell>
          <cell r="L1140" t="str">
            <v/>
          </cell>
          <cell r="M1140" t="str">
            <v>Professional</v>
          </cell>
          <cell r="N1140" t="str">
            <v/>
          </cell>
          <cell r="O1140" t="str">
            <v>CSS</v>
          </cell>
          <cell r="P1140">
            <v>0</v>
          </cell>
          <cell r="Q1140" t="str">
            <v xml:space="preserve"> </v>
          </cell>
          <cell r="R1140"/>
          <cell r="S1140"/>
          <cell r="T1140" t="str">
            <v>Sin reducción</v>
          </cell>
          <cell r="U1140">
            <v>0</v>
          </cell>
          <cell r="V1140"/>
          <cell r="W1140"/>
          <cell r="X1140">
            <v>0</v>
          </cell>
          <cell r="Y1140">
            <v>0</v>
          </cell>
          <cell r="Z1140">
            <v>0</v>
          </cell>
          <cell r="AA1140"/>
          <cell r="AB1140" t="str">
            <v>Active - signed</v>
          </cell>
          <cell r="AC1140" t="str">
            <v>ACTIVO</v>
          </cell>
          <cell r="AD1140"/>
          <cell r="AE1140"/>
          <cell r="AF1140"/>
          <cell r="AG1140"/>
          <cell r="AH1140"/>
          <cell r="AI1140" t="str">
            <v>53206415D</v>
          </cell>
        </row>
        <row r="1141">
          <cell r="A1141" t="str">
            <v>53202944B</v>
          </cell>
          <cell r="B1141" t="str">
            <v>Tronchoni León</v>
          </cell>
          <cell r="C1141" t="str">
            <v>Jordi</v>
          </cell>
          <cell r="D1141" t="str">
            <v>Tronchoni León, Jordi</v>
          </cell>
          <cell r="E1141" t="str">
            <v>jordi.tronchoni</v>
          </cell>
          <cell r="F1141" t="str">
            <v>jordi.tronchoni@professor.universidadviu.com</v>
          </cell>
          <cell r="G1141" t="str">
            <v>Yes</v>
          </cell>
          <cell r="H1141" t="str">
            <v>Yes</v>
          </cell>
          <cell r="I1141" t="str">
            <v>Programa de Doctorado en Biotecnología</v>
          </cell>
          <cell r="J1141" t="str">
            <v>Programa de Doctorado en Biotecnología</v>
          </cell>
          <cell r="K1141" t="str">
            <v>Máster en Biología Molecular, Celular y Genética</v>
          </cell>
          <cell r="L1141" t="str">
            <v>Licenciado en Biología</v>
          </cell>
          <cell r="M1141" t="str">
            <v>Labour</v>
          </cell>
          <cell r="N1141" t="str">
            <v>García Tejedor, Aurora</v>
          </cell>
          <cell r="O1141" t="str">
            <v>CBS</v>
          </cell>
          <cell r="P1141">
            <v>100</v>
          </cell>
          <cell r="Q1141" t="str">
            <v>50</v>
          </cell>
          <cell r="R1141"/>
          <cell r="S1141" t="str">
            <v>2018-2013  2º 2014-2019</v>
          </cell>
          <cell r="T1141" t="str">
            <v>Dirección de título Máster Universitario - 2 ediciones</v>
          </cell>
          <cell r="U1141">
            <v>38</v>
          </cell>
          <cell r="V1141"/>
          <cell r="W1141"/>
          <cell r="X1141">
            <v>0</v>
          </cell>
          <cell r="Y1141">
            <v>0</v>
          </cell>
          <cell r="Z1141">
            <v>12</v>
          </cell>
          <cell r="AA1141"/>
          <cell r="AB1141" t="str">
            <v>Active - signed</v>
          </cell>
          <cell r="AC1141" t="str">
            <v>ACTIVO</v>
          </cell>
          <cell r="AD1141"/>
          <cell r="AE1141"/>
          <cell r="AF1141"/>
          <cell r="AG1141"/>
          <cell r="AH1141"/>
          <cell r="AI1141" t="str">
            <v>53202944B</v>
          </cell>
        </row>
        <row r="1142">
          <cell r="A1142" t="str">
            <v>53632775H</v>
          </cell>
          <cell r="B1142" t="str">
            <v>Tur Doménech</v>
          </cell>
          <cell r="C1142" t="str">
            <v>Cintia</v>
          </cell>
          <cell r="D1142" t="str">
            <v>Tur Doménech, Cintia</v>
          </cell>
          <cell r="E1142" t="str">
            <v>cintia.tur</v>
          </cell>
          <cell r="F1142" t="str">
            <v>cintia.tur@professional.universidadviu.com</v>
          </cell>
          <cell r="G1142" t="str">
            <v>Yes</v>
          </cell>
          <cell r="H1142" t="str">
            <v>NO</v>
          </cell>
          <cell r="I1142" t="str">
            <v>Psicología</v>
          </cell>
          <cell r="J1142" t="str">
            <v>Doctorado en Psicología</v>
          </cell>
          <cell r="K1142" t="str">
            <v>Master universitario en Psicologia General Sanitaria</v>
          </cell>
          <cell r="L1142" t="str">
            <v/>
          </cell>
          <cell r="M1142" t="str">
            <v>Professional</v>
          </cell>
          <cell r="N1142" t="str">
            <v/>
          </cell>
          <cell r="O1142" t="str">
            <v>CSS</v>
          </cell>
          <cell r="P1142">
            <v>0</v>
          </cell>
          <cell r="Q1142" t="str">
            <v xml:space="preserve"> </v>
          </cell>
          <cell r="R1142"/>
          <cell r="S1142"/>
          <cell r="T1142" t="str">
            <v>Sin reducción</v>
          </cell>
          <cell r="U1142">
            <v>0</v>
          </cell>
          <cell r="V1142"/>
          <cell r="W1142"/>
          <cell r="X1142">
            <v>0</v>
          </cell>
          <cell r="Y1142">
            <v>0</v>
          </cell>
          <cell r="Z1142">
            <v>0</v>
          </cell>
          <cell r="AA1142"/>
          <cell r="AB1142" t="str">
            <v>Concluded</v>
          </cell>
          <cell r="AC1142" t="str">
            <v>ACTIVO</v>
          </cell>
          <cell r="AD1142"/>
          <cell r="AE1142"/>
          <cell r="AF1142"/>
          <cell r="AG1142"/>
          <cell r="AH1142"/>
          <cell r="AI1142" t="str">
            <v>53632775H</v>
          </cell>
        </row>
        <row r="1143">
          <cell r="A1143" t="str">
            <v>75145585P</v>
          </cell>
          <cell r="B1143" t="str">
            <v>Ubago Jiménez</v>
          </cell>
          <cell r="C1143" t="str">
            <v>José Luis</v>
          </cell>
          <cell r="D1143" t="str">
            <v>Ubago Jiménez, José Luis</v>
          </cell>
          <cell r="E1143" t="str">
            <v>joseluis.ubago</v>
          </cell>
          <cell r="F1143" t="str">
            <v>joseluis.ubago@professional.universidadviu.com</v>
          </cell>
          <cell r="G1143" t="str">
            <v>Yes</v>
          </cell>
          <cell r="H1143" t="str">
            <v>Yes</v>
          </cell>
          <cell r="I1143" t="str">
            <v>Master universitario en investigación e innovación en curriculum y formación</v>
          </cell>
          <cell r="J1143" t="str">
            <v>Graduado en educación primaria</v>
          </cell>
          <cell r="K1143" t="str">
            <v>Doctorado en Ciencias de la Educación</v>
          </cell>
          <cell r="L1143" t="str">
            <v/>
          </cell>
          <cell r="M1143" t="str">
            <v>Professional</v>
          </cell>
          <cell r="N1143" t="str">
            <v/>
          </cell>
          <cell r="O1143" t="str">
            <v>CSS</v>
          </cell>
          <cell r="P1143">
            <v>0</v>
          </cell>
          <cell r="Q1143" t="str">
            <v xml:space="preserve"> </v>
          </cell>
          <cell r="R1143"/>
          <cell r="S1143"/>
          <cell r="T1143" t="str">
            <v>Sin reducción</v>
          </cell>
          <cell r="U1143">
            <v>0</v>
          </cell>
          <cell r="V1143"/>
          <cell r="W1143"/>
          <cell r="X1143">
            <v>0</v>
          </cell>
          <cell r="Y1143">
            <v>0</v>
          </cell>
          <cell r="Z1143">
            <v>0</v>
          </cell>
          <cell r="AA1143"/>
          <cell r="AB1143" t="str">
            <v>Active - signed</v>
          </cell>
          <cell r="AC1143" t="str">
            <v>ACTIVO</v>
          </cell>
          <cell r="AD1143"/>
          <cell r="AE1143"/>
          <cell r="AF1143"/>
          <cell r="AG1143"/>
          <cell r="AH1143"/>
          <cell r="AI1143" t="str">
            <v>75145585P</v>
          </cell>
        </row>
        <row r="1144">
          <cell r="A1144" t="str">
            <v>01172354K</v>
          </cell>
          <cell r="B1144" t="str">
            <v>Ulla Díez</v>
          </cell>
          <cell r="C1144" t="str">
            <v>Sara</v>
          </cell>
          <cell r="D1144" t="str">
            <v>Ulla Díez, Sara</v>
          </cell>
          <cell r="E1144" t="str">
            <v>sullad@professional.universidadviu.com</v>
          </cell>
          <cell r="F1144" t="str">
            <v>sullad@professional.universidadviu.com</v>
          </cell>
          <cell r="G1144" t="str">
            <v>Yes</v>
          </cell>
          <cell r="H1144" t="str">
            <v>Yes</v>
          </cell>
          <cell r="I1144" t="str">
            <v>Doctorado en Psicología</v>
          </cell>
          <cell r="J1144" t="str">
            <v>Metodología de Investigación en Ciencias de la Salud</v>
          </cell>
          <cell r="K1144" t="str">
            <v>Licenciatura en Psicología</v>
          </cell>
          <cell r="L1144" t="str">
            <v/>
          </cell>
          <cell r="M1144" t="str">
            <v>Professional</v>
          </cell>
          <cell r="N1144" t="str">
            <v/>
          </cell>
          <cell r="O1144" t="str">
            <v>CSS</v>
          </cell>
          <cell r="P1144">
            <v>0</v>
          </cell>
          <cell r="Q1144" t="str">
            <v xml:space="preserve"> </v>
          </cell>
          <cell r="R1144"/>
          <cell r="S1144"/>
          <cell r="T1144" t="str">
            <v>Sin reducción</v>
          </cell>
          <cell r="U1144">
            <v>0</v>
          </cell>
          <cell r="V1144"/>
          <cell r="W1144"/>
          <cell r="X1144">
            <v>0</v>
          </cell>
          <cell r="Y1144">
            <v>0</v>
          </cell>
          <cell r="Z1144">
            <v>0</v>
          </cell>
          <cell r="AA1144"/>
          <cell r="AB1144" t="str">
            <v>Active - signed</v>
          </cell>
          <cell r="AC1144" t="str">
            <v>ACTIVO</v>
          </cell>
          <cell r="AD1144"/>
          <cell r="AE1144"/>
          <cell r="AF1144"/>
          <cell r="AG1144"/>
          <cell r="AH1144"/>
          <cell r="AI1144" t="str">
            <v>01172354K</v>
          </cell>
        </row>
        <row r="1145">
          <cell r="A1145" t="str">
            <v>54964187Y</v>
          </cell>
          <cell r="B1145" t="str">
            <v>Ulloa Guerra</v>
          </cell>
          <cell r="C1145" t="str">
            <v>Óscar</v>
          </cell>
          <cell r="D1145" t="str">
            <v>Ulloa Guerra, Óscar</v>
          </cell>
          <cell r="E1145" t="str">
            <v>oscar.ulloa</v>
          </cell>
          <cell r="F1145" t="str">
            <v>oscar.ulloa@professor.universidadviu.com</v>
          </cell>
          <cell r="G1145" t="str">
            <v>Yes</v>
          </cell>
          <cell r="H1145" t="str">
            <v>Yes</v>
          </cell>
          <cell r="I1145" t="str">
            <v>Doutor em Educaçao</v>
          </cell>
          <cell r="J1145" t="str">
            <v>Doutor em Educaçao</v>
          </cell>
          <cell r="K1145" t="str">
            <v>Licenciado en Psicología</v>
          </cell>
          <cell r="L1145" t="str">
            <v/>
          </cell>
          <cell r="M1145" t="str">
            <v>Labour</v>
          </cell>
          <cell r="N1145"/>
          <cell r="O1145" t="str">
            <v>CSS</v>
          </cell>
          <cell r="P1145" t="str">
            <v>40,00</v>
          </cell>
          <cell r="Q1145" t="b">
            <v>0</v>
          </cell>
          <cell r="R1145"/>
          <cell r="S1145"/>
          <cell r="T1145" t="str">
            <v>Sin reducción</v>
          </cell>
          <cell r="U1145">
            <v>0</v>
          </cell>
          <cell r="V1145">
            <v>31</v>
          </cell>
          <cell r="W1145" t="str">
            <v>EDUCACIÓN</v>
          </cell>
          <cell r="X1145">
            <v>0</v>
          </cell>
          <cell r="Y1145">
            <v>0</v>
          </cell>
          <cell r="Z1145">
            <v>0</v>
          </cell>
          <cell r="AA1145"/>
          <cell r="AB1145" t="str">
            <v>Concluded</v>
          </cell>
          <cell r="AC1145" t="str">
            <v>NO ACTIVO</v>
          </cell>
          <cell r="AD1145"/>
          <cell r="AE1145"/>
          <cell r="AF1145">
            <v>45405</v>
          </cell>
          <cell r="AG1145" t="str">
            <v>CESE DE CONTRATO</v>
          </cell>
          <cell r="AH1145"/>
          <cell r="AI1145" t="str">
            <v>54964187Y</v>
          </cell>
        </row>
        <row r="1146">
          <cell r="A1146" t="str">
            <v>25340660L</v>
          </cell>
          <cell r="B1146" t="str">
            <v>Vadillo Padilla</v>
          </cell>
          <cell r="C1146" t="str">
            <v>Miguel</v>
          </cell>
          <cell r="D1146" t="str">
            <v>Vadillo Padilla, Miguel</v>
          </cell>
          <cell r="E1146" t="str">
            <v>mvadillop@professional.universidadviu.com</v>
          </cell>
          <cell r="F1146" t="str">
            <v>mvadillop@professional.universidadviu.com</v>
          </cell>
          <cell r="G1146" t="str">
            <v>NO</v>
          </cell>
          <cell r="H1146" t="str">
            <v>NO</v>
          </cell>
          <cell r="I1146" t="str">
            <v>Máster Sanitario de Práctica Clínica</v>
          </cell>
          <cell r="J1146" t="str">
            <v>Licenciado en Psicología</v>
          </cell>
          <cell r="K1146" t="str">
            <v/>
          </cell>
          <cell r="L1146" t="str">
            <v/>
          </cell>
          <cell r="M1146" t="str">
            <v>Professional</v>
          </cell>
          <cell r="N1146" t="str">
            <v/>
          </cell>
          <cell r="O1146" t="str">
            <v>CSS</v>
          </cell>
          <cell r="P1146">
            <v>0</v>
          </cell>
          <cell r="Q1146" t="str">
            <v xml:space="preserve"> </v>
          </cell>
          <cell r="R1146"/>
          <cell r="S1146"/>
          <cell r="T1146" t="str">
            <v>Sin reducción</v>
          </cell>
          <cell r="U1146">
            <v>0</v>
          </cell>
          <cell r="V1146"/>
          <cell r="W1146"/>
          <cell r="X1146">
            <v>0</v>
          </cell>
          <cell r="Y1146">
            <v>0</v>
          </cell>
          <cell r="Z1146">
            <v>0</v>
          </cell>
          <cell r="AA1146"/>
          <cell r="AB1146" t="str">
            <v>Active - signed</v>
          </cell>
          <cell r="AC1146" t="str">
            <v>ACTIVO</v>
          </cell>
          <cell r="AD1146"/>
          <cell r="AE1146"/>
          <cell r="AF1146"/>
          <cell r="AG1146"/>
          <cell r="AH1146"/>
          <cell r="AI1146" t="str">
            <v>25340660L</v>
          </cell>
        </row>
        <row r="1147">
          <cell r="A1147" t="str">
            <v>47458161F</v>
          </cell>
          <cell r="B1147" t="str">
            <v>Valdés García</v>
          </cell>
          <cell r="C1147" t="str">
            <v>Enric</v>
          </cell>
          <cell r="D1147" t="str">
            <v>Valdés García, Enric</v>
          </cell>
          <cell r="E1147" t="str">
            <v>enric.valdes</v>
          </cell>
          <cell r="F1147" t="str">
            <v>enric.valdes@professional.universidadviu.com</v>
          </cell>
          <cell r="G1147" t="str">
            <v>NO</v>
          </cell>
          <cell r="H1147" t="str">
            <v>NO</v>
          </cell>
          <cell r="I1147" t="str">
            <v>Enfermería</v>
          </cell>
          <cell r="J1147" t="str">
            <v>Master en bases, procedimientos y tecnicas aplicadas al manejo critico y de emergencias</v>
          </cell>
          <cell r="K1147" t="str">
            <v/>
          </cell>
          <cell r="L1147" t="str">
            <v/>
          </cell>
          <cell r="M1147" t="str">
            <v>Professional</v>
          </cell>
          <cell r="N1147" t="str">
            <v/>
          </cell>
          <cell r="O1147" t="str">
            <v>CBS</v>
          </cell>
          <cell r="P1147">
            <v>0</v>
          </cell>
          <cell r="Q1147" t="str">
            <v xml:space="preserve"> </v>
          </cell>
          <cell r="R1147"/>
          <cell r="S1147"/>
          <cell r="T1147" t="str">
            <v>Sin reducción</v>
          </cell>
          <cell r="U1147">
            <v>0</v>
          </cell>
          <cell r="V1147"/>
          <cell r="W1147"/>
          <cell r="X1147">
            <v>0</v>
          </cell>
          <cell r="Y1147">
            <v>0</v>
          </cell>
          <cell r="Z1147">
            <v>0</v>
          </cell>
          <cell r="AA1147"/>
          <cell r="AB1147" t="str">
            <v>Active - signed</v>
          </cell>
          <cell r="AC1147" t="str">
            <v>ACTIVO</v>
          </cell>
          <cell r="AD1147"/>
          <cell r="AE1147"/>
          <cell r="AF1147"/>
          <cell r="AG1147"/>
          <cell r="AH1147"/>
          <cell r="AI1147" t="str">
            <v>47458161F</v>
          </cell>
        </row>
        <row r="1148">
          <cell r="A1148" t="str">
            <v>26032208A</v>
          </cell>
          <cell r="B1148" t="str">
            <v>Valdivia Vasco</v>
          </cell>
          <cell r="C1148" t="str">
            <v>Rafael Alejandro</v>
          </cell>
          <cell r="D1148" t="str">
            <v>Valdivia Vasco, Rafael Alejandro</v>
          </cell>
          <cell r="E1148" t="str">
            <v>rafael.valdivia</v>
          </cell>
          <cell r="F1148" t="str">
            <v>rafael.valdivia@professor.universidadviu.com</v>
          </cell>
          <cell r="G1148" t="str">
            <v>Yes</v>
          </cell>
          <cell r="H1148" t="str">
            <v>NO</v>
          </cell>
          <cell r="I1148" t="str">
            <v>Programa de doctorado en Psicología</v>
          </cell>
          <cell r="J1148" t="str">
            <v>Programa de doctorado en Psicología</v>
          </cell>
          <cell r="K1148" t="str">
            <v>Máster Universitario en Profesorado de Enseñanza Secundaria Obligatoria y Bachillerato, Formación Profesional y Enseñanza de Idiomas</v>
          </cell>
          <cell r="L1148" t="str">
            <v>Licenciado en Psicología</v>
          </cell>
          <cell r="M1148" t="str">
            <v>Labour</v>
          </cell>
          <cell r="N1148" t="str">
            <v>Iranzo Ejarque, Begoña</v>
          </cell>
          <cell r="O1148" t="str">
            <v>CSS</v>
          </cell>
          <cell r="P1148">
            <v>100</v>
          </cell>
          <cell r="Q1148" t="str">
            <v>50</v>
          </cell>
          <cell r="R1148"/>
          <cell r="S1148"/>
          <cell r="T1148" t="str">
            <v>Sin reducción</v>
          </cell>
          <cell r="U1148">
            <v>0</v>
          </cell>
          <cell r="V1148"/>
          <cell r="W1148"/>
          <cell r="X1148">
            <v>45</v>
          </cell>
          <cell r="Y1148">
            <v>0</v>
          </cell>
          <cell r="Z1148">
            <v>0</v>
          </cell>
          <cell r="AA1148"/>
          <cell r="AB1148" t="str">
            <v>Active - signed</v>
          </cell>
          <cell r="AC1148" t="str">
            <v>ACTIVO</v>
          </cell>
          <cell r="AD1148"/>
          <cell r="AE1148"/>
          <cell r="AF1148"/>
          <cell r="AG1148"/>
          <cell r="AH1148"/>
          <cell r="AI1148" t="str">
            <v>26032208A</v>
          </cell>
        </row>
        <row r="1149">
          <cell r="A1149" t="str">
            <v>09261231M</v>
          </cell>
          <cell r="B1149" t="str">
            <v>Valentín Centeno</v>
          </cell>
          <cell r="C1149" t="str">
            <v>Alberto</v>
          </cell>
          <cell r="D1149" t="str">
            <v>Valentín Centeno, Alberto</v>
          </cell>
          <cell r="E1149" t="str">
            <v>alberto.valentin</v>
          </cell>
          <cell r="F1149" t="str">
            <v>alberto.valentin@professional.universidadviu.com</v>
          </cell>
          <cell r="G1149" t="str">
            <v>Yes</v>
          </cell>
          <cell r="H1149" t="str">
            <v>Yes</v>
          </cell>
          <cell r="I1149" t="str">
            <v>Doctorado</v>
          </cell>
          <cell r="J1149" t="str">
            <v/>
          </cell>
          <cell r="K1149" t="str">
            <v/>
          </cell>
          <cell r="L1149" t="str">
            <v/>
          </cell>
          <cell r="M1149" t="str">
            <v>Professional</v>
          </cell>
          <cell r="N1149" t="str">
            <v/>
          </cell>
          <cell r="O1149" t="str">
            <v>CSS</v>
          </cell>
          <cell r="P1149">
            <v>0</v>
          </cell>
          <cell r="Q1149" t="str">
            <v xml:space="preserve"> </v>
          </cell>
          <cell r="R1149"/>
          <cell r="S1149"/>
          <cell r="T1149" t="str">
            <v>Sin reducción</v>
          </cell>
          <cell r="U1149">
            <v>0</v>
          </cell>
          <cell r="V1149"/>
          <cell r="W1149"/>
          <cell r="X1149">
            <v>0</v>
          </cell>
          <cell r="Y1149">
            <v>0</v>
          </cell>
          <cell r="Z1149">
            <v>0</v>
          </cell>
          <cell r="AA1149"/>
          <cell r="AB1149" t="str">
            <v>Active - signed</v>
          </cell>
          <cell r="AC1149" t="str">
            <v>ACTIVO</v>
          </cell>
          <cell r="AD1149"/>
          <cell r="AE1149"/>
          <cell r="AF1149"/>
          <cell r="AG1149"/>
          <cell r="AH1149"/>
          <cell r="AI1149" t="str">
            <v>09261231M</v>
          </cell>
        </row>
        <row r="1150">
          <cell r="A1150" t="str">
            <v>22580149Z</v>
          </cell>
          <cell r="B1150" t="str">
            <v>Valera Lloris</v>
          </cell>
          <cell r="C1150" t="str">
            <v>Raquel</v>
          </cell>
          <cell r="D1150" t="str">
            <v>Valera Lloris, Raquel</v>
          </cell>
          <cell r="E1150" t="str">
            <v>raquel.valera</v>
          </cell>
          <cell r="F1150" t="str">
            <v>raquel.valera@professional.universidadviu.com</v>
          </cell>
          <cell r="G1150" t="str">
            <v>Yes</v>
          </cell>
          <cell r="H1150" t="str">
            <v>NO</v>
          </cell>
          <cell r="I1150" t="str">
            <v>Enfermería</v>
          </cell>
          <cell r="J1150" t="str">
            <v>Programa Doctorado en Enfermería</v>
          </cell>
          <cell r="K1150" t="str">
            <v/>
          </cell>
          <cell r="L1150" t="str">
            <v/>
          </cell>
          <cell r="M1150" t="str">
            <v>Professional</v>
          </cell>
          <cell r="N1150" t="str">
            <v/>
          </cell>
          <cell r="O1150" t="str">
            <v>CBS/CSS</v>
          </cell>
          <cell r="P1150">
            <v>0</v>
          </cell>
          <cell r="Q1150" t="str">
            <v xml:space="preserve"> </v>
          </cell>
          <cell r="R1150"/>
          <cell r="S1150"/>
          <cell r="T1150" t="str">
            <v>Sin reducción</v>
          </cell>
          <cell r="U1150">
            <v>0</v>
          </cell>
          <cell r="V1150"/>
          <cell r="W1150"/>
          <cell r="X1150">
            <v>0</v>
          </cell>
          <cell r="Y1150">
            <v>0</v>
          </cell>
          <cell r="Z1150">
            <v>0</v>
          </cell>
          <cell r="AA1150"/>
          <cell r="AB1150" t="str">
            <v>Active - signed</v>
          </cell>
          <cell r="AC1150" t="str">
            <v>ACTIVO</v>
          </cell>
          <cell r="AD1150"/>
          <cell r="AE1150"/>
          <cell r="AF1150"/>
          <cell r="AG1150"/>
          <cell r="AH1150"/>
          <cell r="AI1150" t="str">
            <v>22580149Z</v>
          </cell>
        </row>
        <row r="1151">
          <cell r="A1151" t="str">
            <v>33453550G</v>
          </cell>
          <cell r="B1151" t="str">
            <v>Valero Chaves</v>
          </cell>
          <cell r="C1151" t="str">
            <v>Mónica</v>
          </cell>
          <cell r="D1151" t="str">
            <v>Valero Chaves, Mónica</v>
          </cell>
          <cell r="E1151" t="str">
            <v>monica.valero.c</v>
          </cell>
          <cell r="F1151" t="str">
            <v>monica.valero.c@professional.universidadviu.com</v>
          </cell>
          <cell r="G1151" t="str">
            <v>Yes</v>
          </cell>
          <cell r="H1151" t="str">
            <v>NO</v>
          </cell>
          <cell r="I1151" t="str">
            <v>Programa de Doctorado en Psicología</v>
          </cell>
          <cell r="J1151" t="str">
            <v>Licenciada en Administración y Dirección de Empresas</v>
          </cell>
          <cell r="K1151" t="str">
            <v xml:space="preserve">Máster Universitario en Estrategia de Empresa </v>
          </cell>
          <cell r="L1151" t="str">
            <v/>
          </cell>
          <cell r="M1151" t="str">
            <v>Professional</v>
          </cell>
          <cell r="N1151"/>
          <cell r="O1151" t="str">
            <v>CSS</v>
          </cell>
          <cell r="P1151">
            <v>0</v>
          </cell>
          <cell r="Q1151" t="str">
            <v xml:space="preserve"> </v>
          </cell>
          <cell r="R1151"/>
          <cell r="S1151"/>
          <cell r="T1151" t="str">
            <v>Sin reducción</v>
          </cell>
          <cell r="U1151">
            <v>0</v>
          </cell>
          <cell r="V1151"/>
          <cell r="W1151"/>
          <cell r="X1151">
            <v>0</v>
          </cell>
          <cell r="Y1151">
            <v>0</v>
          </cell>
          <cell r="Z1151">
            <v>0</v>
          </cell>
          <cell r="AA1151"/>
          <cell r="AB1151" t="str">
            <v>Active - signed</v>
          </cell>
          <cell r="AC1151" t="str">
            <v>ACTIVO</v>
          </cell>
          <cell r="AD1151"/>
          <cell r="AE1151"/>
          <cell r="AF1151"/>
          <cell r="AG1151"/>
          <cell r="AI1151" t="str">
            <v>33453550G</v>
          </cell>
        </row>
        <row r="1152">
          <cell r="A1152" t="str">
            <v>33467093T</v>
          </cell>
          <cell r="B1152" t="str">
            <v>Valero Rello</v>
          </cell>
          <cell r="C1152" t="str">
            <v>Ana</v>
          </cell>
          <cell r="D1152" t="str">
            <v>Valero Rello, Ana</v>
          </cell>
          <cell r="E1152" t="str">
            <v>ana.valero</v>
          </cell>
          <cell r="F1152" t="str">
            <v>ana.valero@professional.universidadviu.com</v>
          </cell>
          <cell r="G1152" t="str">
            <v>Yes</v>
          </cell>
          <cell r="H1152" t="str">
            <v>Yes</v>
          </cell>
          <cell r="I1152" t="str">
            <v>Biología y Genética</v>
          </cell>
          <cell r="J1152" t="str">
            <v>Sistemas agrícolas forestales y alimentarios</v>
          </cell>
          <cell r="K1152" t="str">
            <v/>
          </cell>
          <cell r="L1152" t="str">
            <v/>
          </cell>
          <cell r="M1152" t="str">
            <v>Professional</v>
          </cell>
          <cell r="N1152" t="str">
            <v/>
          </cell>
          <cell r="O1152" t="str">
            <v>CBS</v>
          </cell>
          <cell r="P1152">
            <v>0</v>
          </cell>
          <cell r="Q1152" t="str">
            <v xml:space="preserve"> </v>
          </cell>
          <cell r="R1152"/>
          <cell r="S1152"/>
          <cell r="T1152" t="str">
            <v>Sin reducción</v>
          </cell>
          <cell r="U1152">
            <v>0</v>
          </cell>
          <cell r="V1152"/>
          <cell r="W1152"/>
          <cell r="X1152">
            <v>0</v>
          </cell>
          <cell r="Y1152">
            <v>0</v>
          </cell>
          <cell r="Z1152">
            <v>0</v>
          </cell>
          <cell r="AA1152"/>
          <cell r="AB1152" t="str">
            <v>Concluded</v>
          </cell>
          <cell r="AC1152" t="str">
            <v>NO ACTIVO</v>
          </cell>
          <cell r="AD1152"/>
          <cell r="AE1152"/>
          <cell r="AF1152">
            <v>45224</v>
          </cell>
          <cell r="AG1152" t="str">
            <v>CESE DE CONTRATO</v>
          </cell>
          <cell r="AH1152"/>
          <cell r="AI1152" t="str">
            <v>33467093T</v>
          </cell>
        </row>
        <row r="1153">
          <cell r="A1153" t="str">
            <v>53071375W</v>
          </cell>
          <cell r="B1153" t="str">
            <v>Valiente Gómez</v>
          </cell>
          <cell r="C1153" t="str">
            <v>Alicia</v>
          </cell>
          <cell r="D1153" t="str">
            <v>Valiente Gómez, Alicia</v>
          </cell>
          <cell r="E1153" t="str">
            <v>alicia.valiente</v>
          </cell>
          <cell r="F1153" t="str">
            <v>alicia.valiente@professional.universidadviu.com</v>
          </cell>
          <cell r="G1153" t="str">
            <v>Yes</v>
          </cell>
          <cell r="H1153" t="str">
            <v>NO</v>
          </cell>
          <cell r="I1153" t="str">
            <v>Master universitario en investigación en ciencias clinicas</v>
          </cell>
          <cell r="J1153" t="str">
            <v>Postgrado en diseño y estadistica en ciencias de la salud</v>
          </cell>
          <cell r="K1153" t="str">
            <v>Medica especialista en psiquiatria</v>
          </cell>
          <cell r="L1153" t="str">
            <v>Licenciatura en Medicina</v>
          </cell>
          <cell r="M1153" t="str">
            <v>Professional</v>
          </cell>
          <cell r="N1153" t="str">
            <v/>
          </cell>
          <cell r="O1153" t="str">
            <v>CBS</v>
          </cell>
          <cell r="P1153">
            <v>0</v>
          </cell>
          <cell r="Q1153" t="str">
            <v xml:space="preserve"> </v>
          </cell>
          <cell r="R1153"/>
          <cell r="S1153"/>
          <cell r="T1153" t="str">
            <v>Sin reducción</v>
          </cell>
          <cell r="U1153">
            <v>0</v>
          </cell>
          <cell r="V1153"/>
          <cell r="W1153"/>
          <cell r="X1153">
            <v>0</v>
          </cell>
          <cell r="Y1153">
            <v>0</v>
          </cell>
          <cell r="Z1153">
            <v>0</v>
          </cell>
          <cell r="AA1153"/>
          <cell r="AB1153" t="str">
            <v>Concluded</v>
          </cell>
          <cell r="AC1153" t="str">
            <v>NO ACTIVO</v>
          </cell>
          <cell r="AD1153"/>
          <cell r="AE1153"/>
          <cell r="AF1153"/>
          <cell r="AG1153" t="str">
            <v>CESE DE CONTRATO</v>
          </cell>
          <cell r="AH1153"/>
          <cell r="AI1153" t="str">
            <v>53071375W</v>
          </cell>
        </row>
        <row r="1154">
          <cell r="A1154" t="str">
            <v>47095124W</v>
          </cell>
          <cell r="B1154" t="str">
            <v>Valiente Parra</v>
          </cell>
          <cell r="C1154" t="str">
            <v>Nicolás</v>
          </cell>
          <cell r="D1154" t="str">
            <v>Valiente Parra, Nicolás</v>
          </cell>
          <cell r="E1154" t="str">
            <v>nicolas.valiente</v>
          </cell>
          <cell r="F1154" t="str">
            <v>nicolas.valiente@professional.universidadviu.com</v>
          </cell>
          <cell r="G1154" t="str">
            <v>Yes</v>
          </cell>
          <cell r="H1154" t="str">
            <v>Yes</v>
          </cell>
          <cell r="I1154" t="str">
            <v>Bioquímica</v>
          </cell>
          <cell r="J1154" t="str">
            <v>INGENIERÍA TÉCNICA FORESTAL, ESP. EXPLOTACIONES FORESTALES</v>
          </cell>
          <cell r="K1154" t="str">
            <v>EXPERTO UNIVERSITARIO EN TÉCNICAS DE BIOLOGÍA MOLECULAR APLICADAS A LA TOXICOLOGÍA AMBIENTAL</v>
          </cell>
          <cell r="L1154" t="str">
            <v>MASTER UNIVERSITARIO EN CIENCIA E INGENIERIA AGRARIA</v>
          </cell>
          <cell r="M1154" t="str">
            <v>Professional</v>
          </cell>
          <cell r="N1154" t="str">
            <v/>
          </cell>
          <cell r="O1154" t="str">
            <v>CBS</v>
          </cell>
          <cell r="P1154">
            <v>0</v>
          </cell>
          <cell r="Q1154" t="str">
            <v xml:space="preserve"> </v>
          </cell>
          <cell r="R1154"/>
          <cell r="S1154"/>
          <cell r="T1154" t="str">
            <v>Sin reducción</v>
          </cell>
          <cell r="U1154">
            <v>0</v>
          </cell>
          <cell r="V1154"/>
          <cell r="W1154"/>
          <cell r="X1154">
            <v>0</v>
          </cell>
          <cell r="Y1154">
            <v>0</v>
          </cell>
          <cell r="Z1154">
            <v>0</v>
          </cell>
          <cell r="AA1154"/>
          <cell r="AB1154" t="str">
            <v>Active - signed</v>
          </cell>
          <cell r="AC1154" t="str">
            <v>ACTIVO</v>
          </cell>
          <cell r="AD1154"/>
          <cell r="AE1154"/>
          <cell r="AF1154"/>
          <cell r="AG1154"/>
          <cell r="AH1154"/>
          <cell r="AI1154" t="str">
            <v>47095124W</v>
          </cell>
        </row>
        <row r="1155">
          <cell r="A1155" t="str">
            <v>25126556E</v>
          </cell>
          <cell r="B1155" t="str">
            <v>Vallalta Rueda</v>
          </cell>
          <cell r="C1155" t="str">
            <v>Juan Francisco</v>
          </cell>
          <cell r="D1155" t="str">
            <v>Vallalta Rueda, Juan Francisco</v>
          </cell>
          <cell r="E1155" t="str">
            <v>juanfrancisco.vallalta</v>
          </cell>
          <cell r="F1155" t="str">
            <v>juanfrancisco.vallalta@professor.universidadviu.com</v>
          </cell>
          <cell r="G1155" t="str">
            <v>NO</v>
          </cell>
          <cell r="H1155" t="str">
            <v>NO</v>
          </cell>
          <cell r="I1155" t="str">
            <v>Dirección estratégica de la tecnología</v>
          </cell>
          <cell r="J1155" t="str">
            <v>Biostatistics in Public Health</v>
          </cell>
          <cell r="K1155" t="str">
            <v>AI for Medicine</v>
          </cell>
          <cell r="L1155" t="str">
            <v>Especialización en Análisis y Minería de Datos</v>
          </cell>
          <cell r="M1155" t="str">
            <v>Labour</v>
          </cell>
          <cell r="N1155" t="str">
            <v>Pellín Carcelén, Ana</v>
          </cell>
          <cell r="O1155" t="str">
            <v>CBS</v>
          </cell>
          <cell r="P1155">
            <v>100</v>
          </cell>
          <cell r="Q1155" t="str">
            <v>50</v>
          </cell>
          <cell r="R1155"/>
          <cell r="S1155"/>
          <cell r="T1155" t="str">
            <v>Sin reducción</v>
          </cell>
          <cell r="U1155">
            <v>0</v>
          </cell>
          <cell r="V1155">
            <v>12</v>
          </cell>
          <cell r="W1155" t="str">
            <v>ESCUELA</v>
          </cell>
          <cell r="X1155">
            <v>0</v>
          </cell>
          <cell r="Y1155">
            <v>0</v>
          </cell>
          <cell r="Z1155">
            <v>37.799999999999997</v>
          </cell>
          <cell r="AA1155"/>
          <cell r="AB1155" t="str">
            <v>Active - signed</v>
          </cell>
          <cell r="AC1155" t="str">
            <v>ACTIVO</v>
          </cell>
          <cell r="AD1155"/>
          <cell r="AE1155"/>
          <cell r="AF1155"/>
          <cell r="AG1155"/>
          <cell r="AH1155"/>
          <cell r="AI1155" t="str">
            <v>25126556E</v>
          </cell>
        </row>
        <row r="1156">
          <cell r="A1156" t="str">
            <v>26897731J</v>
          </cell>
          <cell r="B1156" t="str">
            <v>Valles González</v>
          </cell>
          <cell r="C1156" t="str">
            <v>Beatriz Rosa</v>
          </cell>
          <cell r="D1156" t="str">
            <v>Valles González, Beatriz Rosa</v>
          </cell>
          <cell r="E1156" t="str">
            <v>beatriz.valles</v>
          </cell>
          <cell r="F1156" t="str">
            <v>beatriz.valles@professor.universidadviu.com</v>
          </cell>
          <cell r="G1156" t="str">
            <v>Yes</v>
          </cell>
          <cell r="H1156" t="str">
            <v>Yes</v>
          </cell>
          <cell r="I1156" t="str">
            <v>Doctorado</v>
          </cell>
          <cell r="J1156" t="str">
            <v>Doctorado</v>
          </cell>
          <cell r="K1156" t="str">
            <v>Diplomada en Logopedia</v>
          </cell>
          <cell r="L1156" t="str">
            <v/>
          </cell>
          <cell r="M1156" t="str">
            <v>Labour</v>
          </cell>
          <cell r="N1156" t="str">
            <v>Consultar Vicerrectorado de Investigación</v>
          </cell>
          <cell r="O1156" t="str">
            <v>CBS</v>
          </cell>
          <cell r="P1156">
            <v>100</v>
          </cell>
          <cell r="Q1156" t="str">
            <v>50</v>
          </cell>
          <cell r="R1156"/>
          <cell r="S1156"/>
          <cell r="T1156" t="str">
            <v>Investigador/a Senior</v>
          </cell>
          <cell r="U1156" t="str">
            <v>38</v>
          </cell>
          <cell r="V1156"/>
          <cell r="W1156"/>
          <cell r="X1156">
            <v>0</v>
          </cell>
          <cell r="Y1156">
            <v>6</v>
          </cell>
          <cell r="Z1156">
            <v>0</v>
          </cell>
          <cell r="AA1156"/>
          <cell r="AB1156" t="str">
            <v>Active - signed</v>
          </cell>
          <cell r="AC1156" t="str">
            <v>ACTIVO</v>
          </cell>
          <cell r="AD1156"/>
          <cell r="AE1156"/>
          <cell r="AF1156"/>
          <cell r="AG1156"/>
          <cell r="AH1156"/>
          <cell r="AI1156" t="str">
            <v>26897731J</v>
          </cell>
        </row>
        <row r="1157">
          <cell r="A1157" t="str">
            <v>48533521W</v>
          </cell>
          <cell r="B1157" t="str">
            <v>Valls Mollá</v>
          </cell>
          <cell r="C1157" t="str">
            <v>Lydia</v>
          </cell>
          <cell r="D1157" t="str">
            <v>Valls Mollá, Lydia</v>
          </cell>
          <cell r="E1157" t="str">
            <v>lvallsm@professional.universidadviu.com</v>
          </cell>
          <cell r="F1157" t="str">
            <v>lvallsm@professional.universidadviu.com</v>
          </cell>
          <cell r="G1157" t="str">
            <v>NO</v>
          </cell>
          <cell r="H1157" t="str">
            <v>NO</v>
          </cell>
          <cell r="I1157" t="str">
            <v>máster universitario en psicología general sanitaria</v>
          </cell>
          <cell r="J1157" t="str">
            <v>Máster universitario en psicología jurídica y forense</v>
          </cell>
          <cell r="K1157" t="str">
            <v/>
          </cell>
          <cell r="L1157" t="str">
            <v/>
          </cell>
          <cell r="M1157" t="str">
            <v>Professional</v>
          </cell>
          <cell r="N1157"/>
          <cell r="O1157" t="str">
            <v>CSS</v>
          </cell>
          <cell r="P1157">
            <v>0</v>
          </cell>
          <cell r="Q1157" t="str">
            <v xml:space="preserve"> </v>
          </cell>
          <cell r="R1157"/>
          <cell r="S1157"/>
          <cell r="T1157" t="str">
            <v>Sin reducción</v>
          </cell>
          <cell r="U1157">
            <v>0</v>
          </cell>
          <cell r="V1157"/>
          <cell r="W1157"/>
          <cell r="X1157">
            <v>0</v>
          </cell>
          <cell r="Y1157">
            <v>0</v>
          </cell>
          <cell r="Z1157">
            <v>0</v>
          </cell>
          <cell r="AA1157"/>
          <cell r="AB1157" t="str">
            <v>Active - signed</v>
          </cell>
          <cell r="AC1157" t="str">
            <v>ACTIVO</v>
          </cell>
          <cell r="AD1157"/>
          <cell r="AE1157"/>
          <cell r="AF1157"/>
          <cell r="AG1157"/>
          <cell r="AH1157"/>
          <cell r="AI1157" t="str">
            <v>48533521W</v>
          </cell>
        </row>
        <row r="1158">
          <cell r="A1158" t="str">
            <v>71653003E</v>
          </cell>
          <cell r="B1158" t="str">
            <v>Vaquero Tejedor</v>
          </cell>
          <cell r="C1158" t="str">
            <v>Juan Ramón</v>
          </cell>
          <cell r="D1158" t="str">
            <v>Vaquero Tejedor, Juan Ramón</v>
          </cell>
          <cell r="E1158" t="str">
            <v>jtejedorv@professional.universidadviu.com</v>
          </cell>
          <cell r="F1158" t="str">
            <v>jtejedorv@professional.universidadviu.com</v>
          </cell>
          <cell r="G1158" t="str">
            <v>NO</v>
          </cell>
          <cell r="H1158" t="str">
            <v>NO</v>
          </cell>
          <cell r="I1158" t="str">
            <v>Doctorado en Biomedicina</v>
          </cell>
          <cell r="J1158" t="str">
            <v>Master Universitario en Investigación Biomédica</v>
          </cell>
          <cell r="K1158" t="str">
            <v>Licenciatura en Bioquímica</v>
          </cell>
          <cell r="L1158" t="str">
            <v/>
          </cell>
          <cell r="M1158" t="str">
            <v>Professional</v>
          </cell>
          <cell r="N1158"/>
          <cell r="O1158" t="str">
            <v>CBS</v>
          </cell>
          <cell r="P1158">
            <v>0</v>
          </cell>
          <cell r="Q1158" t="str">
            <v xml:space="preserve"> </v>
          </cell>
          <cell r="R1158"/>
          <cell r="S1158"/>
          <cell r="T1158" t="str">
            <v>Sin reducción</v>
          </cell>
          <cell r="U1158">
            <v>0</v>
          </cell>
          <cell r="V1158"/>
          <cell r="W1158"/>
          <cell r="X1158">
            <v>0</v>
          </cell>
          <cell r="Y1158">
            <v>0</v>
          </cell>
          <cell r="Z1158">
            <v>0</v>
          </cell>
          <cell r="AA1158"/>
          <cell r="AB1158" t="str">
            <v>Active - signed</v>
          </cell>
          <cell r="AC1158" t="str">
            <v>ACTIVO</v>
          </cell>
          <cell r="AD1158"/>
          <cell r="AE1158"/>
          <cell r="AF1158"/>
          <cell r="AG1158"/>
          <cell r="AH1158"/>
          <cell r="AI1158" t="str">
            <v>71653003E</v>
          </cell>
        </row>
        <row r="1159">
          <cell r="A1159" t="str">
            <v>50554516X</v>
          </cell>
          <cell r="B1159" t="str">
            <v>Vara Cilla</v>
          </cell>
          <cell r="C1159" t="str">
            <v>Alba</v>
          </cell>
          <cell r="D1159" t="str">
            <v>Vara Cilla, Alba</v>
          </cell>
          <cell r="E1159" t="str">
            <v>avarac@professor.universidadviu.com</v>
          </cell>
          <cell r="F1159" t="str">
            <v>avarac@professor.universidadviu.com</v>
          </cell>
          <cell r="G1159" t="str">
            <v>Yes</v>
          </cell>
          <cell r="H1159" t="str">
            <v>NO</v>
          </cell>
          <cell r="I1159" t="str">
            <v>Programa de Doctorado en Psicología</v>
          </cell>
          <cell r="J1159" t="str">
            <v>Programa de Doctorado en Psicología</v>
          </cell>
          <cell r="K1159" t="str">
            <v>Máster en Ciencias Forenses, especialidad de Psicología Forense y Penitenciaria</v>
          </cell>
          <cell r="L1159" t="str">
            <v>Licenciada en Psicología</v>
          </cell>
          <cell r="M1159" t="str">
            <v>Labour</v>
          </cell>
          <cell r="N1159"/>
          <cell r="O1159" t="str">
            <v>CSS</v>
          </cell>
          <cell r="P1159" t="str">
            <v>30,00</v>
          </cell>
          <cell r="Q1159" t="b">
            <v>0</v>
          </cell>
          <cell r="R1159"/>
          <cell r="S1159"/>
          <cell r="T1159" t="str">
            <v>Sin reducción</v>
          </cell>
          <cell r="U1159">
            <v>0</v>
          </cell>
          <cell r="V1159"/>
          <cell r="W1159"/>
          <cell r="X1159">
            <v>0</v>
          </cell>
          <cell r="Y1159">
            <v>0</v>
          </cell>
          <cell r="Z1159">
            <v>0</v>
          </cell>
          <cell r="AA1159"/>
          <cell r="AB1159" t="str">
            <v>Concluded</v>
          </cell>
          <cell r="AC1159" t="str">
            <v>NO ACTIVO</v>
          </cell>
          <cell r="AD1159"/>
          <cell r="AE1159"/>
          <cell r="AF1159">
            <v>45715</v>
          </cell>
          <cell r="AG1159" t="str">
            <v>CESE DE CONTRATO</v>
          </cell>
          <cell r="AH1159"/>
          <cell r="AI1159" t="str">
            <v>50554516X</v>
          </cell>
        </row>
        <row r="1160">
          <cell r="A1160" t="str">
            <v>47221240D</v>
          </cell>
          <cell r="B1160" t="str">
            <v>Vara Ciruelos</v>
          </cell>
          <cell r="C1160" t="str">
            <v>Diana</v>
          </cell>
          <cell r="D1160" t="str">
            <v>Vara Ciruelos, Diana</v>
          </cell>
          <cell r="E1160" t="str">
            <v>dvarac@professor.universidadviu.com</v>
          </cell>
          <cell r="F1160" t="str">
            <v>dvarac@professor.universidadviu.com</v>
          </cell>
          <cell r="G1160" t="str">
            <v>Yes</v>
          </cell>
          <cell r="H1160" t="str">
            <v>Yes</v>
          </cell>
          <cell r="I1160" t="str">
            <v/>
          </cell>
          <cell r="J1160" t="str">
            <v/>
          </cell>
          <cell r="K1160" t="str">
            <v/>
          </cell>
          <cell r="L1160" t="str">
            <v/>
          </cell>
          <cell r="M1160" t="str">
            <v>Labour</v>
          </cell>
          <cell r="N1160" t="str">
            <v>Morell Esteve, Pere</v>
          </cell>
          <cell r="O1160" t="str">
            <v>CBS</v>
          </cell>
          <cell r="P1160">
            <v>12</v>
          </cell>
          <cell r="Q1160" t="str">
            <v>12</v>
          </cell>
          <cell r="R1160"/>
          <cell r="S1160"/>
          <cell r="T1160" t="str">
            <v>Sin reducción</v>
          </cell>
          <cell r="U1160">
            <v>0</v>
          </cell>
          <cell r="V1160"/>
          <cell r="W1160"/>
          <cell r="X1160">
            <v>0</v>
          </cell>
          <cell r="Y1160">
            <v>11.7</v>
          </cell>
          <cell r="Z1160">
            <v>0</v>
          </cell>
          <cell r="AA1160"/>
          <cell r="AB1160" t="str">
            <v>Active - signed</v>
          </cell>
          <cell r="AC1160" t="str">
            <v>ACTIVO</v>
          </cell>
          <cell r="AD1160"/>
          <cell r="AE1160"/>
          <cell r="AF1160"/>
          <cell r="AG1160"/>
          <cell r="AH1160"/>
          <cell r="AI1160" t="str">
            <v>47221240D</v>
          </cell>
        </row>
        <row r="1161">
          <cell r="A1161" t="str">
            <v>76365669B</v>
          </cell>
          <cell r="B1161" t="str">
            <v>Varela Castiñeiras</v>
          </cell>
          <cell r="C1161" t="str">
            <v>Isabel María</v>
          </cell>
          <cell r="D1161" t="str">
            <v>Varela Castiñeiras, Isabel María</v>
          </cell>
          <cell r="E1161" t="str">
            <v>ivarelac@professional.universidadviu.com</v>
          </cell>
          <cell r="F1161" t="str">
            <v>ivarelac@professional.universidadviu.com</v>
          </cell>
          <cell r="G1161" t="str">
            <v>NO</v>
          </cell>
          <cell r="H1161" t="str">
            <v>NO</v>
          </cell>
          <cell r="I1161" t="str">
            <v>Licenciada en Filosofía y Ciencias de la Educación</v>
          </cell>
          <cell r="J1161" t="str">
            <v/>
          </cell>
          <cell r="K1161" t="str">
            <v/>
          </cell>
          <cell r="L1161" t="str">
            <v/>
          </cell>
          <cell r="M1161" t="str">
            <v>Professional</v>
          </cell>
          <cell r="N1161" t="str">
            <v/>
          </cell>
          <cell r="O1161" t="str">
            <v>CSS</v>
          </cell>
          <cell r="P1161">
            <v>0</v>
          </cell>
          <cell r="Q1161" t="str">
            <v xml:space="preserve"> </v>
          </cell>
          <cell r="R1161"/>
          <cell r="S1161"/>
          <cell r="T1161" t="str">
            <v>Sin reducción</v>
          </cell>
          <cell r="U1161">
            <v>0</v>
          </cell>
          <cell r="V1161"/>
          <cell r="W1161"/>
          <cell r="X1161">
            <v>0</v>
          </cell>
          <cell r="Y1161">
            <v>0</v>
          </cell>
          <cell r="Z1161">
            <v>0</v>
          </cell>
          <cell r="AA1161"/>
          <cell r="AB1161" t="str">
            <v>Active - signed</v>
          </cell>
          <cell r="AC1161" t="str">
            <v>ACTIVO</v>
          </cell>
          <cell r="AD1161"/>
          <cell r="AE1161"/>
          <cell r="AF1161"/>
          <cell r="AG1161"/>
          <cell r="AH1161"/>
          <cell r="AI1161" t="str">
            <v>76365669B</v>
          </cell>
        </row>
        <row r="1162">
          <cell r="A1162" t="str">
            <v>33291183V</v>
          </cell>
          <cell r="B1162" t="str">
            <v>Varela Tembra</v>
          </cell>
          <cell r="C1162" t="str">
            <v>Juan José</v>
          </cell>
          <cell r="D1162" t="str">
            <v>Varela Tembra, Juan José</v>
          </cell>
          <cell r="E1162" t="str">
            <v>juanjose.varela@professional.universidadviu.com</v>
          </cell>
          <cell r="F1162" t="str">
            <v>juanjose.varela@professional.universidadviu.com</v>
          </cell>
          <cell r="G1162" t="str">
            <v>Yes</v>
          </cell>
          <cell r="H1162" t="str">
            <v>Yes</v>
          </cell>
          <cell r="I1162" t="str">
            <v>Programa Doctorado en Interuniversitario En Didactica De La Comunicacion, Las Lenguas Y Las Culturas</v>
          </cell>
          <cell r="J1162" t="str">
            <v>Máster en promoción de la lectura y literatura infantil</v>
          </cell>
          <cell r="K1162" t="str">
            <v>Diploma de Estudios Avanzados en didáctica de la lengua y la literatura</v>
          </cell>
          <cell r="L1162" t="str">
            <v>Maestro, especialidad de lenga extranjera</v>
          </cell>
          <cell r="M1162" t="str">
            <v>Professional</v>
          </cell>
          <cell r="N1162"/>
          <cell r="O1162" t="str">
            <v>CSS</v>
          </cell>
          <cell r="P1162">
            <v>0</v>
          </cell>
          <cell r="Q1162" t="str">
            <v xml:space="preserve"> </v>
          </cell>
          <cell r="R1162"/>
          <cell r="S1162"/>
          <cell r="T1162" t="str">
            <v>Sin reducción</v>
          </cell>
          <cell r="U1162">
            <v>0</v>
          </cell>
          <cell r="V1162"/>
          <cell r="W1162"/>
          <cell r="X1162">
            <v>0</v>
          </cell>
          <cell r="Y1162">
            <v>0</v>
          </cell>
          <cell r="Z1162">
            <v>0</v>
          </cell>
          <cell r="AA1162"/>
          <cell r="AB1162" t="str">
            <v>Active - signed</v>
          </cell>
          <cell r="AC1162" t="str">
            <v>ACTIVO</v>
          </cell>
          <cell r="AD1162"/>
          <cell r="AE1162"/>
          <cell r="AF1162"/>
          <cell r="AG1162"/>
          <cell r="AH1162"/>
          <cell r="AI1162" t="str">
            <v>33291183V</v>
          </cell>
        </row>
        <row r="1163">
          <cell r="A1163" t="str">
            <v>Y2024737S</v>
          </cell>
          <cell r="B1163" t="str">
            <v>Vargas Salinas</v>
          </cell>
          <cell r="C1163" t="str">
            <v>Viviana Sylvia Elena</v>
          </cell>
          <cell r="D1163" t="str">
            <v>Vargas Salinas, Viviana Sylvia Elena</v>
          </cell>
          <cell r="E1163" t="str">
            <v>vivianasylviaelena.vargas</v>
          </cell>
          <cell r="F1163" t="str">
            <v>vivianasylviaelena.vargas@professional.universidadviu.com</v>
          </cell>
          <cell r="G1163" t="str">
            <v>Yes</v>
          </cell>
          <cell r="H1163" t="str">
            <v>NO</v>
          </cell>
          <cell r="I1163" t="str">
            <v>Programa Oficial de Doctorado en Investigación en Psicología</v>
          </cell>
          <cell r="J1163" t="str">
            <v>Licenciada en Psicología</v>
          </cell>
          <cell r="K1163" t="str">
            <v/>
          </cell>
          <cell r="L1163" t="str">
            <v/>
          </cell>
          <cell r="M1163" t="str">
            <v>Professional</v>
          </cell>
          <cell r="N1163" t="str">
            <v/>
          </cell>
          <cell r="O1163" t="str">
            <v>CSS</v>
          </cell>
          <cell r="P1163">
            <v>0</v>
          </cell>
          <cell r="Q1163" t="str">
            <v xml:space="preserve"> </v>
          </cell>
          <cell r="R1163"/>
          <cell r="S1163"/>
          <cell r="T1163" t="str">
            <v>Sin reducción</v>
          </cell>
          <cell r="U1163">
            <v>0</v>
          </cell>
          <cell r="V1163"/>
          <cell r="W1163"/>
          <cell r="X1163">
            <v>0</v>
          </cell>
          <cell r="Y1163">
            <v>0</v>
          </cell>
          <cell r="Z1163">
            <v>0</v>
          </cell>
          <cell r="AA1163"/>
          <cell r="AB1163" t="str">
            <v>Active - signed</v>
          </cell>
          <cell r="AC1163" t="str">
            <v>ACTIVO</v>
          </cell>
          <cell r="AD1163"/>
          <cell r="AE1163"/>
          <cell r="AF1163"/>
          <cell r="AG1163"/>
          <cell r="AH1163"/>
          <cell r="AI1163" t="str">
            <v>Y2024737S</v>
          </cell>
        </row>
        <row r="1164">
          <cell r="A1164" t="str">
            <v>CO53124124</v>
          </cell>
          <cell r="B1164" t="str">
            <v>Vásquez Amezquita</v>
          </cell>
          <cell r="C1164" t="str">
            <v>Milena</v>
          </cell>
          <cell r="D1164" t="str">
            <v>Vásquez Amezquita, Milena</v>
          </cell>
          <cell r="E1164" t="str">
            <v>milena.vasquez</v>
          </cell>
          <cell r="F1164" t="str">
            <v>milena.vasquez@professional.universidadviu.com</v>
          </cell>
          <cell r="G1164" t="str">
            <v>Yes</v>
          </cell>
          <cell r="H1164" t="str">
            <v>NO</v>
          </cell>
          <cell r="I1164" t="str">
            <v>Psicología</v>
          </cell>
          <cell r="J1164" t="str">
            <v>Máster Universitario en Neurociencias Básicas y aplicadas</v>
          </cell>
          <cell r="K1164" t="str">
            <v>Doctorado en Neurociencias</v>
          </cell>
          <cell r="L1164" t="str">
            <v/>
          </cell>
          <cell r="M1164" t="str">
            <v>Professional</v>
          </cell>
          <cell r="N1164" t="str">
            <v/>
          </cell>
          <cell r="O1164" t="str">
            <v>CSS</v>
          </cell>
          <cell r="P1164">
            <v>0</v>
          </cell>
          <cell r="Q1164" t="str">
            <v xml:space="preserve"> </v>
          </cell>
          <cell r="R1164"/>
          <cell r="S1164"/>
          <cell r="T1164" t="str">
            <v>Sin reducción</v>
          </cell>
          <cell r="U1164">
            <v>0</v>
          </cell>
          <cell r="V1164"/>
          <cell r="W1164"/>
          <cell r="X1164">
            <v>0</v>
          </cell>
          <cell r="Y1164">
            <v>0</v>
          </cell>
          <cell r="Z1164">
            <v>0</v>
          </cell>
          <cell r="AA1164"/>
          <cell r="AB1164" t="str">
            <v>Active - signed</v>
          </cell>
          <cell r="AC1164" t="str">
            <v>ACTIVO</v>
          </cell>
          <cell r="AD1164"/>
          <cell r="AE1164"/>
          <cell r="AF1164"/>
          <cell r="AG1164"/>
          <cell r="AH1164"/>
          <cell r="AI1164" t="str">
            <v>CO53124124</v>
          </cell>
        </row>
        <row r="1165">
          <cell r="A1165" t="str">
            <v>Z2165535K</v>
          </cell>
          <cell r="B1165" t="str">
            <v>Vásquez Vásquez</v>
          </cell>
          <cell r="C1165" t="str">
            <v>Sebastián Andrés</v>
          </cell>
          <cell r="D1165" t="str">
            <v>Vásquez Vásquez, Sebastián Andrés</v>
          </cell>
          <cell r="E1165" t="str">
            <v>svasquezv@professional.universidadviu.com</v>
          </cell>
          <cell r="F1165" t="str">
            <v>svasquezv@professional.universidadviu.com</v>
          </cell>
          <cell r="G1165" t="str">
            <v>NO</v>
          </cell>
          <cell r="H1165" t="str">
            <v>NO</v>
          </cell>
          <cell r="I1165" t="str">
            <v/>
          </cell>
          <cell r="J1165" t="str">
            <v/>
          </cell>
          <cell r="K1165" t="str">
            <v/>
          </cell>
          <cell r="L1165" t="str">
            <v/>
          </cell>
          <cell r="M1165" t="str">
            <v>Professional</v>
          </cell>
          <cell r="N1165"/>
          <cell r="O1165" t="str">
            <v>CSS</v>
          </cell>
          <cell r="P1165">
            <v>0</v>
          </cell>
          <cell r="Q1165" t="str">
            <v xml:space="preserve"> </v>
          </cell>
          <cell r="R1165"/>
          <cell r="S1165"/>
          <cell r="T1165" t="str">
            <v>Sin reducción</v>
          </cell>
          <cell r="U1165">
            <v>0</v>
          </cell>
          <cell r="V1165"/>
          <cell r="W1165"/>
          <cell r="X1165">
            <v>0</v>
          </cell>
          <cell r="Y1165">
            <v>0</v>
          </cell>
          <cell r="Z1165">
            <v>0</v>
          </cell>
          <cell r="AA1165"/>
          <cell r="AB1165" t="str">
            <v>Active - signed</v>
          </cell>
          <cell r="AC1165" t="str">
            <v>ACTIVO</v>
          </cell>
          <cell r="AD1165"/>
          <cell r="AE1165"/>
          <cell r="AF1165"/>
          <cell r="AG1165"/>
          <cell r="AH1165"/>
          <cell r="AI1165" t="str">
            <v>Z2165535K</v>
          </cell>
        </row>
        <row r="1166">
          <cell r="A1166" t="str">
            <v>AR38820396</v>
          </cell>
          <cell r="B1166" t="str">
            <v>Vázquez</v>
          </cell>
          <cell r="C1166" t="str">
            <v>Victoria</v>
          </cell>
          <cell r="D1166" t="str">
            <v>Vázquez, Victoria</v>
          </cell>
          <cell r="E1166" t="str">
            <v>victoria.vazquez0</v>
          </cell>
          <cell r="F1166" t="str">
            <v>victoria.vazquez0@professional.universidadviu.com</v>
          </cell>
          <cell r="G1166" t="str">
            <v>NO</v>
          </cell>
          <cell r="H1166" t="str">
            <v>NO</v>
          </cell>
          <cell r="I1166" t="str">
            <v>Psicología</v>
          </cell>
          <cell r="J1166" t="str">
            <v>Diplomatura en Abordaje social de la discapacidad en los ambitos de la salud, educaicon, trabajo y empleo</v>
          </cell>
          <cell r="K1166" t="str">
            <v/>
          </cell>
          <cell r="L1166" t="str">
            <v/>
          </cell>
          <cell r="M1166" t="str">
            <v>Professional</v>
          </cell>
          <cell r="N1166" t="str">
            <v/>
          </cell>
          <cell r="O1166" t="str">
            <v>CBS</v>
          </cell>
          <cell r="P1166">
            <v>0</v>
          </cell>
          <cell r="Q1166" t="str">
            <v xml:space="preserve"> </v>
          </cell>
          <cell r="R1166"/>
          <cell r="S1166"/>
          <cell r="T1166" t="str">
            <v>Sin reducción</v>
          </cell>
          <cell r="U1166">
            <v>0</v>
          </cell>
          <cell r="V1166"/>
          <cell r="W1166"/>
          <cell r="X1166">
            <v>0</v>
          </cell>
          <cell r="Y1166">
            <v>0</v>
          </cell>
          <cell r="Z1166">
            <v>0</v>
          </cell>
          <cell r="AA1166"/>
          <cell r="AB1166" t="str">
            <v>Active - signed</v>
          </cell>
          <cell r="AC1166" t="str">
            <v>ACTIVO</v>
          </cell>
          <cell r="AD1166"/>
          <cell r="AE1166"/>
          <cell r="AF1166"/>
          <cell r="AG1166"/>
          <cell r="AH1166"/>
          <cell r="AI1166" t="str">
            <v>AR38820396</v>
          </cell>
        </row>
        <row r="1167">
          <cell r="A1167" t="str">
            <v>ARAAB264574</v>
          </cell>
          <cell r="B1167" t="str">
            <v>Vázquez</v>
          </cell>
          <cell r="C1167" t="str">
            <v>Natalia</v>
          </cell>
          <cell r="D1167" t="str">
            <v>Vázquez, Natalia</v>
          </cell>
          <cell r="E1167" t="str">
            <v>natalia.vaz</v>
          </cell>
          <cell r="F1167" t="str">
            <v>natalia.vaz@professional.universidadviu.com</v>
          </cell>
          <cell r="G1167" t="str">
            <v>Yes</v>
          </cell>
          <cell r="H1167" t="str">
            <v>NO</v>
          </cell>
          <cell r="I1167" t="str">
            <v>Psicología</v>
          </cell>
          <cell r="J1167" t="str">
            <v>Doctora en Psicologia</v>
          </cell>
          <cell r="K1167" t="str">
            <v/>
          </cell>
          <cell r="L1167" t="str">
            <v/>
          </cell>
          <cell r="M1167" t="str">
            <v>Professional</v>
          </cell>
          <cell r="N1167" t="str">
            <v/>
          </cell>
          <cell r="O1167" t="str">
            <v>CSS</v>
          </cell>
          <cell r="P1167">
            <v>0</v>
          </cell>
          <cell r="Q1167" t="str">
            <v xml:space="preserve"> </v>
          </cell>
          <cell r="R1167"/>
          <cell r="S1167"/>
          <cell r="T1167" t="str">
            <v>Sin reducción</v>
          </cell>
          <cell r="U1167">
            <v>0</v>
          </cell>
          <cell r="V1167"/>
          <cell r="W1167"/>
          <cell r="X1167">
            <v>0</v>
          </cell>
          <cell r="Y1167">
            <v>0</v>
          </cell>
          <cell r="Z1167">
            <v>0</v>
          </cell>
          <cell r="AA1167"/>
          <cell r="AB1167" t="str">
            <v>Active - signed</v>
          </cell>
          <cell r="AC1167" t="str">
            <v>ACTIVO</v>
          </cell>
          <cell r="AD1167"/>
          <cell r="AE1167"/>
          <cell r="AF1167"/>
          <cell r="AG1167"/>
          <cell r="AH1167"/>
          <cell r="AI1167" t="str">
            <v>ARAAB264574</v>
          </cell>
        </row>
        <row r="1168">
          <cell r="A1168" t="str">
            <v>MXVAAL820926576</v>
          </cell>
          <cell r="B1168" t="str">
            <v>Vázquez Aguilar</v>
          </cell>
          <cell r="C1168" t="str">
            <v>Laura Alejandra</v>
          </cell>
          <cell r="D1168" t="str">
            <v>Vázquez Aguilar, Laura Alejandra</v>
          </cell>
          <cell r="E1168" t="str">
            <v>laura.vazquez@professional.universidadviu.com</v>
          </cell>
          <cell r="F1168" t="str">
            <v>laura.vazquez@professional.universidadviu.com</v>
          </cell>
          <cell r="G1168" t="str">
            <v>Yes</v>
          </cell>
          <cell r="H1168" t="str">
            <v>NO</v>
          </cell>
          <cell r="I1168" t="str">
            <v>Nutrición y Ciencias de Alimentos</v>
          </cell>
          <cell r="J1168" t="str">
            <v>Licenciatura en Nutrición</v>
          </cell>
          <cell r="K1168" t="str">
            <v>Máster Universitario en Diseño y Gestión de Proyectos Tecnológicos</v>
          </cell>
          <cell r="L1168" t="str">
            <v/>
          </cell>
          <cell r="M1168" t="str">
            <v>Professional</v>
          </cell>
          <cell r="N1168" t="str">
            <v/>
          </cell>
          <cell r="O1168" t="str">
            <v>CBS</v>
          </cell>
          <cell r="P1168">
            <v>0</v>
          </cell>
          <cell r="Q1168" t="str">
            <v xml:space="preserve"> </v>
          </cell>
          <cell r="R1168"/>
          <cell r="S1168"/>
          <cell r="T1168" t="str">
            <v>Sin reducción</v>
          </cell>
          <cell r="U1168">
            <v>0</v>
          </cell>
          <cell r="V1168"/>
          <cell r="W1168"/>
          <cell r="X1168">
            <v>0</v>
          </cell>
          <cell r="Y1168">
            <v>0</v>
          </cell>
          <cell r="Z1168">
            <v>0</v>
          </cell>
          <cell r="AA1168"/>
          <cell r="AB1168" t="str">
            <v>Active - signed</v>
          </cell>
          <cell r="AC1168" t="str">
            <v>ACTIVO</v>
          </cell>
          <cell r="AD1168"/>
          <cell r="AE1168"/>
          <cell r="AF1168"/>
          <cell r="AG1168"/>
          <cell r="AH1168"/>
          <cell r="AI1168" t="str">
            <v>MXVAAL820926576</v>
          </cell>
        </row>
        <row r="1169">
          <cell r="A1169" t="str">
            <v>72985199N</v>
          </cell>
          <cell r="B1169" t="str">
            <v>Vázquez Bello</v>
          </cell>
          <cell r="C1169" t="str">
            <v>Andrea</v>
          </cell>
          <cell r="D1169" t="str">
            <v>Vázquez Bello, Andrea</v>
          </cell>
          <cell r="E1169" t="str">
            <v>avazquezb@professional.universidadviu.com</v>
          </cell>
          <cell r="F1169" t="str">
            <v>avazquezb@professional.universidadviu.com</v>
          </cell>
          <cell r="G1169" t="str">
            <v>NO</v>
          </cell>
          <cell r="H1169" t="str">
            <v>NO</v>
          </cell>
          <cell r="I1169" t="str">
            <v>Graduado en Psicología</v>
          </cell>
          <cell r="J1169" t="str">
            <v>Máster en Psicología General Sanitaria</v>
          </cell>
          <cell r="K1169" t="str">
            <v/>
          </cell>
          <cell r="L1169" t="str">
            <v/>
          </cell>
          <cell r="M1169" t="str">
            <v>Professional</v>
          </cell>
          <cell r="N1169" t="str">
            <v/>
          </cell>
          <cell r="O1169" t="str">
            <v>CSS</v>
          </cell>
          <cell r="P1169">
            <v>0</v>
          </cell>
          <cell r="Q1169" t="str">
            <v xml:space="preserve"> </v>
          </cell>
          <cell r="R1169"/>
          <cell r="S1169"/>
          <cell r="T1169" t="str">
            <v>Sin reducción</v>
          </cell>
          <cell r="U1169">
            <v>0</v>
          </cell>
          <cell r="V1169"/>
          <cell r="W1169"/>
          <cell r="X1169">
            <v>0</v>
          </cell>
          <cell r="Y1169">
            <v>0</v>
          </cell>
          <cell r="Z1169">
            <v>0</v>
          </cell>
          <cell r="AA1169"/>
          <cell r="AB1169" t="str">
            <v>Active - signed</v>
          </cell>
          <cell r="AC1169" t="str">
            <v>NO ACTIVO</v>
          </cell>
          <cell r="AD1169"/>
          <cell r="AE1169"/>
          <cell r="AF1169"/>
          <cell r="AG1169" t="str">
            <v>CESE DE CONTRATO</v>
          </cell>
          <cell r="AH1169"/>
          <cell r="AI1169" t="str">
            <v>72985199N</v>
          </cell>
        </row>
        <row r="1170">
          <cell r="A1170" t="str">
            <v>44491870A</v>
          </cell>
          <cell r="B1170" t="str">
            <v>Vázquez Martínez</v>
          </cell>
          <cell r="C1170" t="str">
            <v>Andrea</v>
          </cell>
          <cell r="D1170" t="str">
            <v>Vázquez Martínez, Andrea</v>
          </cell>
          <cell r="E1170" t="str">
            <v>andrea.vazquez.m</v>
          </cell>
          <cell r="F1170" t="str">
            <v>andrea.vazquez.m@professor.universidadviu.com</v>
          </cell>
          <cell r="G1170" t="str">
            <v>Yes</v>
          </cell>
          <cell r="H1170" t="str">
            <v>Yes</v>
          </cell>
          <cell r="I1170" t="str">
            <v>Psicología</v>
          </cell>
          <cell r="J1170" t="str">
            <v>Curso Experto Atención a la Dependencia</v>
          </cell>
          <cell r="K1170" t="str">
            <v>Licenciado en Psicología</v>
          </cell>
          <cell r="L1170" t="str">
            <v>MU Psicogerontología</v>
          </cell>
          <cell r="M1170" t="str">
            <v>Labour</v>
          </cell>
          <cell r="N1170" t="str">
            <v>Villanueva Blasco, Víctor José</v>
          </cell>
          <cell r="O1170" t="str">
            <v>CSS</v>
          </cell>
          <cell r="P1170">
            <v>100</v>
          </cell>
          <cell r="Q1170" t="str">
            <v>50</v>
          </cell>
          <cell r="R1170"/>
          <cell r="S1170" t="str">
            <v>2017-2022</v>
          </cell>
          <cell r="T1170" t="str">
            <v>Sin reducción</v>
          </cell>
          <cell r="U1170">
            <v>0</v>
          </cell>
          <cell r="V1170">
            <v>2</v>
          </cell>
          <cell r="W1170" t="str">
            <v>JURÍDICO</v>
          </cell>
          <cell r="X1170">
            <v>15.4</v>
          </cell>
          <cell r="Y1170">
            <v>0</v>
          </cell>
          <cell r="Z1170">
            <v>33</v>
          </cell>
          <cell r="AA1170"/>
          <cell r="AB1170" t="str">
            <v>Active - signed</v>
          </cell>
          <cell r="AC1170" t="str">
            <v>ACTIVO</v>
          </cell>
          <cell r="AD1170">
            <v>45676</v>
          </cell>
          <cell r="AE1170">
            <v>45849</v>
          </cell>
          <cell r="AF1170"/>
          <cell r="AG1170"/>
          <cell r="AH1170"/>
          <cell r="AI1170" t="str">
            <v>44491870A</v>
          </cell>
        </row>
        <row r="1171">
          <cell r="A1171" t="str">
            <v>47360456Y</v>
          </cell>
          <cell r="B1171" t="str">
            <v>Vázquez Miraz</v>
          </cell>
          <cell r="C1171" t="str">
            <v>Pedro</v>
          </cell>
          <cell r="D1171" t="str">
            <v>Vázquez Miraz, Pedro</v>
          </cell>
          <cell r="E1171" t="str">
            <v>pedro.vazquez.m</v>
          </cell>
          <cell r="F1171" t="str">
            <v>pedro.vazquez.m@professional.universidadviu.com</v>
          </cell>
          <cell r="G1171" t="str">
            <v>Yes</v>
          </cell>
          <cell r="H1171" t="str">
            <v>Yes</v>
          </cell>
          <cell r="I1171" t="str">
            <v>Psicología</v>
          </cell>
          <cell r="J1171" t="str">
            <v>Doctorado en Ciencias Sociales y del Comportamiento</v>
          </cell>
          <cell r="K1171" t="str">
            <v>Máster universitario en Psicología aplicada en la especialidad de psicología de la salud</v>
          </cell>
          <cell r="L1171" t="str">
            <v/>
          </cell>
          <cell r="M1171" t="str">
            <v>Professional</v>
          </cell>
          <cell r="N1171" t="str">
            <v/>
          </cell>
          <cell r="O1171" t="str">
            <v>CSS</v>
          </cell>
          <cell r="P1171">
            <v>0</v>
          </cell>
          <cell r="Q1171" t="str">
            <v xml:space="preserve"> </v>
          </cell>
          <cell r="R1171"/>
          <cell r="S1171"/>
          <cell r="T1171" t="str">
            <v>Sin reducción</v>
          </cell>
          <cell r="U1171">
            <v>0</v>
          </cell>
          <cell r="V1171"/>
          <cell r="W1171"/>
          <cell r="X1171">
            <v>0</v>
          </cell>
          <cell r="Y1171">
            <v>0</v>
          </cell>
          <cell r="Z1171">
            <v>0</v>
          </cell>
          <cell r="AA1171"/>
          <cell r="AB1171" t="str">
            <v>Active - signed</v>
          </cell>
          <cell r="AC1171" t="str">
            <v>ACTIVO</v>
          </cell>
          <cell r="AD1171"/>
          <cell r="AE1171"/>
          <cell r="AF1171"/>
          <cell r="AG1171"/>
          <cell r="AH1171"/>
          <cell r="AI1171" t="str">
            <v>47360456Y</v>
          </cell>
        </row>
        <row r="1172">
          <cell r="A1172" t="str">
            <v>39694961C</v>
          </cell>
          <cell r="B1172" t="str">
            <v>Vázquez Orellana</v>
          </cell>
          <cell r="C1172" t="str">
            <v>Nuria</v>
          </cell>
          <cell r="D1172" t="str">
            <v>Vázquez Orellana, Nuria</v>
          </cell>
          <cell r="E1172" t="str">
            <v>nuria.vazquez</v>
          </cell>
          <cell r="F1172" t="str">
            <v>nuria.vazquez@professor.universidadviu.com</v>
          </cell>
          <cell r="G1172" t="str">
            <v>Yes</v>
          </cell>
          <cell r="H1172" t="str">
            <v>NO</v>
          </cell>
          <cell r="I1172" t="str">
            <v>Licenciada en filosofía y Ciencias de la Educación</v>
          </cell>
          <cell r="J1172" t="str">
            <v>Programa Doctorado en Inteligencia y Lenguaje</v>
          </cell>
          <cell r="K1172" t="str">
            <v>Experta en Psicología Forense</v>
          </cell>
          <cell r="L1172" t="str">
            <v>Curso Superior Universitario en Mediación Civil, Mercantil y Familiar</v>
          </cell>
          <cell r="M1172" t="str">
            <v>Labour</v>
          </cell>
          <cell r="N1172" t="str">
            <v>Duque Moreno, María Aranzazu</v>
          </cell>
          <cell r="O1172" t="str">
            <v>CSS</v>
          </cell>
          <cell r="P1172">
            <v>100</v>
          </cell>
          <cell r="Q1172" t="str">
            <v>50</v>
          </cell>
          <cell r="R1172"/>
          <cell r="S1172"/>
          <cell r="T1172" t="str">
            <v>Sin reducción</v>
          </cell>
          <cell r="U1172">
            <v>0</v>
          </cell>
          <cell r="V1172">
            <v>13</v>
          </cell>
          <cell r="W1172" t="str">
            <v>JURÍDICO</v>
          </cell>
          <cell r="X1172">
            <v>11.4</v>
          </cell>
          <cell r="Y1172">
            <v>0</v>
          </cell>
          <cell r="Z1172">
            <v>0</v>
          </cell>
          <cell r="AA1172"/>
          <cell r="AB1172" t="str">
            <v>Active - signed</v>
          </cell>
          <cell r="AC1172" t="str">
            <v>ACTIVO</v>
          </cell>
          <cell r="AD1172"/>
          <cell r="AE1172"/>
          <cell r="AF1172"/>
          <cell r="AG1172"/>
          <cell r="AH1172"/>
          <cell r="AI1172" t="str">
            <v>39694961C</v>
          </cell>
        </row>
        <row r="1173">
          <cell r="A1173" t="str">
            <v>36162051W</v>
          </cell>
          <cell r="B1173" t="str">
            <v>Vázquez Prieto</v>
          </cell>
          <cell r="C1173" t="str">
            <v>Severo</v>
          </cell>
          <cell r="D1173" t="str">
            <v>Vázquez Prieto, Severo</v>
          </cell>
          <cell r="E1173" t="str">
            <v>severo.vazquez@professional.universidadviu.com</v>
          </cell>
          <cell r="F1173" t="str">
            <v>severo.vazquez@professional.universidadviu.com</v>
          </cell>
          <cell r="G1173" t="str">
            <v>Yes</v>
          </cell>
          <cell r="H1173" t="str">
            <v>Yes</v>
          </cell>
          <cell r="I1173" t="str">
            <v>Microbiología y Parasitología</v>
          </cell>
          <cell r="J1173" t="str">
            <v>Experto Universitario "Dolor para farmacéuticos"</v>
          </cell>
          <cell r="K1173" t="str">
            <v>Licenciatura en Farmacia</v>
          </cell>
          <cell r="L1173" t="str">
            <v/>
          </cell>
          <cell r="M1173" t="str">
            <v>Professional</v>
          </cell>
          <cell r="N1173" t="str">
            <v/>
          </cell>
          <cell r="O1173" t="str">
            <v>CBS</v>
          </cell>
          <cell r="P1173">
            <v>0</v>
          </cell>
          <cell r="Q1173" t="str">
            <v xml:space="preserve"> </v>
          </cell>
          <cell r="R1173"/>
          <cell r="S1173"/>
          <cell r="T1173" t="str">
            <v>Sin reducción</v>
          </cell>
          <cell r="U1173">
            <v>0</v>
          </cell>
          <cell r="V1173"/>
          <cell r="W1173"/>
          <cell r="X1173">
            <v>0</v>
          </cell>
          <cell r="Y1173">
            <v>0</v>
          </cell>
          <cell r="Z1173">
            <v>0</v>
          </cell>
          <cell r="AA1173"/>
          <cell r="AB1173" t="str">
            <v>Active - signed</v>
          </cell>
          <cell r="AC1173" t="str">
            <v>ACTIVO</v>
          </cell>
          <cell r="AD1173"/>
          <cell r="AE1173"/>
          <cell r="AF1173"/>
          <cell r="AG1173"/>
          <cell r="AH1173"/>
          <cell r="AI1173" t="str">
            <v>36162051W</v>
          </cell>
        </row>
        <row r="1174">
          <cell r="A1174" t="str">
            <v>06728684B</v>
          </cell>
          <cell r="B1174" t="str">
            <v>Vázquez Robles</v>
          </cell>
          <cell r="C1174" t="str">
            <v>José Julián</v>
          </cell>
          <cell r="D1174" t="str">
            <v>Vázquez Robles, José Julián</v>
          </cell>
          <cell r="E1174" t="str">
            <v>josejulian.vazquez</v>
          </cell>
          <cell r="F1174" t="str">
            <v>josejulian.vazquez@professional.universidadviu.com</v>
          </cell>
          <cell r="G1174" t="str">
            <v>Yes</v>
          </cell>
          <cell r="H1174" t="str">
            <v>NO</v>
          </cell>
          <cell r="I1174" t="str">
            <v>Maestro en Historia de México</v>
          </cell>
          <cell r="J1174" t="str">
            <v>Licenciado en Contabilidad</v>
          </cell>
          <cell r="K1174" t="str">
            <v>Programa Doctorado en Ciencias en la especialidad de Investigaciones Educativas</v>
          </cell>
          <cell r="L1174" t="str">
            <v/>
          </cell>
          <cell r="M1174" t="str">
            <v>Professional</v>
          </cell>
          <cell r="N1174" t="str">
            <v/>
          </cell>
          <cell r="O1174" t="str">
            <v>CSS</v>
          </cell>
          <cell r="P1174">
            <v>0</v>
          </cell>
          <cell r="Q1174" t="str">
            <v xml:space="preserve"> </v>
          </cell>
          <cell r="R1174"/>
          <cell r="S1174"/>
          <cell r="T1174" t="str">
            <v>Sin reducción</v>
          </cell>
          <cell r="U1174">
            <v>0</v>
          </cell>
          <cell r="V1174"/>
          <cell r="W1174"/>
          <cell r="X1174">
            <v>0</v>
          </cell>
          <cell r="Y1174">
            <v>0</v>
          </cell>
          <cell r="Z1174">
            <v>0</v>
          </cell>
          <cell r="AA1174"/>
          <cell r="AB1174" t="str">
            <v>Active - signed</v>
          </cell>
          <cell r="AC1174" t="str">
            <v>ACTIVO</v>
          </cell>
          <cell r="AD1174"/>
          <cell r="AE1174"/>
          <cell r="AF1174"/>
          <cell r="AG1174"/>
          <cell r="AH1174"/>
          <cell r="AI1174" t="str">
            <v>06728684B</v>
          </cell>
        </row>
        <row r="1175">
          <cell r="A1175" t="str">
            <v>60326778D</v>
          </cell>
          <cell r="B1175" t="str">
            <v>Vega Flores</v>
          </cell>
          <cell r="C1175" t="str">
            <v>Germán</v>
          </cell>
          <cell r="D1175" t="str">
            <v>Vega Flores, Germán</v>
          </cell>
          <cell r="E1175" t="str">
            <v>german.vega.f</v>
          </cell>
          <cell r="F1175" t="str">
            <v>german.vega.f@professor.universidadviu.com</v>
          </cell>
          <cell r="G1175" t="str">
            <v>Yes</v>
          </cell>
          <cell r="H1175" t="str">
            <v>Yes</v>
          </cell>
          <cell r="I1175" t="str">
            <v>Doctorado</v>
          </cell>
          <cell r="J1175" t="str">
            <v>Doctorado</v>
          </cell>
          <cell r="K1175" t="str">
            <v>Licenciado en Psicología</v>
          </cell>
          <cell r="L1175" t="str">
            <v/>
          </cell>
          <cell r="M1175" t="str">
            <v>Labour</v>
          </cell>
          <cell r="N1175" t="str">
            <v>Aliño Costa, Marta</v>
          </cell>
          <cell r="O1175" t="str">
            <v>CSS</v>
          </cell>
          <cell r="P1175">
            <v>100</v>
          </cell>
          <cell r="Q1175" t="str">
            <v>50</v>
          </cell>
          <cell r="R1175"/>
          <cell r="S1175"/>
          <cell r="T1175" t="str">
            <v>Sin reducción</v>
          </cell>
          <cell r="U1175">
            <v>0</v>
          </cell>
          <cell r="V1175">
            <v>12.6</v>
          </cell>
          <cell r="W1175" t="str">
            <v>JURÍDICO</v>
          </cell>
          <cell r="X1175">
            <v>30.4</v>
          </cell>
          <cell r="Y1175">
            <v>0</v>
          </cell>
          <cell r="Z1175">
            <v>0</v>
          </cell>
          <cell r="AA1175"/>
          <cell r="AB1175" t="str">
            <v>Active - signed</v>
          </cell>
          <cell r="AC1175" t="str">
            <v>ACTIVO</v>
          </cell>
          <cell r="AD1175"/>
          <cell r="AE1175"/>
          <cell r="AF1175"/>
          <cell r="AG1175"/>
          <cell r="AH1175"/>
          <cell r="AI1175" t="str">
            <v>60326778D</v>
          </cell>
        </row>
        <row r="1176">
          <cell r="A1176" t="str">
            <v>43427898B</v>
          </cell>
          <cell r="B1176" t="str">
            <v>Vega Moreno</v>
          </cell>
          <cell r="C1176" t="str">
            <v>Daniel</v>
          </cell>
          <cell r="D1176" t="str">
            <v>Vega Moreno, Daniel</v>
          </cell>
          <cell r="E1176" t="str">
            <v>daniel.vega.m</v>
          </cell>
          <cell r="F1176"/>
          <cell r="G1176" t="str">
            <v>Yes</v>
          </cell>
          <cell r="H1176" t="str">
            <v>NO</v>
          </cell>
          <cell r="I1176" t="str">
            <v>Doctorado en Psiquiatria</v>
          </cell>
          <cell r="J1176" t="str">
            <v>Doctorado en Psiquiatria</v>
          </cell>
          <cell r="K1176" t="str">
            <v>Licenciatura en Psicología</v>
          </cell>
          <cell r="L1176" t="str">
            <v/>
          </cell>
          <cell r="M1176" t="str">
            <v>Labour</v>
          </cell>
          <cell r="N1176" t="str">
            <v/>
          </cell>
          <cell r="O1176" t="str">
            <v>CSS</v>
          </cell>
          <cell r="P1176" t="str">
            <v>30,00</v>
          </cell>
          <cell r="Q1176" t="b">
            <v>0</v>
          </cell>
          <cell r="R1176"/>
          <cell r="S1176"/>
          <cell r="T1176" t="str">
            <v>Sin reducción</v>
          </cell>
          <cell r="U1176">
            <v>0</v>
          </cell>
          <cell r="V1176"/>
          <cell r="W1176"/>
          <cell r="X1176">
            <v>0</v>
          </cell>
          <cell r="Y1176">
            <v>0</v>
          </cell>
          <cell r="Z1176">
            <v>0</v>
          </cell>
          <cell r="AA1176"/>
          <cell r="AB1176" t="str">
            <v>Concluded</v>
          </cell>
          <cell r="AC1176" t="str">
            <v>NO ACTIVO</v>
          </cell>
          <cell r="AD1176"/>
          <cell r="AE1176"/>
          <cell r="AF1176">
            <v>45107</v>
          </cell>
          <cell r="AG1176" t="str">
            <v>CESE DE CONTRATO</v>
          </cell>
          <cell r="AH1176"/>
          <cell r="AI1176" t="str">
            <v>43427898B</v>
          </cell>
        </row>
        <row r="1177">
          <cell r="A1177" t="str">
            <v>51190675N</v>
          </cell>
          <cell r="B1177" t="str">
            <v>Vega Sanz</v>
          </cell>
          <cell r="C1177" t="str">
            <v>María</v>
          </cell>
          <cell r="D1177" t="str">
            <v>Vega Sanz, María</v>
          </cell>
          <cell r="E1177" t="str">
            <v>mvegas@professional.universidadviu.com</v>
          </cell>
          <cell r="F1177" t="str">
            <v>mvegas@professional.universidadviu.com</v>
          </cell>
          <cell r="G1177" t="str">
            <v>NO</v>
          </cell>
          <cell r="H1177" t="str">
            <v>NO</v>
          </cell>
          <cell r="I1177" t="str">
            <v>Graduada en psicologia</v>
          </cell>
          <cell r="J1177" t="str">
            <v/>
          </cell>
          <cell r="K1177" t="str">
            <v/>
          </cell>
          <cell r="L1177" t="str">
            <v/>
          </cell>
          <cell r="M1177" t="str">
            <v>Professional</v>
          </cell>
          <cell r="N1177" t="str">
            <v/>
          </cell>
          <cell r="O1177" t="str">
            <v>CSS</v>
          </cell>
          <cell r="P1177">
            <v>0</v>
          </cell>
          <cell r="Q1177" t="str">
            <v xml:space="preserve"> </v>
          </cell>
          <cell r="R1177"/>
          <cell r="S1177"/>
          <cell r="T1177" t="str">
            <v>Sin reducción</v>
          </cell>
          <cell r="U1177">
            <v>0</v>
          </cell>
          <cell r="V1177"/>
          <cell r="W1177"/>
          <cell r="X1177">
            <v>0</v>
          </cell>
          <cell r="Y1177">
            <v>0</v>
          </cell>
          <cell r="Z1177">
            <v>0</v>
          </cell>
          <cell r="AA1177"/>
          <cell r="AB1177" t="str">
            <v>Active - signed</v>
          </cell>
          <cell r="AC1177" t="str">
            <v>ACTIVO</v>
          </cell>
          <cell r="AD1177"/>
          <cell r="AE1177"/>
          <cell r="AF1177"/>
          <cell r="AG1177"/>
          <cell r="AH1177"/>
          <cell r="AI1177" t="str">
            <v>51190675N</v>
          </cell>
        </row>
        <row r="1178">
          <cell r="A1178" t="str">
            <v>53544081N</v>
          </cell>
          <cell r="B1178" t="str">
            <v>Vegas Pardavila</v>
          </cell>
          <cell r="C1178" t="str">
            <v>Estefanía</v>
          </cell>
          <cell r="D1178" t="str">
            <v>Vegas Pardavila, Estefanía</v>
          </cell>
          <cell r="E1178" t="e">
            <v>#VALUE!</v>
          </cell>
          <cell r="F1178" t="str">
            <v>estefania.vegas@professional.universidadviu.com</v>
          </cell>
          <cell r="G1178" t="e">
            <v>#VALUE!</v>
          </cell>
          <cell r="H1178" t="e">
            <v>#VALUE!</v>
          </cell>
          <cell r="I1178" t="str">
            <v>Enfermería</v>
          </cell>
          <cell r="J1178" t="str">
            <v>Máster universitario en ciencias de la enfermería</v>
          </cell>
          <cell r="K1178" t="str">
            <v>Doctorado</v>
          </cell>
          <cell r="L1178" t="str">
            <v/>
          </cell>
          <cell r="M1178" t="e">
            <v>#VALUE!</v>
          </cell>
          <cell r="N1178" t="str">
            <v/>
          </cell>
          <cell r="O1178" t="str">
            <v>CBS/CSS</v>
          </cell>
          <cell r="P1178" t="str">
            <v xml:space="preserve"> </v>
          </cell>
          <cell r="Q1178" t="b">
            <v>0</v>
          </cell>
          <cell r="R1178"/>
          <cell r="S1178"/>
          <cell r="T1178" t="str">
            <v>Sin reducción</v>
          </cell>
          <cell r="U1178">
            <v>0</v>
          </cell>
          <cell r="V1178"/>
          <cell r="W1178"/>
          <cell r="X1178">
            <v>0</v>
          </cell>
          <cell r="Y1178">
            <v>0</v>
          </cell>
          <cell r="Z1178">
            <v>0</v>
          </cell>
          <cell r="AA1178"/>
          <cell r="AB1178" t="e">
            <v>#VALUE!</v>
          </cell>
          <cell r="AC1178" t="str">
            <v>NO ACTIVO</v>
          </cell>
          <cell r="AD1178"/>
          <cell r="AE1178"/>
          <cell r="AF1178"/>
          <cell r="AG1178" t="str">
            <v>CESE DE CONTRATO</v>
          </cell>
          <cell r="AH1178"/>
          <cell r="AI1178" t="str">
            <v>53544081N</v>
          </cell>
        </row>
        <row r="1179">
          <cell r="A1179" t="str">
            <v>44806176Z</v>
          </cell>
          <cell r="B1179" t="str">
            <v>Veiga Rodeiro</v>
          </cell>
          <cell r="C1179" t="str">
            <v>Sergio</v>
          </cell>
          <cell r="D1179" t="str">
            <v>Veiga Rodeiro, Sergio</v>
          </cell>
          <cell r="E1179" t="str">
            <v>sergio.veiga</v>
          </cell>
          <cell r="F1179" t="str">
            <v>sergio.veiga@professional.universidadviu.com</v>
          </cell>
          <cell r="G1179" t="str">
            <v>Yes</v>
          </cell>
          <cell r="H1179" t="str">
            <v>NO</v>
          </cell>
          <cell r="I1179" t="str">
            <v>Psicología</v>
          </cell>
          <cell r="J1179" t="str">
            <v>Programa Doctorado en Biomedicina</v>
          </cell>
          <cell r="K1179" t="str">
            <v/>
          </cell>
          <cell r="L1179" t="str">
            <v/>
          </cell>
          <cell r="M1179" t="str">
            <v>Professional</v>
          </cell>
          <cell r="N1179" t="str">
            <v/>
          </cell>
          <cell r="O1179" t="str">
            <v>CBS/CSS</v>
          </cell>
          <cell r="P1179">
            <v>0</v>
          </cell>
          <cell r="Q1179" t="str">
            <v xml:space="preserve"> </v>
          </cell>
          <cell r="R1179"/>
          <cell r="S1179"/>
          <cell r="T1179" t="str">
            <v>Sin reducción</v>
          </cell>
          <cell r="U1179">
            <v>0</v>
          </cell>
          <cell r="V1179"/>
          <cell r="W1179"/>
          <cell r="X1179">
            <v>0</v>
          </cell>
          <cell r="Y1179">
            <v>0</v>
          </cell>
          <cell r="Z1179">
            <v>0</v>
          </cell>
          <cell r="AA1179"/>
          <cell r="AB1179" t="str">
            <v>Active - signed</v>
          </cell>
          <cell r="AC1179" t="str">
            <v>ACTIVO</v>
          </cell>
          <cell r="AD1179"/>
          <cell r="AE1179"/>
          <cell r="AF1179"/>
          <cell r="AG1179"/>
          <cell r="AH1179"/>
          <cell r="AI1179" t="str">
            <v>44806176Z</v>
          </cell>
        </row>
        <row r="1180">
          <cell r="A1180" t="str">
            <v>74442953A</v>
          </cell>
          <cell r="B1180" t="str">
            <v>Velasco Mayol</v>
          </cell>
          <cell r="C1180" t="str">
            <v>Lydia</v>
          </cell>
          <cell r="D1180" t="str">
            <v>Velasco Mayol, Lydia</v>
          </cell>
          <cell r="E1180" t="str">
            <v>lydia.velasco</v>
          </cell>
          <cell r="F1180" t="str">
            <v>lydia.velasco@professional.universidadviu.com</v>
          </cell>
          <cell r="G1180" t="str">
            <v>NO</v>
          </cell>
          <cell r="H1180" t="str">
            <v>NO</v>
          </cell>
          <cell r="I1180" t="str">
            <v>Farmacia</v>
          </cell>
          <cell r="J1180" t="str">
            <v/>
          </cell>
          <cell r="K1180" t="str">
            <v/>
          </cell>
          <cell r="L1180" t="str">
            <v/>
          </cell>
          <cell r="M1180" t="str">
            <v>Professional</v>
          </cell>
          <cell r="N1180" t="str">
            <v/>
          </cell>
          <cell r="O1180" t="str">
            <v>CBS</v>
          </cell>
          <cell r="P1180">
            <v>0</v>
          </cell>
          <cell r="Q1180" t="str">
            <v xml:space="preserve"> </v>
          </cell>
          <cell r="R1180"/>
          <cell r="S1180"/>
          <cell r="T1180" t="str">
            <v>Sin reducción</v>
          </cell>
          <cell r="U1180">
            <v>0</v>
          </cell>
          <cell r="V1180"/>
          <cell r="W1180"/>
          <cell r="X1180">
            <v>0</v>
          </cell>
          <cell r="Y1180">
            <v>0</v>
          </cell>
          <cell r="Z1180">
            <v>0</v>
          </cell>
          <cell r="AA1180"/>
          <cell r="AB1180" t="str">
            <v>Active - signed</v>
          </cell>
          <cell r="AC1180" t="str">
            <v>ACTIVO</v>
          </cell>
          <cell r="AD1180"/>
          <cell r="AE1180"/>
          <cell r="AF1180"/>
          <cell r="AG1180"/>
          <cell r="AH1180"/>
          <cell r="AI1180" t="str">
            <v>74442953A</v>
          </cell>
        </row>
        <row r="1181">
          <cell r="A1181" t="str">
            <v>04220418X</v>
          </cell>
          <cell r="B1181" t="str">
            <v>Velasco Vega</v>
          </cell>
          <cell r="C1181" t="str">
            <v>Cristina</v>
          </cell>
          <cell r="D1181" t="str">
            <v>Velasco Vega, Cristina</v>
          </cell>
          <cell r="E1181" t="str">
            <v>cvelascov@professional.universidadviu.com</v>
          </cell>
          <cell r="F1181" t="str">
            <v>cvelascov@professional.universidadviu.com</v>
          </cell>
          <cell r="G1181" t="str">
            <v>NO</v>
          </cell>
          <cell r="H1181" t="str">
            <v>NO</v>
          </cell>
          <cell r="I1181" t="str">
            <v>Licenciatura en Psicología</v>
          </cell>
          <cell r="J1181" t="str">
            <v/>
          </cell>
          <cell r="K1181" t="str">
            <v/>
          </cell>
          <cell r="L1181" t="str">
            <v/>
          </cell>
          <cell r="M1181" t="str">
            <v>Professional</v>
          </cell>
          <cell r="N1181" t="str">
            <v/>
          </cell>
          <cell r="O1181" t="str">
            <v>CSS</v>
          </cell>
          <cell r="P1181">
            <v>0</v>
          </cell>
          <cell r="Q1181" t="str">
            <v xml:space="preserve"> </v>
          </cell>
          <cell r="R1181"/>
          <cell r="S1181"/>
          <cell r="T1181" t="str">
            <v>Sin reducción</v>
          </cell>
          <cell r="U1181">
            <v>0</v>
          </cell>
          <cell r="V1181"/>
          <cell r="W1181"/>
          <cell r="X1181">
            <v>0</v>
          </cell>
          <cell r="Y1181">
            <v>0</v>
          </cell>
          <cell r="Z1181">
            <v>0</v>
          </cell>
          <cell r="AA1181"/>
          <cell r="AB1181" t="str">
            <v>Active - signed</v>
          </cell>
          <cell r="AC1181" t="str">
            <v>ACTIVO</v>
          </cell>
          <cell r="AD1181"/>
          <cell r="AE1181"/>
          <cell r="AF1181"/>
          <cell r="AG1181"/>
          <cell r="AH1181"/>
          <cell r="AI1181" t="str">
            <v>04220418X</v>
          </cell>
        </row>
        <row r="1182">
          <cell r="A1182" t="str">
            <v>MXVEMZ900210KP1</v>
          </cell>
          <cell r="B1182" t="str">
            <v>Velázquez Martínez</v>
          </cell>
          <cell r="C1182" t="str">
            <v>Zaily Leticia</v>
          </cell>
          <cell r="D1182" t="str">
            <v>Velázquez Martínez, Zaily Leticia</v>
          </cell>
          <cell r="E1182" t="str">
            <v>zailyleticia.velazquez</v>
          </cell>
          <cell r="F1182" t="str">
            <v>zailyleticia.velazquez@professional.universidadviu.com</v>
          </cell>
          <cell r="G1182" t="str">
            <v>Yes</v>
          </cell>
          <cell r="H1182" t="str">
            <v>NO</v>
          </cell>
          <cell r="I1182" t="str">
            <v>Master en Dirección</v>
          </cell>
          <cell r="J1182" t="str">
            <v>Licenciada en Psicología</v>
          </cell>
          <cell r="K1182" t="str">
            <v/>
          </cell>
          <cell r="L1182" t="str">
            <v/>
          </cell>
          <cell r="M1182" t="str">
            <v>Professional</v>
          </cell>
          <cell r="N1182" t="str">
            <v/>
          </cell>
          <cell r="O1182" t="str">
            <v>CSS</v>
          </cell>
          <cell r="P1182">
            <v>0</v>
          </cell>
          <cell r="Q1182" t="str">
            <v xml:space="preserve"> </v>
          </cell>
          <cell r="R1182"/>
          <cell r="S1182"/>
          <cell r="T1182" t="str">
            <v>Sin reducción</v>
          </cell>
          <cell r="U1182">
            <v>0</v>
          </cell>
          <cell r="V1182"/>
          <cell r="W1182"/>
          <cell r="X1182">
            <v>0</v>
          </cell>
          <cell r="Y1182">
            <v>0</v>
          </cell>
          <cell r="Z1182">
            <v>0</v>
          </cell>
          <cell r="AA1182"/>
          <cell r="AB1182" t="str">
            <v>Active - signed</v>
          </cell>
          <cell r="AC1182" t="str">
            <v>ACTIVO</v>
          </cell>
          <cell r="AD1182"/>
          <cell r="AE1182"/>
          <cell r="AF1182"/>
          <cell r="AG1182"/>
          <cell r="AH1182"/>
          <cell r="AI1182" t="str">
            <v>MXVEMZ900210KP1</v>
          </cell>
        </row>
        <row r="1183">
          <cell r="A1183" t="str">
            <v>52111583T</v>
          </cell>
          <cell r="B1183" t="str">
            <v>Vera García</v>
          </cell>
          <cell r="C1183" t="str">
            <v>Rosa María</v>
          </cell>
          <cell r="D1183" t="str">
            <v>Vera García, Rosa María</v>
          </cell>
          <cell r="E1183" t="str">
            <v>rosamaria.vera</v>
          </cell>
          <cell r="F1183" t="str">
            <v>rosamaria.vera@professor.universidadviu.com</v>
          </cell>
          <cell r="G1183" t="str">
            <v>Yes</v>
          </cell>
          <cell r="H1183" t="str">
            <v>NO</v>
          </cell>
          <cell r="I1183" t="str">
            <v>Programa Oficial de Doctorado en Ciencias Biomédicas</v>
          </cell>
          <cell r="J1183" t="str">
            <v>Programa Oficial de Doctorado en Ciencias Biomédicas</v>
          </cell>
          <cell r="K1183" t="str">
            <v>Licenciada en Psicología</v>
          </cell>
          <cell r="L1183" t="str">
            <v/>
          </cell>
          <cell r="M1183" t="str">
            <v>Labour</v>
          </cell>
          <cell r="N1183"/>
          <cell r="O1183" t="str">
            <v>CSS</v>
          </cell>
          <cell r="P1183" t="str">
            <v>15,00</v>
          </cell>
          <cell r="Q1183" t="b">
            <v>0</v>
          </cell>
          <cell r="R1183"/>
          <cell r="S1183"/>
          <cell r="T1183" t="str">
            <v>Sin reducción</v>
          </cell>
          <cell r="U1183">
            <v>0</v>
          </cell>
          <cell r="V1183"/>
          <cell r="W1183"/>
          <cell r="X1183">
            <v>0</v>
          </cell>
          <cell r="Y1183">
            <v>0</v>
          </cell>
          <cell r="Z1183">
            <v>0</v>
          </cell>
          <cell r="AA1183"/>
          <cell r="AB1183" t="str">
            <v>Concluded</v>
          </cell>
          <cell r="AC1183" t="str">
            <v>NO ACTIVO</v>
          </cell>
          <cell r="AD1183"/>
          <cell r="AE1183"/>
          <cell r="AF1183">
            <v>45585</v>
          </cell>
          <cell r="AG1183" t="str">
            <v>CESE DE CONTRATO</v>
          </cell>
          <cell r="AH1183"/>
          <cell r="AI1183" t="str">
            <v>52111583T</v>
          </cell>
        </row>
        <row r="1184">
          <cell r="A1184" t="str">
            <v>13401883J</v>
          </cell>
          <cell r="B1184" t="str">
            <v>Vera Vergara</v>
          </cell>
          <cell r="C1184" t="str">
            <v>Vivian</v>
          </cell>
          <cell r="D1184" t="str">
            <v>Vera Vergara, Vivian</v>
          </cell>
          <cell r="E1184" t="str">
            <v>vverav@professional.universidadviu.com</v>
          </cell>
          <cell r="F1184" t="str">
            <v>vverav@professional.universidadviu.com</v>
          </cell>
          <cell r="G1184" t="str">
            <v>NO</v>
          </cell>
          <cell r="H1184" t="str">
            <v>NO</v>
          </cell>
          <cell r="I1184" t="str">
            <v>Doctora en Ciencias Psicológicas</v>
          </cell>
          <cell r="J1184" t="str">
            <v>Licenciada en Psicología</v>
          </cell>
          <cell r="K1184" t="str">
            <v/>
          </cell>
          <cell r="L1184" t="str">
            <v/>
          </cell>
          <cell r="M1184" t="str">
            <v>Professional</v>
          </cell>
          <cell r="N1184"/>
          <cell r="O1184" t="str">
            <v>CSS</v>
          </cell>
          <cell r="P1184">
            <v>0</v>
          </cell>
          <cell r="Q1184" t="str">
            <v xml:space="preserve"> </v>
          </cell>
          <cell r="R1184"/>
          <cell r="S1184"/>
          <cell r="T1184" t="str">
            <v>Sin reducción</v>
          </cell>
          <cell r="U1184">
            <v>0</v>
          </cell>
          <cell r="V1184"/>
          <cell r="W1184"/>
          <cell r="X1184">
            <v>0</v>
          </cell>
          <cell r="Y1184">
            <v>0</v>
          </cell>
          <cell r="Z1184">
            <v>0</v>
          </cell>
          <cell r="AA1184"/>
          <cell r="AB1184" t="str">
            <v>Active - signed</v>
          </cell>
          <cell r="AC1184" t="str">
            <v>ACTIVO</v>
          </cell>
          <cell r="AD1184"/>
          <cell r="AE1184"/>
          <cell r="AF1184"/>
          <cell r="AG1184"/>
          <cell r="AH1184"/>
          <cell r="AI1184" t="str">
            <v>13401883J</v>
          </cell>
        </row>
        <row r="1185">
          <cell r="A1185" t="str">
            <v>20940401M</v>
          </cell>
          <cell r="B1185" t="str">
            <v>Vercher Herráez</v>
          </cell>
          <cell r="C1185" t="str">
            <v>Enric</v>
          </cell>
          <cell r="D1185" t="str">
            <v>Vercher Herráez, Enric</v>
          </cell>
          <cell r="E1185" t="str">
            <v>evercherh@professional.universidadviu.com</v>
          </cell>
          <cell r="F1185" t="str">
            <v>evercherh@professional.universidadviu.com</v>
          </cell>
          <cell r="G1185" t="str">
            <v>Yes</v>
          </cell>
          <cell r="H1185" t="str">
            <v>NO</v>
          </cell>
          <cell r="I1185" t="str">
            <v/>
          </cell>
          <cell r="J1185" t="str">
            <v/>
          </cell>
          <cell r="K1185" t="str">
            <v/>
          </cell>
          <cell r="L1185" t="str">
            <v/>
          </cell>
          <cell r="M1185" t="str">
            <v>Professional</v>
          </cell>
          <cell r="N1185"/>
          <cell r="O1185" t="str">
            <v>CBS</v>
          </cell>
          <cell r="P1185"/>
          <cell r="Q1185" t="str">
            <v xml:space="preserve"> </v>
          </cell>
          <cell r="R1185"/>
          <cell r="S1185"/>
          <cell r="T1185" t="str">
            <v>Sin reducción</v>
          </cell>
          <cell r="U1185">
            <v>0</v>
          </cell>
          <cell r="V1185"/>
          <cell r="W1185"/>
          <cell r="X1185">
            <v>0</v>
          </cell>
          <cell r="Y1185">
            <v>0</v>
          </cell>
          <cell r="Z1185">
            <v>0</v>
          </cell>
          <cell r="AA1185"/>
          <cell r="AB1185" t="str">
            <v>Concluded</v>
          </cell>
          <cell r="AC1185" t="str">
            <v>NO ACTIVO</v>
          </cell>
          <cell r="AD1185"/>
          <cell r="AE1185"/>
          <cell r="AF1185"/>
          <cell r="AG1185" t="str">
            <v>CESE DE CONTRATO</v>
          </cell>
          <cell r="AH1185"/>
          <cell r="AI1185" t="str">
            <v>20940401M</v>
          </cell>
        </row>
        <row r="1186">
          <cell r="A1186" t="str">
            <v>Z1141472X</v>
          </cell>
          <cell r="B1186" t="str">
            <v>Verdecia Carballo</v>
          </cell>
          <cell r="C1186" t="str">
            <v>Enrique</v>
          </cell>
          <cell r="D1186" t="str">
            <v>Verdecia Carballo, Enrique</v>
          </cell>
          <cell r="E1186" t="str">
            <v>everdeciac@professional.universidadviu.com</v>
          </cell>
          <cell r="F1186" t="str">
            <v>everdeciac@professional.universidadviu.com</v>
          </cell>
          <cell r="G1186" t="str">
            <v>Yes</v>
          </cell>
          <cell r="H1186" t="str">
            <v>NO</v>
          </cell>
          <cell r="I1186" t="str">
            <v/>
          </cell>
          <cell r="J1186" t="str">
            <v/>
          </cell>
          <cell r="K1186" t="str">
            <v/>
          </cell>
          <cell r="L1186" t="str">
            <v/>
          </cell>
          <cell r="M1186" t="str">
            <v>Professional</v>
          </cell>
          <cell r="N1186"/>
          <cell r="O1186" t="str">
            <v>CSS</v>
          </cell>
          <cell r="P1186">
            <v>0</v>
          </cell>
          <cell r="Q1186" t="str">
            <v xml:space="preserve"> </v>
          </cell>
          <cell r="R1186"/>
          <cell r="S1186"/>
          <cell r="T1186" t="str">
            <v>Sin reducción</v>
          </cell>
          <cell r="U1186">
            <v>0</v>
          </cell>
          <cell r="V1186"/>
          <cell r="W1186"/>
          <cell r="X1186">
            <v>0</v>
          </cell>
          <cell r="Y1186">
            <v>0</v>
          </cell>
          <cell r="Z1186">
            <v>0</v>
          </cell>
          <cell r="AA1186"/>
          <cell r="AB1186" t="str">
            <v>Active - signed</v>
          </cell>
          <cell r="AC1186" t="str">
            <v>ACTIVO</v>
          </cell>
          <cell r="AD1186"/>
          <cell r="AE1186"/>
          <cell r="AF1186"/>
          <cell r="AG1186"/>
          <cell r="AH1186"/>
          <cell r="AI1186" t="str">
            <v>Z1141472X</v>
          </cell>
        </row>
        <row r="1187">
          <cell r="A1187" t="str">
            <v>Y8792687P</v>
          </cell>
          <cell r="B1187" t="str">
            <v>Viana Ribeiro Monteiro Almeida</v>
          </cell>
          <cell r="C1187" t="str">
            <v>Pedro Cassiano</v>
          </cell>
          <cell r="D1187" t="str">
            <v>Viana Ribeiro Monteiro Almeida, Pedro Cassiano</v>
          </cell>
          <cell r="E1187" t="str">
            <v>pedrocassiano.vianaribeiro</v>
          </cell>
          <cell r="F1187" t="str">
            <v>pedrocassiano.vianaribeiro@professor.universidadviu.com</v>
          </cell>
          <cell r="G1187" t="str">
            <v>Yes</v>
          </cell>
          <cell r="H1187" t="str">
            <v>NO</v>
          </cell>
          <cell r="I1187" t="str">
            <v>Programa Doctorado en Astronomía</v>
          </cell>
          <cell r="J1187" t="str">
            <v>Programa Doctorado en Astronomía</v>
          </cell>
          <cell r="K1187" t="str">
            <v>Licenciado en Física</v>
          </cell>
          <cell r="L1187" t="str">
            <v/>
          </cell>
          <cell r="M1187" t="str">
            <v>Labour</v>
          </cell>
          <cell r="N1187" t="str">
            <v>Consultar a Escuela de Ciencias, Ingeniería y Arquitectura</v>
          </cell>
          <cell r="O1187" t="str">
            <v>CBS</v>
          </cell>
          <cell r="P1187">
            <v>100</v>
          </cell>
          <cell r="Q1187" t="str">
            <v>50</v>
          </cell>
          <cell r="R1187"/>
          <cell r="S1187"/>
          <cell r="T1187" t="str">
            <v>Sin reducción</v>
          </cell>
          <cell r="U1187">
            <v>0</v>
          </cell>
          <cell r="V1187">
            <v>50</v>
          </cell>
          <cell r="W1187" t="str">
            <v>ESCUELA</v>
          </cell>
          <cell r="X1187">
            <v>0</v>
          </cell>
          <cell r="Y1187">
            <v>0</v>
          </cell>
          <cell r="Z1187">
            <v>0</v>
          </cell>
          <cell r="AA1187"/>
          <cell r="AB1187" t="str">
            <v>Active - signed</v>
          </cell>
          <cell r="AC1187" t="str">
            <v>ACTIVO</v>
          </cell>
          <cell r="AD1187"/>
          <cell r="AE1187"/>
          <cell r="AF1187"/>
          <cell r="AG1187"/>
          <cell r="AH1187" t="str">
            <v>cotutorización en MBIO con Salvador Mut</v>
          </cell>
          <cell r="AI1187" t="str">
            <v>Y8792687P</v>
          </cell>
        </row>
        <row r="1188">
          <cell r="A1188" t="str">
            <v>14268121W</v>
          </cell>
          <cell r="B1188" t="str">
            <v>Viayna Gaza</v>
          </cell>
          <cell r="C1188" t="str">
            <v>Antonio</v>
          </cell>
          <cell r="D1188" t="str">
            <v>Viayna Gaza, Antonio</v>
          </cell>
          <cell r="E1188" t="str">
            <v>antonio.viayna</v>
          </cell>
          <cell r="F1188" t="str">
            <v>antonio.viayna@professional.universidadviu.com</v>
          </cell>
          <cell r="G1188" t="str">
            <v>Yes</v>
          </cell>
          <cell r="H1188" t="str">
            <v>NO</v>
          </cell>
          <cell r="I1188" t="str">
            <v>Farmacia</v>
          </cell>
          <cell r="J1188" t="str">
            <v>Biomedicina</v>
          </cell>
          <cell r="K1188" t="str">
            <v>Máster en Industria Farmacéutica y Parafarmacéutica</v>
          </cell>
          <cell r="L1188" t="str">
            <v/>
          </cell>
          <cell r="M1188" t="str">
            <v>Professional</v>
          </cell>
          <cell r="N1188" t="str">
            <v/>
          </cell>
          <cell r="O1188" t="str">
            <v>CBS</v>
          </cell>
          <cell r="P1188">
            <v>0</v>
          </cell>
          <cell r="Q1188" t="str">
            <v xml:space="preserve"> </v>
          </cell>
          <cell r="R1188"/>
          <cell r="S1188"/>
          <cell r="T1188" t="str">
            <v>Sin reducción</v>
          </cell>
          <cell r="U1188">
            <v>0</v>
          </cell>
          <cell r="V1188"/>
          <cell r="W1188"/>
          <cell r="X1188">
            <v>0</v>
          </cell>
          <cell r="Y1188">
            <v>0</v>
          </cell>
          <cell r="Z1188">
            <v>0</v>
          </cell>
          <cell r="AA1188"/>
          <cell r="AB1188" t="str">
            <v>Active - signed</v>
          </cell>
          <cell r="AC1188" t="str">
            <v>NO ACTIVO</v>
          </cell>
          <cell r="AD1188"/>
          <cell r="AE1188"/>
          <cell r="AF1188"/>
          <cell r="AG1188" t="str">
            <v>CESE DE CONTRATO</v>
          </cell>
          <cell r="AH1188"/>
          <cell r="AI1188" t="str">
            <v>14268121W</v>
          </cell>
        </row>
        <row r="1189">
          <cell r="A1189" t="str">
            <v>72185993X</v>
          </cell>
          <cell r="B1189" t="str">
            <v>Vicario Badía</v>
          </cell>
          <cell r="C1189" t="str">
            <v>Patricia</v>
          </cell>
          <cell r="D1189" t="str">
            <v>Vicario Badía, Patricia</v>
          </cell>
          <cell r="E1189" t="str">
            <v>pvicariob@professional.universidadviu.com</v>
          </cell>
          <cell r="F1189" t="str">
            <v>pvicariob@professional.universidadviu.com</v>
          </cell>
          <cell r="G1189" t="str">
            <v>NO</v>
          </cell>
          <cell r="H1189" t="str">
            <v>NO</v>
          </cell>
          <cell r="I1189" t="str">
            <v/>
          </cell>
          <cell r="J1189" t="str">
            <v/>
          </cell>
          <cell r="K1189" t="str">
            <v/>
          </cell>
          <cell r="L1189" t="str">
            <v/>
          </cell>
          <cell r="M1189" t="str">
            <v>Professional</v>
          </cell>
          <cell r="N1189"/>
          <cell r="O1189" t="str">
            <v>CBS</v>
          </cell>
          <cell r="P1189">
            <v>0</v>
          </cell>
          <cell r="Q1189" t="str">
            <v xml:space="preserve"> </v>
          </cell>
          <cell r="R1189"/>
          <cell r="S1189"/>
          <cell r="T1189" t="str">
            <v>Sin reducción</v>
          </cell>
          <cell r="U1189">
            <v>0</v>
          </cell>
          <cell r="V1189"/>
          <cell r="W1189"/>
          <cell r="X1189">
            <v>0</v>
          </cell>
          <cell r="Y1189">
            <v>0</v>
          </cell>
          <cell r="Z1189">
            <v>0</v>
          </cell>
          <cell r="AA1189"/>
          <cell r="AB1189" t="str">
            <v>Active - signed</v>
          </cell>
          <cell r="AC1189" t="str">
            <v>ACTIVO</v>
          </cell>
          <cell r="AD1189"/>
          <cell r="AE1189"/>
          <cell r="AF1189"/>
          <cell r="AG1189"/>
          <cell r="AH1189"/>
          <cell r="AI1189" t="str">
            <v>72185993X</v>
          </cell>
        </row>
        <row r="1190">
          <cell r="A1190" t="str">
            <v>45842003J</v>
          </cell>
          <cell r="B1190" t="str">
            <v>Vidal Gil</v>
          </cell>
          <cell r="C1190" t="str">
            <v>Lorena</v>
          </cell>
          <cell r="D1190" t="str">
            <v>Vidal Gil, Lorena</v>
          </cell>
          <cell r="E1190" t="str">
            <v>lorena.vidal</v>
          </cell>
          <cell r="F1190" t="str">
            <v>lorena.vidal@professional.universidadviu.com</v>
          </cell>
          <cell r="G1190" t="str">
            <v>Yes</v>
          </cell>
          <cell r="H1190" t="str">
            <v>NO</v>
          </cell>
          <cell r="I1190" t="str">
            <v>Biología y Genética</v>
          </cell>
          <cell r="J1190" t="str">
            <v>Master universitario en biotecnologia biomedica</v>
          </cell>
          <cell r="K1190" t="str">
            <v>Doctorado en ciencias de la salud</v>
          </cell>
          <cell r="L1190" t="str">
            <v/>
          </cell>
          <cell r="M1190" t="str">
            <v>Professional</v>
          </cell>
          <cell r="N1190" t="str">
            <v/>
          </cell>
          <cell r="O1190" t="str">
            <v>CBS</v>
          </cell>
          <cell r="P1190">
            <v>0</v>
          </cell>
          <cell r="Q1190" t="str">
            <v xml:space="preserve"> </v>
          </cell>
          <cell r="R1190"/>
          <cell r="S1190"/>
          <cell r="T1190" t="str">
            <v>Sin reducción</v>
          </cell>
          <cell r="U1190">
            <v>0</v>
          </cell>
          <cell r="V1190"/>
          <cell r="W1190"/>
          <cell r="X1190">
            <v>0</v>
          </cell>
          <cell r="Y1190">
            <v>0</v>
          </cell>
          <cell r="Z1190">
            <v>0</v>
          </cell>
          <cell r="AA1190"/>
          <cell r="AB1190" t="str">
            <v>Active - signed</v>
          </cell>
          <cell r="AC1190" t="str">
            <v>ACTIVO</v>
          </cell>
          <cell r="AD1190"/>
          <cell r="AE1190"/>
          <cell r="AF1190"/>
          <cell r="AG1190"/>
          <cell r="AH1190"/>
          <cell r="AI1190" t="str">
            <v>45842003J</v>
          </cell>
        </row>
        <row r="1191">
          <cell r="A1191" t="str">
            <v>47435480G</v>
          </cell>
          <cell r="B1191" t="str">
            <v>Vieites Leston</v>
          </cell>
          <cell r="C1191" t="str">
            <v>Tania</v>
          </cell>
          <cell r="D1191" t="str">
            <v>Vieites Leston, Tania</v>
          </cell>
          <cell r="E1191" t="str">
            <v>tania.vieites</v>
          </cell>
          <cell r="F1191" t="str">
            <v>tania.vieites@professor.universidadviu.com</v>
          </cell>
          <cell r="G1191" t="str">
            <v>Yes</v>
          </cell>
          <cell r="H1191" t="str">
            <v>Yes</v>
          </cell>
          <cell r="I1191" t="str">
            <v>Máster universitario en profesorado de educación secundaria obligatoria y bachillerato, FP y enseñanzas de idiomas</v>
          </cell>
          <cell r="J1191" t="str">
            <v>Master en psicopedagogia</v>
          </cell>
          <cell r="K1191" t="str">
            <v>Grado en Maestro de Educación primaria</v>
          </cell>
          <cell r="L1191" t="str">
            <v>Graduada e Pedagogia</v>
          </cell>
          <cell r="M1191" t="str">
            <v>Professional</v>
          </cell>
          <cell r="N1191"/>
          <cell r="O1191" t="str">
            <v>CSS</v>
          </cell>
          <cell r="P1191">
            <v>0</v>
          </cell>
          <cell r="Q1191" t="str">
            <v xml:space="preserve"> </v>
          </cell>
          <cell r="R1191"/>
          <cell r="S1191"/>
          <cell r="T1191" t="str">
            <v>Sin reducción</v>
          </cell>
          <cell r="U1191">
            <v>0</v>
          </cell>
          <cell r="V1191"/>
          <cell r="W1191"/>
          <cell r="X1191">
            <v>0</v>
          </cell>
          <cell r="Y1191">
            <v>0</v>
          </cell>
          <cell r="Z1191">
            <v>0</v>
          </cell>
          <cell r="AA1191"/>
          <cell r="AB1191" t="str">
            <v>Active - signed</v>
          </cell>
          <cell r="AC1191" t="str">
            <v>ACTIVO</v>
          </cell>
          <cell r="AD1191"/>
          <cell r="AE1191"/>
          <cell r="AF1191"/>
          <cell r="AG1191"/>
          <cell r="AH1191"/>
          <cell r="AI1191" t="str">
            <v>47435480G</v>
          </cell>
        </row>
        <row r="1192">
          <cell r="A1192" t="str">
            <v>71901116B</v>
          </cell>
          <cell r="B1192" t="str">
            <v>Viejo Sánchez</v>
          </cell>
          <cell r="C1192" t="str">
            <v>Aitana</v>
          </cell>
          <cell r="D1192" t="str">
            <v>Viejo Sánchez, Aitana</v>
          </cell>
          <cell r="E1192" t="str">
            <v>aviejos@professor.universidadviu.com</v>
          </cell>
          <cell r="F1192" t="str">
            <v>aviejos@professor.universidadviu.com</v>
          </cell>
          <cell r="G1192" t="str">
            <v>Yes</v>
          </cell>
          <cell r="H1192" t="str">
            <v>NO</v>
          </cell>
          <cell r="I1192" t="str">
            <v>Programa de doctorado en Ciencias de la Salud por la Universidad de Oviedo / Departamento de Psicología, área Psicología Evolutiva y de la Educación</v>
          </cell>
          <cell r="J1192" t="str">
            <v>Máster en Investigación en Neurociencias por la Universidad de Oviedo</v>
          </cell>
          <cell r="K1192" t="str">
            <v>Grado en Logopedia</v>
          </cell>
          <cell r="L1192" t="str">
            <v/>
          </cell>
          <cell r="M1192" t="str">
            <v>Labour</v>
          </cell>
          <cell r="N1192" t="str">
            <v>Cano Villagrasa, Alejandro</v>
          </cell>
          <cell r="O1192" t="str">
            <v>CBS</v>
          </cell>
          <cell r="P1192">
            <v>100</v>
          </cell>
          <cell r="Q1192" t="str">
            <v>50</v>
          </cell>
          <cell r="R1192"/>
          <cell r="S1192"/>
          <cell r="T1192" t="str">
            <v>Sin reducción</v>
          </cell>
          <cell r="U1192">
            <v>0</v>
          </cell>
          <cell r="V1192">
            <v>28</v>
          </cell>
          <cell r="W1192" t="str">
            <v>EDUCACIÓN</v>
          </cell>
          <cell r="X1192">
            <v>0</v>
          </cell>
          <cell r="Y1192">
            <v>21.6</v>
          </cell>
          <cell r="Z1192">
            <v>0</v>
          </cell>
          <cell r="AA1192"/>
          <cell r="AB1192" t="str">
            <v>Active - signed</v>
          </cell>
          <cell r="AC1192" t="str">
            <v>ACTIVO</v>
          </cell>
          <cell r="AD1192"/>
          <cell r="AE1192"/>
          <cell r="AF1192"/>
          <cell r="AG1192"/>
          <cell r="AH1192"/>
          <cell r="AI1192" t="str">
            <v>71901116B</v>
          </cell>
        </row>
        <row r="1193">
          <cell r="A1193" t="str">
            <v>20816961Y</v>
          </cell>
          <cell r="B1193" t="str">
            <v>Vila Candel</v>
          </cell>
          <cell r="C1193" t="str">
            <v>Rafael</v>
          </cell>
          <cell r="D1193" t="str">
            <v>Vila Candel, Rafael</v>
          </cell>
          <cell r="E1193" t="str">
            <v>rafael.vila</v>
          </cell>
          <cell r="F1193" t="str">
            <v>rafael.vila@professor.universidadviu.com</v>
          </cell>
          <cell r="G1193" t="str">
            <v>Yes</v>
          </cell>
          <cell r="H1193" t="str">
            <v>Yes</v>
          </cell>
          <cell r="I1193" t="str">
            <v>Programa de doctorado Enfermería Integral</v>
          </cell>
          <cell r="J1193" t="str">
            <v>Programa de doctorado Enfermería Integral</v>
          </cell>
          <cell r="K1193" t="str">
            <v>Máster Universitario en Gestión Sanitaria</v>
          </cell>
          <cell r="L1193" t="str">
            <v>Diploma Enfermería</v>
          </cell>
          <cell r="M1193" t="str">
            <v>Labour</v>
          </cell>
          <cell r="N1193" t="str">
            <v>García Tejedor, Aurora</v>
          </cell>
          <cell r="O1193" t="str">
            <v>CBS</v>
          </cell>
          <cell r="P1193">
            <v>100</v>
          </cell>
          <cell r="Q1193" t="str">
            <v>50</v>
          </cell>
          <cell r="R1193"/>
          <cell r="S1193"/>
          <cell r="T1193" t="str">
            <v>Dirección de título Máster Universitario - 2 ediciones</v>
          </cell>
          <cell r="U1193">
            <v>38</v>
          </cell>
          <cell r="V1193"/>
          <cell r="W1193"/>
          <cell r="X1193">
            <v>0</v>
          </cell>
          <cell r="Y1193">
            <v>6</v>
          </cell>
          <cell r="Z1193">
            <v>0</v>
          </cell>
          <cell r="AA1193"/>
          <cell r="AB1193" t="str">
            <v>Active - signed</v>
          </cell>
          <cell r="AC1193" t="str">
            <v>ACTIVO</v>
          </cell>
          <cell r="AD1193"/>
          <cell r="AE1193"/>
          <cell r="AF1193"/>
          <cell r="AG1193"/>
          <cell r="AH1193"/>
          <cell r="AI1193" t="str">
            <v>20816961Y</v>
          </cell>
        </row>
        <row r="1194">
          <cell r="A1194" t="str">
            <v>29181561N</v>
          </cell>
          <cell r="B1194" t="str">
            <v>Vila López</v>
          </cell>
          <cell r="C1194" t="str">
            <v>Vanessa</v>
          </cell>
          <cell r="D1194" t="str">
            <v>Vila López, Vanessa</v>
          </cell>
          <cell r="E1194" t="str">
            <v>vanessa.vila.lo</v>
          </cell>
          <cell r="F1194" t="str">
            <v>vanessa.vila.lo@professor.universidadviu.com</v>
          </cell>
          <cell r="G1194" t="str">
            <v>NO</v>
          </cell>
          <cell r="H1194" t="str">
            <v>NO</v>
          </cell>
          <cell r="I1194" t="str">
            <v>Ciencia y tecnología de los alimentos</v>
          </cell>
          <cell r="J1194" t="str">
            <v>Licenciada en Ciencia y Tecnología de los Alimentos</v>
          </cell>
          <cell r="K1194" t="str">
            <v/>
          </cell>
          <cell r="L1194" t="str">
            <v/>
          </cell>
          <cell r="M1194" t="str">
            <v>Labour</v>
          </cell>
          <cell r="N1194" t="str">
            <v>Pedelini Gassmann, Leda</v>
          </cell>
          <cell r="O1194" t="str">
            <v>CBS</v>
          </cell>
          <cell r="P1194">
            <v>50</v>
          </cell>
          <cell r="Q1194" t="str">
            <v>38</v>
          </cell>
          <cell r="R1194" t="str">
            <v>Ampliación febrero</v>
          </cell>
          <cell r="S1194"/>
          <cell r="T1194" t="str">
            <v>Sin reducción</v>
          </cell>
          <cell r="U1194">
            <v>0</v>
          </cell>
          <cell r="V1194"/>
          <cell r="W1194"/>
          <cell r="X1194">
            <v>0</v>
          </cell>
          <cell r="Y1194">
            <v>29.7</v>
          </cell>
          <cell r="Z1194">
            <v>6.5</v>
          </cell>
          <cell r="AA1194"/>
          <cell r="AB1194" t="str">
            <v>Active - signed</v>
          </cell>
          <cell r="AC1194" t="str">
            <v>ACTIVO</v>
          </cell>
          <cell r="AD1194"/>
          <cell r="AE1194"/>
          <cell r="AF1194"/>
          <cell r="AG1194"/>
          <cell r="AH1194"/>
          <cell r="AI1194" t="str">
            <v>29181561N</v>
          </cell>
        </row>
        <row r="1195">
          <cell r="A1195" t="str">
            <v>48603992R</v>
          </cell>
          <cell r="B1195" t="str">
            <v>Vila Vicent</v>
          </cell>
          <cell r="C1195" t="str">
            <v>Susana</v>
          </cell>
          <cell r="D1195" t="str">
            <v>Vila Vicent, Susana</v>
          </cell>
          <cell r="E1195" t="str">
            <v>susana.vila</v>
          </cell>
          <cell r="F1195" t="str">
            <v>susana.vila@professional.universidadviu.com</v>
          </cell>
          <cell r="G1195" t="str">
            <v>NO</v>
          </cell>
          <cell r="H1195" t="str">
            <v>NO</v>
          </cell>
          <cell r="I1195" t="str">
            <v>Máster</v>
          </cell>
          <cell r="J1195" t="str">
            <v>Biomedicina y Biotecnología</v>
          </cell>
          <cell r="K1195" t="str">
            <v/>
          </cell>
          <cell r="L1195" t="str">
            <v/>
          </cell>
          <cell r="M1195" t="str">
            <v>Professional</v>
          </cell>
          <cell r="N1195" t="str">
            <v/>
          </cell>
          <cell r="O1195" t="str">
            <v>CBS</v>
          </cell>
          <cell r="P1195">
            <v>0</v>
          </cell>
          <cell r="Q1195" t="str">
            <v xml:space="preserve"> </v>
          </cell>
          <cell r="R1195"/>
          <cell r="S1195"/>
          <cell r="T1195" t="str">
            <v>Sin reducción</v>
          </cell>
          <cell r="U1195">
            <v>0</v>
          </cell>
          <cell r="V1195"/>
          <cell r="W1195"/>
          <cell r="X1195">
            <v>0</v>
          </cell>
          <cell r="Y1195">
            <v>0</v>
          </cell>
          <cell r="Z1195">
            <v>0</v>
          </cell>
          <cell r="AA1195"/>
          <cell r="AB1195" t="str">
            <v>Active - signed</v>
          </cell>
          <cell r="AC1195" t="str">
            <v>ACTIVO</v>
          </cell>
          <cell r="AD1195"/>
          <cell r="AE1195"/>
          <cell r="AF1195"/>
          <cell r="AG1195"/>
          <cell r="AH1195"/>
          <cell r="AI1195" t="str">
            <v>48603992R</v>
          </cell>
        </row>
        <row r="1196">
          <cell r="A1196" t="str">
            <v>74684137D</v>
          </cell>
          <cell r="B1196" t="str">
            <v>Vílchez Tornero</v>
          </cell>
          <cell r="C1196" t="str">
            <v>José Luis</v>
          </cell>
          <cell r="D1196" t="str">
            <v>Vílchez Tornero, José Luis</v>
          </cell>
          <cell r="E1196" t="str">
            <v>jvilchez@professor.universidadviu.com</v>
          </cell>
          <cell r="F1196" t="str">
            <v>jvilchez@professor.universidadviu.com</v>
          </cell>
          <cell r="G1196" t="str">
            <v>Yes</v>
          </cell>
          <cell r="H1196" t="str">
            <v>Yes</v>
          </cell>
          <cell r="I1196" t="str">
            <v>Programa de Doctorado en Psicología Experimental y Neurociencia del Comportamiento / Departamento de Psicología Experimental y Fisiología del Comportamiento</v>
          </cell>
          <cell r="J1196" t="str">
            <v/>
          </cell>
          <cell r="K1196" t="str">
            <v/>
          </cell>
          <cell r="L1196" t="str">
            <v/>
          </cell>
          <cell r="M1196" t="str">
            <v>Labour</v>
          </cell>
          <cell r="N1196" t="str">
            <v>Rama Galdón, Encarnación</v>
          </cell>
          <cell r="O1196" t="str">
            <v>CSS</v>
          </cell>
          <cell r="P1196">
            <v>100</v>
          </cell>
          <cell r="Q1196" t="str">
            <v>50</v>
          </cell>
          <cell r="R1196"/>
          <cell r="S1196"/>
          <cell r="T1196" t="str">
            <v>Sin reducción</v>
          </cell>
          <cell r="U1196">
            <v>0</v>
          </cell>
          <cell r="V1196"/>
          <cell r="W1196"/>
          <cell r="X1196">
            <v>36</v>
          </cell>
          <cell r="Y1196">
            <v>0</v>
          </cell>
          <cell r="Z1196">
            <v>0</v>
          </cell>
          <cell r="AA1196"/>
          <cell r="AB1196" t="str">
            <v>Active - signed</v>
          </cell>
          <cell r="AC1196" t="str">
            <v>ACTIVO</v>
          </cell>
          <cell r="AD1196"/>
          <cell r="AE1196"/>
          <cell r="AF1196"/>
          <cell r="AG1196"/>
          <cell r="AH1196"/>
          <cell r="AI1196" t="str">
            <v>74684137D</v>
          </cell>
        </row>
        <row r="1197">
          <cell r="A1197" t="str">
            <v>23035573S</v>
          </cell>
          <cell r="B1197" t="str">
            <v>Villada Rodríguez</v>
          </cell>
          <cell r="C1197" t="str">
            <v>Carolina</v>
          </cell>
          <cell r="D1197" t="str">
            <v>Villada Rodríguez, Carolina</v>
          </cell>
          <cell r="E1197" t="str">
            <v>carolina.villada</v>
          </cell>
          <cell r="F1197" t="str">
            <v>carolina.villada@professional.universidadviu.com</v>
          </cell>
          <cell r="G1197" t="str">
            <v>Yes</v>
          </cell>
          <cell r="H1197" t="str">
            <v>NO</v>
          </cell>
          <cell r="I1197" t="str">
            <v>Doctorado</v>
          </cell>
          <cell r="J1197" t="str">
            <v>Licenciado</v>
          </cell>
          <cell r="K1197" t="str">
            <v/>
          </cell>
          <cell r="L1197" t="str">
            <v/>
          </cell>
          <cell r="M1197" t="str">
            <v>Professional</v>
          </cell>
          <cell r="N1197" t="str">
            <v/>
          </cell>
          <cell r="O1197"/>
          <cell r="P1197">
            <v>0</v>
          </cell>
          <cell r="Q1197" t="str">
            <v xml:space="preserve"> </v>
          </cell>
          <cell r="R1197"/>
          <cell r="S1197"/>
          <cell r="T1197" t="str">
            <v>Sin reducción</v>
          </cell>
          <cell r="U1197">
            <v>0</v>
          </cell>
          <cell r="V1197"/>
          <cell r="W1197"/>
          <cell r="X1197">
            <v>0</v>
          </cell>
          <cell r="Y1197">
            <v>0</v>
          </cell>
          <cell r="Z1197">
            <v>0</v>
          </cell>
          <cell r="AA1197"/>
          <cell r="AB1197" t="str">
            <v>Active - signed</v>
          </cell>
          <cell r="AC1197" t="str">
            <v>ACTIVO</v>
          </cell>
          <cell r="AD1197"/>
          <cell r="AE1197"/>
          <cell r="AF1197"/>
          <cell r="AG1197"/>
          <cell r="AH1197"/>
          <cell r="AI1197" t="str">
            <v>23035573S</v>
          </cell>
        </row>
        <row r="1198">
          <cell r="A1198" t="str">
            <v>Y3649433Z</v>
          </cell>
          <cell r="B1198" t="str">
            <v>Villagrán Venegas</v>
          </cell>
          <cell r="C1198" t="str">
            <v>Aída Mariana</v>
          </cell>
          <cell r="D1198" t="str">
            <v>Villagrán Venegas, Aída Mariana</v>
          </cell>
          <cell r="E1198" t="str">
            <v>avillagranv@professional.universidadviu.com</v>
          </cell>
          <cell r="F1198" t="str">
            <v>avillagranv@professional.universidadviu.com</v>
          </cell>
          <cell r="G1198" t="str">
            <v>Yes</v>
          </cell>
          <cell r="H1198" t="str">
            <v>NO</v>
          </cell>
          <cell r="I1198" t="str">
            <v>Doctorado en Investigación en Psicología</v>
          </cell>
          <cell r="J1198" t="str">
            <v>Master Universitario en Intervención Psicológica en ámbitos sociales</v>
          </cell>
          <cell r="K1198" t="str">
            <v>Psicóloga</v>
          </cell>
          <cell r="L1198" t="str">
            <v/>
          </cell>
          <cell r="M1198" t="str">
            <v>Professional</v>
          </cell>
          <cell r="N1198"/>
          <cell r="O1198" t="str">
            <v>CSS</v>
          </cell>
          <cell r="P1198">
            <v>0</v>
          </cell>
          <cell r="Q1198" t="str">
            <v xml:space="preserve"> </v>
          </cell>
          <cell r="R1198"/>
          <cell r="S1198"/>
          <cell r="T1198" t="str">
            <v>Sin reducción</v>
          </cell>
          <cell r="U1198">
            <v>0</v>
          </cell>
          <cell r="V1198"/>
          <cell r="W1198"/>
          <cell r="X1198">
            <v>0</v>
          </cell>
          <cell r="Y1198">
            <v>0</v>
          </cell>
          <cell r="Z1198">
            <v>0</v>
          </cell>
          <cell r="AA1198"/>
          <cell r="AB1198" t="str">
            <v>Active - signed</v>
          </cell>
          <cell r="AC1198" t="str">
            <v>ACTIVO</v>
          </cell>
          <cell r="AD1198"/>
          <cell r="AE1198"/>
          <cell r="AF1198"/>
          <cell r="AG1198"/>
          <cell r="AH1198"/>
          <cell r="AI1198" t="str">
            <v>Y3649433Z</v>
          </cell>
        </row>
        <row r="1199">
          <cell r="A1199" t="str">
            <v>38883360C</v>
          </cell>
          <cell r="B1199" t="str">
            <v>Villalba Felipe</v>
          </cell>
          <cell r="C1199" t="str">
            <v>Adrián</v>
          </cell>
          <cell r="D1199" t="str">
            <v>Villalba Felipe, Adrián</v>
          </cell>
          <cell r="E1199" t="str">
            <v>adrian.villalba@professor.universidadviu.com</v>
          </cell>
          <cell r="F1199" t="str">
            <v>adrian.villalba@professor.universidadviu.com</v>
          </cell>
          <cell r="G1199" t="str">
            <v>Yes</v>
          </cell>
          <cell r="H1199" t="str">
            <v>Yes</v>
          </cell>
          <cell r="I1199" t="str">
            <v>Doctorado en Inmunología Avanzada</v>
          </cell>
          <cell r="J1199" t="str">
            <v>Máster Universitario en Biomedicina Experimental</v>
          </cell>
          <cell r="K1199" t="str">
            <v>Grado en Bioquímica</v>
          </cell>
          <cell r="L1199" t="str">
            <v>Doctorado en Inmunología Avanzada</v>
          </cell>
          <cell r="M1199" t="str">
            <v>Labour</v>
          </cell>
          <cell r="N1199" t="str">
            <v>Mut Ronda, Salvador</v>
          </cell>
          <cell r="O1199" t="str">
            <v>CBS</v>
          </cell>
          <cell r="P1199">
            <v>50</v>
          </cell>
          <cell r="Q1199" t="str">
            <v>38</v>
          </cell>
          <cell r="R1199"/>
          <cell r="S1199"/>
          <cell r="T1199" t="str">
            <v>Sin reducción</v>
          </cell>
          <cell r="U1199">
            <v>0</v>
          </cell>
          <cell r="V1199"/>
          <cell r="W1199"/>
          <cell r="X1199">
            <v>0</v>
          </cell>
          <cell r="Y1199">
            <v>13</v>
          </cell>
          <cell r="Z1199">
            <v>18.7</v>
          </cell>
          <cell r="AA1199"/>
          <cell r="AB1199" t="str">
            <v>Active - signed</v>
          </cell>
          <cell r="AC1199" t="str">
            <v>ACTIVO</v>
          </cell>
          <cell r="AD1199"/>
          <cell r="AE1199"/>
          <cell r="AF1199"/>
          <cell r="AG1199"/>
          <cell r="AH1199"/>
          <cell r="AI1199" t="str">
            <v>38883360C</v>
          </cell>
        </row>
        <row r="1200">
          <cell r="A1200" t="str">
            <v>76422963N</v>
          </cell>
          <cell r="B1200" t="str">
            <v>Villalobos Tornero</v>
          </cell>
          <cell r="C1200" t="str">
            <v>María Dolores</v>
          </cell>
          <cell r="D1200" t="str">
            <v>Villalobos Tornero, María Dolores</v>
          </cell>
          <cell r="E1200" t="str">
            <v>mariadolores.villalobos.t</v>
          </cell>
          <cell r="F1200" t="str">
            <v>mariadolores.villalobos.t@professional.universidadviu.com</v>
          </cell>
          <cell r="G1200" t="str">
            <v>Yes</v>
          </cell>
          <cell r="H1200" t="str">
            <v>Yes</v>
          </cell>
          <cell r="I1200" t="str">
            <v>Programa de Doctorado en Ciencias de la Salud</v>
          </cell>
          <cell r="J1200" t="str">
            <v>Licenciada</v>
          </cell>
          <cell r="K1200" t="str">
            <v/>
          </cell>
          <cell r="L1200" t="str">
            <v/>
          </cell>
          <cell r="M1200" t="str">
            <v>Professional</v>
          </cell>
          <cell r="N1200" t="str">
            <v/>
          </cell>
          <cell r="O1200"/>
          <cell r="P1200">
            <v>0</v>
          </cell>
          <cell r="Q1200" t="str">
            <v xml:space="preserve"> </v>
          </cell>
          <cell r="R1200"/>
          <cell r="S1200"/>
          <cell r="T1200" t="str">
            <v>Sin reducción</v>
          </cell>
          <cell r="U1200">
            <v>0</v>
          </cell>
          <cell r="V1200"/>
          <cell r="W1200"/>
          <cell r="X1200">
            <v>0</v>
          </cell>
          <cell r="Y1200">
            <v>0</v>
          </cell>
          <cell r="Z1200">
            <v>0</v>
          </cell>
          <cell r="AA1200"/>
          <cell r="AB1200" t="str">
            <v>Active - signed</v>
          </cell>
          <cell r="AC1200" t="str">
            <v>ACTIVO</v>
          </cell>
          <cell r="AD1200"/>
          <cell r="AE1200"/>
          <cell r="AF1200"/>
          <cell r="AG1200"/>
          <cell r="AH1200"/>
          <cell r="AI1200" t="str">
            <v>76422963N</v>
          </cell>
        </row>
        <row r="1201">
          <cell r="A1201" t="str">
            <v>44859681K</v>
          </cell>
          <cell r="B1201" t="str">
            <v>Villalón Coca</v>
          </cell>
          <cell r="C1201" t="str">
            <v>Javier</v>
          </cell>
          <cell r="D1201" t="str">
            <v>Villalón Coca, Javier</v>
          </cell>
          <cell r="E1201" t="str">
            <v>javier.villalon</v>
          </cell>
          <cell r="F1201" t="str">
            <v>javier.villalon@professional.universidadviu.com</v>
          </cell>
          <cell r="G1201" t="str">
            <v>NO</v>
          </cell>
          <cell r="H1201" t="str">
            <v>NO</v>
          </cell>
          <cell r="I1201" t="str">
            <v>Graduado en Ingeniería de Sistemas de Telecomunicación</v>
          </cell>
          <cell r="J1201" t="str">
            <v>Ingeniero Técnico de Telecomunicación</v>
          </cell>
          <cell r="K1201" t="str">
            <v>Master universitario gestion sanitaria</v>
          </cell>
          <cell r="L1201" t="str">
            <v/>
          </cell>
          <cell r="M1201" t="str">
            <v>Professional</v>
          </cell>
          <cell r="N1201" t="str">
            <v/>
          </cell>
          <cell r="O1201" t="str">
            <v>CBS</v>
          </cell>
          <cell r="P1201">
            <v>0</v>
          </cell>
          <cell r="Q1201" t="str">
            <v xml:space="preserve"> </v>
          </cell>
          <cell r="R1201"/>
          <cell r="S1201"/>
          <cell r="T1201" t="str">
            <v>Sin reducción</v>
          </cell>
          <cell r="U1201">
            <v>0</v>
          </cell>
          <cell r="V1201"/>
          <cell r="W1201"/>
          <cell r="X1201">
            <v>0</v>
          </cell>
          <cell r="Y1201">
            <v>0</v>
          </cell>
          <cell r="Z1201">
            <v>0</v>
          </cell>
          <cell r="AA1201"/>
          <cell r="AB1201" t="str">
            <v>Active - signed</v>
          </cell>
          <cell r="AC1201" t="str">
            <v>ACTIVO</v>
          </cell>
          <cell r="AD1201"/>
          <cell r="AE1201"/>
          <cell r="AF1201"/>
          <cell r="AG1201"/>
          <cell r="AH1201"/>
          <cell r="AI1201" t="str">
            <v>44859681K</v>
          </cell>
        </row>
        <row r="1202">
          <cell r="A1202" t="str">
            <v>73259341V</v>
          </cell>
          <cell r="B1202" t="str">
            <v>Villanueva Blasco</v>
          </cell>
          <cell r="C1202" t="str">
            <v>Víctor José</v>
          </cell>
          <cell r="D1202" t="str">
            <v>Villanueva Blasco, Víctor José</v>
          </cell>
          <cell r="E1202" t="str">
            <v>victorjose.villanueva</v>
          </cell>
          <cell r="F1202" t="str">
            <v>victorjose.villanueva@professor.universidadviu.com</v>
          </cell>
          <cell r="G1202" t="str">
            <v>Yes</v>
          </cell>
          <cell r="H1202" t="str">
            <v>Yes</v>
          </cell>
          <cell r="I1202" t="str">
            <v>Programa de Doctorado en Psicología Clínica y Psicobiología</v>
          </cell>
          <cell r="J1202" t="str">
            <v>Licenciado en Psicología</v>
          </cell>
          <cell r="K1202" t="str">
            <v>Programa de Doctorado en Psicología Clínica y Psicobiología</v>
          </cell>
          <cell r="L1202" t="str">
            <v>Máster Universitario en Investigación en Psicología Clínica y Psicobiología</v>
          </cell>
          <cell r="M1202" t="str">
            <v>Labour</v>
          </cell>
          <cell r="N1202" t="str">
            <v>Duque Moreno, María Aranzazu</v>
          </cell>
          <cell r="O1202" t="str">
            <v>CSS</v>
          </cell>
          <cell r="P1202">
            <v>100</v>
          </cell>
          <cell r="Q1202" t="str">
            <v>50</v>
          </cell>
          <cell r="R1202"/>
          <cell r="S1202" t="str">
            <v>2016-2021</v>
          </cell>
          <cell r="T1202" t="str">
            <v>Dirección de título Máster Universitario &lt;60 - 1 edición</v>
          </cell>
          <cell r="U1202" t="str">
            <v>26</v>
          </cell>
          <cell r="V1202"/>
          <cell r="W1202"/>
          <cell r="X1202">
            <v>10.199999999999999</v>
          </cell>
          <cell r="Y1202">
            <v>0</v>
          </cell>
          <cell r="Z1202">
            <v>5.4</v>
          </cell>
          <cell r="AA1202"/>
          <cell r="AB1202" t="str">
            <v>Active - signed</v>
          </cell>
          <cell r="AC1202" t="str">
            <v>ACTIVO</v>
          </cell>
          <cell r="AD1202"/>
          <cell r="AE1202"/>
          <cell r="AF1202"/>
          <cell r="AG1202"/>
          <cell r="AH1202"/>
          <cell r="AI1202" t="str">
            <v>73259341V</v>
          </cell>
        </row>
        <row r="1203">
          <cell r="A1203" t="str">
            <v>44515586Y</v>
          </cell>
          <cell r="B1203" t="str">
            <v>Villanueva Silvestre</v>
          </cell>
          <cell r="C1203" t="str">
            <v>Verónica</v>
          </cell>
          <cell r="D1203" t="str">
            <v>Villanueva Silvestre, Verónica</v>
          </cell>
          <cell r="E1203" t="str">
            <v>veronica.villanueva</v>
          </cell>
          <cell r="F1203" t="str">
            <v>veronica.villanueva@professor.universidadviu.com</v>
          </cell>
          <cell r="G1203" t="str">
            <v>Yes</v>
          </cell>
          <cell r="H1203" t="str">
            <v>Yes</v>
          </cell>
          <cell r="I1203" t="str">
            <v>Psicología</v>
          </cell>
          <cell r="J1203" t="str">
            <v>Título Oficial de Psicologa Especialista en Psicología Clinica</v>
          </cell>
          <cell r="K1203" t="str">
            <v>Licenciado en Psicología</v>
          </cell>
          <cell r="L1203" t="str">
            <v>MU Prevención y Tratamiento de las Conductas Adictivas</v>
          </cell>
          <cell r="M1203" t="str">
            <v>Labour</v>
          </cell>
          <cell r="N1203" t="str">
            <v>Villanueva Blasco, Víctor José</v>
          </cell>
          <cell r="O1203" t="str">
            <v>CSS</v>
          </cell>
          <cell r="P1203">
            <v>30</v>
          </cell>
          <cell r="Q1203" t="str">
            <v>24</v>
          </cell>
          <cell r="R1203"/>
          <cell r="S1203"/>
          <cell r="T1203" t="str">
            <v>Sin reducción</v>
          </cell>
          <cell r="U1203">
            <v>0</v>
          </cell>
          <cell r="V1203"/>
          <cell r="W1203"/>
          <cell r="X1203">
            <v>0.7</v>
          </cell>
          <cell r="Y1203">
            <v>0</v>
          </cell>
          <cell r="Z1203">
            <v>0.7</v>
          </cell>
          <cell r="AA1203"/>
          <cell r="AB1203" t="str">
            <v>Active - signed</v>
          </cell>
          <cell r="AC1203" t="str">
            <v>BAJA TEMPORAL</v>
          </cell>
          <cell r="AD1203">
            <v>46054</v>
          </cell>
          <cell r="AE1203">
            <v>46204</v>
          </cell>
          <cell r="AF1203"/>
          <cell r="AG1203" t="str">
            <v>MATERNIDAD</v>
          </cell>
          <cell r="AH1203" t="str">
            <v>Fecha probable parto aprox. febrero</v>
          </cell>
          <cell r="AI1203" t="str">
            <v>44515586Y</v>
          </cell>
        </row>
        <row r="1204">
          <cell r="A1204">
            <v>167517250</v>
          </cell>
          <cell r="B1204" t="str">
            <v>Villarreal Díaz</v>
          </cell>
          <cell r="C1204" t="str">
            <v>Pablo</v>
          </cell>
          <cell r="D1204" t="str">
            <v>Villarreal Díaz, Pablo</v>
          </cell>
          <cell r="E1204" t="str">
            <v>pablo.villarreal</v>
          </cell>
          <cell r="F1204" t="str">
            <v>pablo.villarreal@professional.universidadviu.com</v>
          </cell>
          <cell r="G1204" t="str">
            <v>NO</v>
          </cell>
          <cell r="H1204" t="str">
            <v>NO</v>
          </cell>
          <cell r="I1204" t="str">
            <v>Biotecnología</v>
          </cell>
          <cell r="J1204" t="str">
            <v>Doctor en Biotecnología Molecular</v>
          </cell>
          <cell r="K1204" t="str">
            <v>Ingeniero en Biotecnología Molecular</v>
          </cell>
          <cell r="L1204" t="str">
            <v/>
          </cell>
          <cell r="M1204" t="str">
            <v>Professional</v>
          </cell>
          <cell r="N1204" t="str">
            <v/>
          </cell>
          <cell r="O1204" t="str">
            <v>CBS</v>
          </cell>
          <cell r="P1204">
            <v>0</v>
          </cell>
          <cell r="Q1204" t="str">
            <v xml:space="preserve"> </v>
          </cell>
          <cell r="R1204"/>
          <cell r="S1204"/>
          <cell r="T1204" t="str">
            <v>Sin reducción</v>
          </cell>
          <cell r="U1204">
            <v>0</v>
          </cell>
          <cell r="V1204"/>
          <cell r="W1204"/>
          <cell r="X1204">
            <v>0</v>
          </cell>
          <cell r="Y1204">
            <v>0</v>
          </cell>
          <cell r="Z1204">
            <v>0</v>
          </cell>
          <cell r="AA1204"/>
          <cell r="AB1204" t="str">
            <v>Active - signed</v>
          </cell>
          <cell r="AC1204" t="str">
            <v>ACTIVO</v>
          </cell>
          <cell r="AD1204"/>
          <cell r="AE1204"/>
          <cell r="AF1204"/>
          <cell r="AG1204"/>
          <cell r="AH1204"/>
          <cell r="AI1204">
            <v>167517250</v>
          </cell>
        </row>
        <row r="1205">
          <cell r="A1205" t="str">
            <v>Y0541850F</v>
          </cell>
          <cell r="B1205" t="str">
            <v>Villarroel Núñez</v>
          </cell>
          <cell r="C1205" t="str">
            <v>Dinka Natacha</v>
          </cell>
          <cell r="D1205" t="str">
            <v>Villarroel Núñez, Dinka Natacha</v>
          </cell>
          <cell r="E1205" t="str">
            <v>dvillarroeln@professional.universidadviu.com</v>
          </cell>
          <cell r="F1205" t="str">
            <v>dvillarroeln@professional.universidadviu.com</v>
          </cell>
          <cell r="G1205" t="str">
            <v>NO</v>
          </cell>
          <cell r="H1205" t="str">
            <v>NO</v>
          </cell>
          <cell r="I1205" t="str">
            <v>Magister en Administración de Empresas (Executive MBA)</v>
          </cell>
          <cell r="J1205" t="str">
            <v>Psicologo</v>
          </cell>
          <cell r="K1205" t="str">
            <v/>
          </cell>
          <cell r="L1205" t="str">
            <v/>
          </cell>
          <cell r="M1205" t="str">
            <v>Professional</v>
          </cell>
          <cell r="N1205"/>
          <cell r="O1205" t="str">
            <v>CSS</v>
          </cell>
          <cell r="P1205">
            <v>0</v>
          </cell>
          <cell r="Q1205" t="str">
            <v xml:space="preserve"> </v>
          </cell>
          <cell r="R1205"/>
          <cell r="S1205"/>
          <cell r="T1205" t="str">
            <v>Sin reducción</v>
          </cell>
          <cell r="U1205">
            <v>0</v>
          </cell>
          <cell r="V1205"/>
          <cell r="W1205"/>
          <cell r="X1205">
            <v>0</v>
          </cell>
          <cell r="Y1205">
            <v>0</v>
          </cell>
          <cell r="Z1205">
            <v>0</v>
          </cell>
          <cell r="AA1205"/>
          <cell r="AB1205" t="str">
            <v>Active - signed</v>
          </cell>
          <cell r="AC1205" t="str">
            <v>ACTIVO</v>
          </cell>
          <cell r="AD1205"/>
          <cell r="AE1205"/>
          <cell r="AF1205"/>
          <cell r="AG1205"/>
          <cell r="AH1205"/>
          <cell r="AI1205" t="str">
            <v>Y0541850F</v>
          </cell>
        </row>
        <row r="1206">
          <cell r="A1206" t="str">
            <v>02652988F</v>
          </cell>
          <cell r="B1206" t="str">
            <v>Vilte Rosas</v>
          </cell>
          <cell r="C1206" t="str">
            <v>Luz Sofía</v>
          </cell>
          <cell r="D1206" t="str">
            <v>Vilte Rosas, Luz Sofía</v>
          </cell>
          <cell r="E1206" t="str">
            <v>luzsofia.vilte</v>
          </cell>
          <cell r="F1206" t="str">
            <v>luzsofia.vilte@professor.universidadviu.com</v>
          </cell>
          <cell r="G1206" t="str">
            <v>Yes</v>
          </cell>
          <cell r="H1206" t="str">
            <v>NO</v>
          </cell>
          <cell r="I1206" t="str">
            <v>PROGRAMA DE DOCTORADO EN PSICOLOGÍA</v>
          </cell>
          <cell r="J1206" t="str">
            <v>PROGRAMA DE DOCTORADO EN PSICOLOGÍA</v>
          </cell>
          <cell r="K1206" t="str">
            <v>Master universitario en psicologia general sanitaria</v>
          </cell>
          <cell r="L1206" t="str">
            <v>Graduada en psicologia</v>
          </cell>
          <cell r="M1206" t="str">
            <v>Labour</v>
          </cell>
          <cell r="N1206"/>
          <cell r="O1206" t="str">
            <v>CSS</v>
          </cell>
          <cell r="P1206" t="str">
            <v>40,00</v>
          </cell>
          <cell r="Q1206" t="b">
            <v>0</v>
          </cell>
          <cell r="R1206"/>
          <cell r="S1206"/>
          <cell r="T1206" t="str">
            <v>Sin reducción</v>
          </cell>
          <cell r="U1206">
            <v>0</v>
          </cell>
          <cell r="V1206"/>
          <cell r="W1206"/>
          <cell r="X1206">
            <v>0</v>
          </cell>
          <cell r="Y1206">
            <v>0</v>
          </cell>
          <cell r="Z1206">
            <v>0</v>
          </cell>
          <cell r="AA1206"/>
          <cell r="AB1206" t="str">
            <v>Concluded</v>
          </cell>
          <cell r="AC1206" t="str">
            <v>NO ACTIVO</v>
          </cell>
          <cell r="AD1206"/>
          <cell r="AE1206"/>
          <cell r="AF1206">
            <v>45373</v>
          </cell>
          <cell r="AG1206" t="str">
            <v>CESE DE CONTRATO</v>
          </cell>
          <cell r="AH1206"/>
          <cell r="AI1206" t="str">
            <v>02652988F</v>
          </cell>
        </row>
        <row r="1207">
          <cell r="A1207" t="str">
            <v>48117413X</v>
          </cell>
          <cell r="B1207" t="str">
            <v>Viqueira Gutiérrez</v>
          </cell>
          <cell r="C1207" t="str">
            <v>Laura</v>
          </cell>
          <cell r="D1207" t="str">
            <v>Viqueira Gutiérrez, Laura</v>
          </cell>
          <cell r="E1207" t="str">
            <v>lviqueirag@professional.universidadviu.com</v>
          </cell>
          <cell r="F1207" t="str">
            <v>lviqueirag@professional.universidadviu.com</v>
          </cell>
          <cell r="G1207" t="str">
            <v>Yes</v>
          </cell>
          <cell r="H1207" t="str">
            <v>NO</v>
          </cell>
          <cell r="I1207" t="str">
            <v/>
          </cell>
          <cell r="J1207" t="str">
            <v/>
          </cell>
          <cell r="K1207" t="str">
            <v/>
          </cell>
          <cell r="L1207" t="str">
            <v/>
          </cell>
          <cell r="M1207" t="str">
            <v>Labour</v>
          </cell>
          <cell r="N1207"/>
          <cell r="O1207" t="str">
            <v>CSS</v>
          </cell>
          <cell r="P1207">
            <v>100</v>
          </cell>
          <cell r="Q1207" t="str">
            <v>50</v>
          </cell>
          <cell r="R1207" t="str">
            <v>Laboralización marzo</v>
          </cell>
          <cell r="S1207"/>
          <cell r="T1207" t="str">
            <v>Sin reducción</v>
          </cell>
          <cell r="U1207">
            <v>0</v>
          </cell>
          <cell r="V1207">
            <v>12</v>
          </cell>
          <cell r="W1207" t="str">
            <v>EDUCACIÓN</v>
          </cell>
          <cell r="X1207">
            <v>36</v>
          </cell>
          <cell r="Y1207">
            <v>0</v>
          </cell>
          <cell r="Z1207">
            <v>0</v>
          </cell>
          <cell r="AA1207"/>
          <cell r="AB1207" t="str">
            <v>Active - signed</v>
          </cell>
          <cell r="AC1207" t="str">
            <v>ACTIVO</v>
          </cell>
          <cell r="AD1207"/>
          <cell r="AE1207"/>
          <cell r="AF1207"/>
          <cell r="AG1207"/>
          <cell r="AH1207" t="str">
            <v>PTE. LABORALIZACIÓN/ PROPUESTA LABORAL</v>
          </cell>
          <cell r="AI1207" t="str">
            <v>48117413X</v>
          </cell>
        </row>
        <row r="1208">
          <cell r="A1208" t="str">
            <v>BR75477629053</v>
          </cell>
          <cell r="B1208" t="str">
            <v>Xavier</v>
          </cell>
          <cell r="C1208" t="str">
            <v>Marlon</v>
          </cell>
          <cell r="D1208" t="str">
            <v>Xavier, Marlon</v>
          </cell>
          <cell r="E1208" t="str">
            <v>mxavier@professional.universidadviu.com</v>
          </cell>
          <cell r="F1208" t="str">
            <v>mxavier@professional.universidadviu.com</v>
          </cell>
          <cell r="G1208" t="str">
            <v>Yes</v>
          </cell>
          <cell r="H1208" t="str">
            <v>NO</v>
          </cell>
          <cell r="I1208" t="str">
            <v>Doctor en Psicología Social</v>
          </cell>
          <cell r="J1208" t="str">
            <v>Doctor en Educación y TIC (e-learning)</v>
          </cell>
          <cell r="K1208" t="str">
            <v/>
          </cell>
          <cell r="L1208" t="str">
            <v/>
          </cell>
          <cell r="M1208" t="str">
            <v>Professional</v>
          </cell>
          <cell r="N1208"/>
          <cell r="O1208" t="str">
            <v>CSS</v>
          </cell>
          <cell r="P1208">
            <v>0</v>
          </cell>
          <cell r="Q1208" t="str">
            <v xml:space="preserve"> </v>
          </cell>
          <cell r="R1208"/>
          <cell r="S1208"/>
          <cell r="T1208" t="str">
            <v>Sin reducción</v>
          </cell>
          <cell r="U1208">
            <v>0</v>
          </cell>
          <cell r="V1208"/>
          <cell r="W1208"/>
          <cell r="X1208">
            <v>0</v>
          </cell>
          <cell r="Y1208">
            <v>0</v>
          </cell>
          <cell r="Z1208">
            <v>0</v>
          </cell>
          <cell r="AA1208"/>
          <cell r="AB1208" t="str">
            <v>Active - signed</v>
          </cell>
          <cell r="AC1208" t="str">
            <v>ACTIVO</v>
          </cell>
          <cell r="AD1208"/>
          <cell r="AE1208"/>
          <cell r="AF1208"/>
          <cell r="AG1208"/>
          <cell r="AH1208"/>
          <cell r="AI1208" t="str">
            <v>BR75477629053</v>
          </cell>
        </row>
        <row r="1209">
          <cell r="A1209" t="str">
            <v>46819266Y</v>
          </cell>
          <cell r="B1209" t="str">
            <v>Ximenez de Embun Ferrer</v>
          </cell>
          <cell r="C1209" t="str">
            <v>Ingrid</v>
          </cell>
          <cell r="D1209" t="str">
            <v>Ximenez de Embun Ferrer, Ingrid</v>
          </cell>
          <cell r="E1209" t="str">
            <v>iximenezdeembunf@professional.universidadviu.com</v>
          </cell>
          <cell r="F1209" t="str">
            <v>iximenezdeembunf@professional.universidadviu.com</v>
          </cell>
          <cell r="G1209" t="str">
            <v>NO</v>
          </cell>
          <cell r="H1209" t="str">
            <v>NO</v>
          </cell>
          <cell r="I1209" t="str">
            <v>Máster Universitario en Psicología Clínica y de la Salud</v>
          </cell>
          <cell r="J1209" t="str">
            <v>Licenciatura en Psicología</v>
          </cell>
          <cell r="K1209" t="str">
            <v/>
          </cell>
          <cell r="L1209" t="str">
            <v/>
          </cell>
          <cell r="M1209" t="str">
            <v>Professional</v>
          </cell>
          <cell r="N1209" t="str">
            <v/>
          </cell>
          <cell r="O1209" t="str">
            <v>CSS</v>
          </cell>
          <cell r="P1209">
            <v>0</v>
          </cell>
          <cell r="Q1209" t="str">
            <v xml:space="preserve"> </v>
          </cell>
          <cell r="R1209"/>
          <cell r="S1209"/>
          <cell r="T1209" t="str">
            <v>Sin reducción</v>
          </cell>
          <cell r="U1209">
            <v>0</v>
          </cell>
          <cell r="V1209"/>
          <cell r="W1209"/>
          <cell r="X1209">
            <v>0</v>
          </cell>
          <cell r="Y1209">
            <v>0</v>
          </cell>
          <cell r="Z1209">
            <v>0</v>
          </cell>
          <cell r="AA1209"/>
          <cell r="AB1209" t="str">
            <v>Active - signed</v>
          </cell>
          <cell r="AC1209" t="str">
            <v>ACTIVO</v>
          </cell>
          <cell r="AD1209"/>
          <cell r="AE1209"/>
          <cell r="AF1209"/>
          <cell r="AG1209"/>
          <cell r="AH1209"/>
          <cell r="AI1209" t="str">
            <v>46819266Y</v>
          </cell>
        </row>
        <row r="1210">
          <cell r="A1210" t="str">
            <v>71656192Z</v>
          </cell>
          <cell r="B1210" t="str">
            <v>Yagüe Menéndez</v>
          </cell>
          <cell r="C1210" t="str">
            <v>Paula</v>
          </cell>
          <cell r="D1210" t="str">
            <v>Yagüe Menéndez, Paula</v>
          </cell>
          <cell r="E1210" t="str">
            <v>paula.yague</v>
          </cell>
          <cell r="F1210" t="str">
            <v>paula.yague@professional.universidadviu.com</v>
          </cell>
          <cell r="G1210" t="str">
            <v>Yes</v>
          </cell>
          <cell r="H1210" t="str">
            <v>Yes</v>
          </cell>
          <cell r="I1210" t="str">
            <v>Biología y Genética</v>
          </cell>
          <cell r="J1210" t="str">
            <v>Biología aplicada a la sostenibilidad de recursos naturales</v>
          </cell>
          <cell r="K1210" t="str">
            <v/>
          </cell>
          <cell r="L1210" t="str">
            <v/>
          </cell>
          <cell r="M1210" t="str">
            <v>Professional</v>
          </cell>
          <cell r="N1210" t="str">
            <v/>
          </cell>
          <cell r="O1210" t="str">
            <v>CBS</v>
          </cell>
          <cell r="P1210">
            <v>0</v>
          </cell>
          <cell r="Q1210" t="str">
            <v xml:space="preserve"> </v>
          </cell>
          <cell r="R1210"/>
          <cell r="S1210"/>
          <cell r="T1210" t="str">
            <v>Sin reducción</v>
          </cell>
          <cell r="U1210">
            <v>0</v>
          </cell>
          <cell r="V1210"/>
          <cell r="W1210"/>
          <cell r="X1210">
            <v>0</v>
          </cell>
          <cell r="Y1210">
            <v>0</v>
          </cell>
          <cell r="Z1210">
            <v>0</v>
          </cell>
          <cell r="AA1210"/>
          <cell r="AB1210" t="str">
            <v>Active - signed</v>
          </cell>
          <cell r="AC1210" t="str">
            <v>ACTIVO</v>
          </cell>
          <cell r="AD1210"/>
          <cell r="AE1210"/>
          <cell r="AF1210"/>
          <cell r="AG1210"/>
          <cell r="AH1210"/>
          <cell r="AI1210" t="str">
            <v>71656192Z</v>
          </cell>
        </row>
        <row r="1211">
          <cell r="A1211" t="str">
            <v>45887457L</v>
          </cell>
          <cell r="B1211" t="str">
            <v>Yáñez Vilches</v>
          </cell>
          <cell r="C1211" t="str">
            <v>Aurora</v>
          </cell>
          <cell r="D1211" t="str">
            <v>Yáñez Vilches, Aurora</v>
          </cell>
          <cell r="E1211" t="str">
            <v>aurora.yanez</v>
          </cell>
          <cell r="F1211" t="str">
            <v>aurora.yanez@professional.universidadviu.com</v>
          </cell>
          <cell r="G1211" t="str">
            <v>Yes</v>
          </cell>
          <cell r="H1211" t="str">
            <v>NO</v>
          </cell>
          <cell r="I1211" t="str">
            <v>Biología y Genética</v>
          </cell>
          <cell r="J1211" t="str">
            <v>Master universitario en biotecnologia molecular, celular y genetica</v>
          </cell>
          <cell r="K1211" t="str">
            <v>Doctorado</v>
          </cell>
          <cell r="L1211" t="str">
            <v/>
          </cell>
          <cell r="M1211" t="str">
            <v>Professional</v>
          </cell>
          <cell r="N1211" t="str">
            <v/>
          </cell>
          <cell r="O1211" t="str">
            <v>CBS</v>
          </cell>
          <cell r="P1211">
            <v>0</v>
          </cell>
          <cell r="Q1211" t="str">
            <v xml:space="preserve"> </v>
          </cell>
          <cell r="R1211"/>
          <cell r="S1211"/>
          <cell r="T1211" t="str">
            <v>Sin reducción</v>
          </cell>
          <cell r="U1211">
            <v>0</v>
          </cell>
          <cell r="V1211"/>
          <cell r="W1211"/>
          <cell r="X1211">
            <v>0</v>
          </cell>
          <cell r="Y1211">
            <v>0</v>
          </cell>
          <cell r="Z1211">
            <v>0</v>
          </cell>
          <cell r="AA1211"/>
          <cell r="AB1211" t="str">
            <v>Active - signed</v>
          </cell>
          <cell r="AC1211" t="str">
            <v>ACTIVO</v>
          </cell>
          <cell r="AD1211"/>
          <cell r="AE1211"/>
          <cell r="AF1211"/>
          <cell r="AG1211"/>
          <cell r="AH1211"/>
          <cell r="AI1211" t="str">
            <v>45887457L</v>
          </cell>
        </row>
        <row r="1212">
          <cell r="A1212" t="str">
            <v>44888176L</v>
          </cell>
          <cell r="B1212" t="str">
            <v>Yatim Harkous</v>
          </cell>
          <cell r="C1212" t="str">
            <v>Wissam</v>
          </cell>
          <cell r="D1212" t="str">
            <v>Yatim Harkous, Wissam</v>
          </cell>
          <cell r="E1212" t="str">
            <v>wyatimh@professional.universidadviu.com</v>
          </cell>
          <cell r="F1212" t="str">
            <v>wyatimh@professional.universidadviu.com</v>
          </cell>
          <cell r="G1212" t="str">
            <v>Yes</v>
          </cell>
          <cell r="H1212" t="str">
            <v>NO</v>
          </cell>
          <cell r="I1212" t="str">
            <v>Grado en Psicología</v>
          </cell>
          <cell r="J1212" t="str">
            <v>Máster en investigación e intervención psicosocial</v>
          </cell>
          <cell r="K1212" t="str">
            <v/>
          </cell>
          <cell r="L1212" t="str">
            <v/>
          </cell>
          <cell r="M1212" t="str">
            <v>Professional</v>
          </cell>
          <cell r="N1212" t="str">
            <v/>
          </cell>
          <cell r="O1212" t="str">
            <v>CSS</v>
          </cell>
          <cell r="P1212">
            <v>0</v>
          </cell>
          <cell r="Q1212" t="str">
            <v xml:space="preserve"> </v>
          </cell>
          <cell r="R1212"/>
          <cell r="S1212"/>
          <cell r="T1212" t="str">
            <v>Sin reducción</v>
          </cell>
          <cell r="U1212">
            <v>0</v>
          </cell>
          <cell r="V1212"/>
          <cell r="W1212"/>
          <cell r="X1212">
            <v>0</v>
          </cell>
          <cell r="Y1212">
            <v>0</v>
          </cell>
          <cell r="Z1212">
            <v>0</v>
          </cell>
          <cell r="AA1212"/>
          <cell r="AB1212" t="str">
            <v>Active - signed</v>
          </cell>
          <cell r="AC1212" t="str">
            <v>ACTIVO</v>
          </cell>
          <cell r="AD1212"/>
          <cell r="AE1212"/>
          <cell r="AF1212"/>
          <cell r="AG1212"/>
          <cell r="AH1212"/>
          <cell r="AI1212" t="str">
            <v>44888176L</v>
          </cell>
        </row>
        <row r="1213">
          <cell r="A1213" t="str">
            <v>05301478R</v>
          </cell>
          <cell r="B1213" t="str">
            <v>Zaky Menéndez</v>
          </cell>
          <cell r="C1213" t="str">
            <v>Lorena</v>
          </cell>
          <cell r="D1213" t="str">
            <v>Zaky Menéndez, Lorena</v>
          </cell>
          <cell r="E1213" t="str">
            <v>lorena.zaky</v>
          </cell>
          <cell r="F1213" t="str">
            <v>lorena.zaky</v>
          </cell>
          <cell r="G1213" t="str">
            <v>NO</v>
          </cell>
          <cell r="H1213" t="str">
            <v>NO</v>
          </cell>
          <cell r="I1213" t="str">
            <v/>
          </cell>
          <cell r="J1213" t="str">
            <v/>
          </cell>
          <cell r="K1213" t="str">
            <v/>
          </cell>
          <cell r="L1213" t="str">
            <v/>
          </cell>
          <cell r="M1213" t="str">
            <v>Professional</v>
          </cell>
          <cell r="N1213"/>
          <cell r="O1213" t="str">
            <v>CSS</v>
          </cell>
          <cell r="P1213">
            <v>0</v>
          </cell>
          <cell r="Q1213" t="str">
            <v xml:space="preserve"> </v>
          </cell>
          <cell r="R1213"/>
          <cell r="S1213"/>
          <cell r="T1213" t="str">
            <v>Sin reducción</v>
          </cell>
          <cell r="U1213">
            <v>0</v>
          </cell>
          <cell r="V1213"/>
          <cell r="W1213"/>
          <cell r="X1213">
            <v>0</v>
          </cell>
          <cell r="Y1213">
            <v>0</v>
          </cell>
          <cell r="Z1213">
            <v>0</v>
          </cell>
          <cell r="AA1213"/>
          <cell r="AB1213" t="str">
            <v>Active - signed</v>
          </cell>
          <cell r="AC1213" t="str">
            <v>ACTIVO</v>
          </cell>
          <cell r="AD1213"/>
          <cell r="AE1213"/>
          <cell r="AF1213"/>
          <cell r="AG1213"/>
          <cell r="AH1213"/>
          <cell r="AI1213" t="str">
            <v>05301478R</v>
          </cell>
        </row>
        <row r="1214">
          <cell r="A1214">
            <v>31479532</v>
          </cell>
          <cell r="B1214" t="str">
            <v>Zalazar Jaime</v>
          </cell>
          <cell r="C1214" t="str">
            <v>Mauricio Federico</v>
          </cell>
          <cell r="D1214" t="str">
            <v>Zalazar Jaime, Mauricio Federico</v>
          </cell>
          <cell r="E1214" t="str">
            <v>mauriciofederico.zalazar</v>
          </cell>
          <cell r="F1214" t="str">
            <v>mauriciofederico.zalazar@professional.universidadviu.com</v>
          </cell>
          <cell r="G1214" t="str">
            <v>NO</v>
          </cell>
          <cell r="H1214" t="str">
            <v>NO</v>
          </cell>
          <cell r="I1214" t="str">
            <v>Doctorado en Psicología</v>
          </cell>
          <cell r="J1214" t="str">
            <v>Licenciatura en Psicología</v>
          </cell>
          <cell r="K1214" t="str">
            <v/>
          </cell>
          <cell r="L1214" t="str">
            <v/>
          </cell>
          <cell r="M1214" t="str">
            <v>Professional</v>
          </cell>
          <cell r="N1214"/>
          <cell r="O1214" t="str">
            <v>CSS</v>
          </cell>
          <cell r="P1214">
            <v>0</v>
          </cell>
          <cell r="Q1214" t="str">
            <v xml:space="preserve"> </v>
          </cell>
          <cell r="R1214"/>
          <cell r="S1214"/>
          <cell r="T1214" t="str">
            <v>Sin reducción</v>
          </cell>
          <cell r="U1214">
            <v>0</v>
          </cell>
          <cell r="V1214"/>
          <cell r="W1214"/>
          <cell r="X1214">
            <v>0</v>
          </cell>
          <cell r="Y1214">
            <v>0</v>
          </cell>
          <cell r="Z1214">
            <v>0</v>
          </cell>
          <cell r="AA1214"/>
          <cell r="AB1214" t="str">
            <v>Active - signed</v>
          </cell>
          <cell r="AC1214" t="str">
            <v>ACTIVO</v>
          </cell>
          <cell r="AD1214"/>
          <cell r="AE1214"/>
          <cell r="AF1214"/>
          <cell r="AG1214"/>
          <cell r="AH1214"/>
          <cell r="AI1214">
            <v>31479532</v>
          </cell>
        </row>
        <row r="1215">
          <cell r="A1215" t="str">
            <v>75138368J</v>
          </cell>
          <cell r="B1215" t="str">
            <v>Zaldívar Álvarez</v>
          </cell>
          <cell r="C1215" t="str">
            <v>José Antonio</v>
          </cell>
          <cell r="D1215" t="str">
            <v>Zaldívar Álvarez, José Antonio</v>
          </cell>
          <cell r="E1215" t="str">
            <v>jzaldivara@professor.universidadviu.com</v>
          </cell>
          <cell r="F1215" t="str">
            <v>jzaldivara@professor.universidadviu.com</v>
          </cell>
          <cell r="G1215" t="str">
            <v>NO</v>
          </cell>
          <cell r="H1215" t="str">
            <v>NO</v>
          </cell>
          <cell r="I1215" t="str">
            <v/>
          </cell>
          <cell r="J1215" t="str">
            <v/>
          </cell>
          <cell r="K1215" t="str">
            <v/>
          </cell>
          <cell r="L1215" t="str">
            <v/>
          </cell>
          <cell r="M1215" t="str">
            <v>Labour</v>
          </cell>
          <cell r="N1215" t="str">
            <v>Consultar a Jurídico</v>
          </cell>
          <cell r="O1215" t="str">
            <v>CSS</v>
          </cell>
          <cell r="P1215">
            <v>100</v>
          </cell>
          <cell r="Q1215" t="str">
            <v>50</v>
          </cell>
          <cell r="R1215"/>
          <cell r="S1215"/>
          <cell r="T1215" t="str">
            <v>Sin reducción</v>
          </cell>
          <cell r="U1215">
            <v>0</v>
          </cell>
          <cell r="V1215">
            <v>22</v>
          </cell>
          <cell r="W1215" t="str">
            <v>JURÍDICO</v>
          </cell>
          <cell r="X1215">
            <v>19.2</v>
          </cell>
          <cell r="Y1215">
            <v>0</v>
          </cell>
          <cell r="Z1215">
            <v>0</v>
          </cell>
          <cell r="AA1215"/>
          <cell r="AB1215" t="str">
            <v>Active - signed</v>
          </cell>
          <cell r="AC1215" t="str">
            <v>ACTIVO</v>
          </cell>
          <cell r="AD1215"/>
          <cell r="AE1215"/>
          <cell r="AF1215"/>
          <cell r="AG1215"/>
          <cell r="AH1215"/>
          <cell r="AI1215" t="str">
            <v>75138368J</v>
          </cell>
        </row>
        <row r="1216">
          <cell r="A1216" t="str">
            <v>Y7614865Q</v>
          </cell>
          <cell r="B1216" t="str">
            <v>Zangri</v>
          </cell>
          <cell r="C1216" t="str">
            <v>Rosaria María</v>
          </cell>
          <cell r="D1216" t="str">
            <v>Zangri, Rosaria María</v>
          </cell>
          <cell r="E1216" t="str">
            <v>rzangri@professional.universidadviu.com</v>
          </cell>
          <cell r="F1216" t="str">
            <v>rzangri@professional.universidadviu.com</v>
          </cell>
          <cell r="G1216" t="str">
            <v>NO</v>
          </cell>
          <cell r="H1216" t="str">
            <v>NO</v>
          </cell>
          <cell r="I1216" t="str">
            <v>Master of Pyschology</v>
          </cell>
          <cell r="J1216" t="str">
            <v/>
          </cell>
          <cell r="K1216" t="str">
            <v/>
          </cell>
          <cell r="L1216" t="str">
            <v/>
          </cell>
          <cell r="M1216" t="str">
            <v>Professional</v>
          </cell>
          <cell r="N1216" t="str">
            <v/>
          </cell>
          <cell r="O1216" t="str">
            <v>CSS</v>
          </cell>
          <cell r="P1216">
            <v>0</v>
          </cell>
          <cell r="Q1216" t="str">
            <v xml:space="preserve"> </v>
          </cell>
          <cell r="R1216"/>
          <cell r="S1216"/>
          <cell r="T1216" t="str">
            <v>Sin reducción</v>
          </cell>
          <cell r="U1216">
            <v>0</v>
          </cell>
          <cell r="V1216"/>
          <cell r="W1216"/>
          <cell r="X1216">
            <v>0</v>
          </cell>
          <cell r="Y1216">
            <v>0</v>
          </cell>
          <cell r="Z1216">
            <v>0</v>
          </cell>
          <cell r="AA1216"/>
          <cell r="AB1216" t="str">
            <v>Active - signed</v>
          </cell>
          <cell r="AC1216" t="str">
            <v>ACTIVO</v>
          </cell>
          <cell r="AD1216"/>
          <cell r="AE1216"/>
          <cell r="AF1216"/>
          <cell r="AG1216"/>
          <cell r="AH1216"/>
          <cell r="AI1216" t="str">
            <v>Y7614865Q</v>
          </cell>
        </row>
        <row r="1217">
          <cell r="A1217" t="str">
            <v>24358259V</v>
          </cell>
          <cell r="B1217" t="str">
            <v>Zanón Moreno</v>
          </cell>
          <cell r="C1217" t="str">
            <v>Vicente Calixto</v>
          </cell>
          <cell r="D1217" t="str">
            <v>Zanón Moreno, Vicente Calixto</v>
          </cell>
          <cell r="E1217" t="str">
            <v>vicente.zanon</v>
          </cell>
          <cell r="F1217" t="str">
            <v>vicente.zanon@professor.universidadviu.com</v>
          </cell>
          <cell r="G1217" t="str">
            <v>Yes</v>
          </cell>
          <cell r="H1217" t="str">
            <v>Yes</v>
          </cell>
          <cell r="I1217" t="str">
            <v>Salud Pública y Medicina Legal</v>
          </cell>
          <cell r="J1217" t="str">
            <v>Salud Pública y Medicina Legal</v>
          </cell>
          <cell r="K1217" t="str">
            <v>Licenciado en -biología</v>
          </cell>
          <cell r="L1217" t="str">
            <v/>
          </cell>
          <cell r="M1217" t="str">
            <v>Labour</v>
          </cell>
          <cell r="N1217" t="str">
            <v/>
          </cell>
          <cell r="O1217" t="str">
            <v>CBS</v>
          </cell>
          <cell r="P1217">
            <v>100</v>
          </cell>
          <cell r="Q1217" t="str">
            <v>50</v>
          </cell>
          <cell r="R1217"/>
          <cell r="S1217" t="str">
            <v>2008-2013;
2016-2021</v>
          </cell>
          <cell r="T1217" t="str">
            <v>Sin reducción</v>
          </cell>
          <cell r="U1217">
            <v>0</v>
          </cell>
          <cell r="V1217"/>
          <cell r="W1217"/>
          <cell r="X1217">
            <v>0</v>
          </cell>
          <cell r="Y1217">
            <v>0</v>
          </cell>
          <cell r="Z1217">
            <v>0</v>
          </cell>
          <cell r="AA1217"/>
          <cell r="AB1217" t="str">
            <v>Concluded</v>
          </cell>
          <cell r="AC1217" t="str">
            <v>NO ACTIVO</v>
          </cell>
          <cell r="AD1217"/>
          <cell r="AE1217"/>
          <cell r="AF1217">
            <v>45230</v>
          </cell>
          <cell r="AG1217" t="str">
            <v>CESE DE CONTRATO</v>
          </cell>
          <cell r="AH1217"/>
          <cell r="AI1217" t="str">
            <v>24358259V</v>
          </cell>
        </row>
        <row r="1218">
          <cell r="A1218" t="str">
            <v>60895907A</v>
          </cell>
          <cell r="B1218" t="str">
            <v>Zegarra Valdivia</v>
          </cell>
          <cell r="C1218" t="str">
            <v>Jonathan Adrián</v>
          </cell>
          <cell r="D1218" t="str">
            <v>Zegarra Valdivia, Jonathan Adrián</v>
          </cell>
          <cell r="E1218" t="str">
            <v>jzegarrav@professional.universidadviu.com</v>
          </cell>
          <cell r="F1218" t="str">
            <v>jzegarrav@professional.universidadviu.com</v>
          </cell>
          <cell r="G1218" t="str">
            <v>Yes</v>
          </cell>
          <cell r="H1218" t="str">
            <v>NO</v>
          </cell>
          <cell r="I1218" t="str">
            <v/>
          </cell>
          <cell r="J1218" t="str">
            <v/>
          </cell>
          <cell r="K1218" t="str">
            <v/>
          </cell>
          <cell r="L1218" t="str">
            <v/>
          </cell>
          <cell r="M1218" t="str">
            <v>Professional</v>
          </cell>
          <cell r="N1218"/>
          <cell r="O1218" t="str">
            <v>CSS</v>
          </cell>
          <cell r="P1218">
            <v>0</v>
          </cell>
          <cell r="Q1218" t="str">
            <v xml:space="preserve"> </v>
          </cell>
          <cell r="R1218"/>
          <cell r="S1218"/>
          <cell r="T1218" t="str">
            <v>Sin reducción</v>
          </cell>
          <cell r="U1218">
            <v>0</v>
          </cell>
          <cell r="V1218"/>
          <cell r="W1218"/>
          <cell r="X1218">
            <v>0</v>
          </cell>
          <cell r="Y1218">
            <v>0</v>
          </cell>
          <cell r="Z1218">
            <v>0</v>
          </cell>
          <cell r="AA1218"/>
          <cell r="AB1218" t="str">
            <v>Active - signed</v>
          </cell>
          <cell r="AC1218" t="str">
            <v>ACTIVO</v>
          </cell>
          <cell r="AD1218"/>
          <cell r="AE1218"/>
          <cell r="AF1218"/>
          <cell r="AG1218"/>
          <cell r="AH1218"/>
          <cell r="AI1218" t="str">
            <v>60895907A</v>
          </cell>
        </row>
        <row r="1219">
          <cell r="A1219" t="str">
            <v>X6267024F</v>
          </cell>
          <cell r="B1219" t="str">
            <v>Zolog</v>
          </cell>
          <cell r="C1219" t="str">
            <v>Teodora Cosmina</v>
          </cell>
          <cell r="D1219" t="str">
            <v>Zolog, Teodora Cosmina</v>
          </cell>
          <cell r="E1219" t="str">
            <v>tzolog@professional.universidadviu.com</v>
          </cell>
          <cell r="F1219" t="str">
            <v>tzolog@professional.universidadviu.com</v>
          </cell>
          <cell r="G1219" t="str">
            <v>Yes</v>
          </cell>
          <cell r="H1219" t="str">
            <v>NO</v>
          </cell>
          <cell r="I1219" t="str">
            <v>Psicopatologia infanto-juvenil y del adulto</v>
          </cell>
          <cell r="J1219" t="str">
            <v>Master en Investigacion en psicopatologia infanto-juvenil y del adulto</v>
          </cell>
          <cell r="K1219" t="str">
            <v>Licenciatura en Psicologia y Pedagogia</v>
          </cell>
          <cell r="L1219" t="str">
            <v/>
          </cell>
          <cell r="M1219" t="str">
            <v>Professional</v>
          </cell>
          <cell r="N1219" t="str">
            <v/>
          </cell>
          <cell r="O1219" t="str">
            <v>CSS</v>
          </cell>
          <cell r="P1219">
            <v>0</v>
          </cell>
          <cell r="Q1219" t="str">
            <v xml:space="preserve"> </v>
          </cell>
          <cell r="R1219"/>
          <cell r="S1219"/>
          <cell r="T1219" t="str">
            <v>Sin reducción</v>
          </cell>
          <cell r="U1219">
            <v>0</v>
          </cell>
          <cell r="V1219"/>
          <cell r="W1219"/>
          <cell r="X1219">
            <v>0</v>
          </cell>
          <cell r="Y1219">
            <v>0</v>
          </cell>
          <cell r="Z1219">
            <v>0</v>
          </cell>
          <cell r="AA1219"/>
          <cell r="AB1219" t="str">
            <v>Active - signed</v>
          </cell>
          <cell r="AC1219" t="str">
            <v>ACTIVO</v>
          </cell>
          <cell r="AD1219"/>
          <cell r="AE1219"/>
          <cell r="AF1219"/>
          <cell r="AG1219"/>
          <cell r="AH1219"/>
          <cell r="AI1219" t="str">
            <v>X6267024F</v>
          </cell>
        </row>
        <row r="1220">
          <cell r="A1220" t="str">
            <v>33424439B</v>
          </cell>
          <cell r="B1220" t="str">
            <v>Zorrilla Larrainzar</v>
          </cell>
          <cell r="C1220" t="str">
            <v>Idoia</v>
          </cell>
          <cell r="D1220" t="str">
            <v>Zorrilla Larrainzar, Idoia</v>
          </cell>
          <cell r="E1220" t="str">
            <v>idoia.zorrilla</v>
          </cell>
          <cell r="F1220" t="str">
            <v>idoia.zorrilla@professional.universidadviu.com</v>
          </cell>
          <cell r="G1220" t="str">
            <v>Yes</v>
          </cell>
          <cell r="H1220" t="str">
            <v>NO</v>
          </cell>
          <cell r="I1220" t="str">
            <v>Psicología</v>
          </cell>
          <cell r="J1220" t="str">
            <v>Doctorado en Psicología de la Salud por la Universidad Nacional de Educación a Distancia</v>
          </cell>
          <cell r="K1220" t="str">
            <v/>
          </cell>
          <cell r="L1220" t="str">
            <v/>
          </cell>
          <cell r="M1220" t="str">
            <v>Professional</v>
          </cell>
          <cell r="N1220" t="str">
            <v/>
          </cell>
          <cell r="O1220" t="str">
            <v>CSS</v>
          </cell>
          <cell r="P1220">
            <v>0</v>
          </cell>
          <cell r="Q1220" t="str">
            <v xml:space="preserve"> </v>
          </cell>
          <cell r="R1220"/>
          <cell r="S1220"/>
          <cell r="T1220" t="str">
            <v>Sin reducción</v>
          </cell>
          <cell r="U1220">
            <v>0</v>
          </cell>
          <cell r="V1220"/>
          <cell r="W1220"/>
          <cell r="X1220">
            <v>0</v>
          </cell>
          <cell r="Y1220">
            <v>0</v>
          </cell>
          <cell r="Z1220">
            <v>0</v>
          </cell>
          <cell r="AA1220"/>
          <cell r="AB1220" t="str">
            <v>Active - signed</v>
          </cell>
          <cell r="AC1220" t="str">
            <v>ACTIVO</v>
          </cell>
          <cell r="AD1220"/>
          <cell r="AE1220"/>
          <cell r="AF1220"/>
          <cell r="AG1220"/>
          <cell r="AH1220"/>
          <cell r="AI1220" t="str">
            <v>33424439B</v>
          </cell>
        </row>
        <row r="1221">
          <cell r="A1221" t="str">
            <v>71727257D</v>
          </cell>
          <cell r="B1221" t="str">
            <v>Zorzo Vallina</v>
          </cell>
          <cell r="C1221" t="str">
            <v>Candela</v>
          </cell>
          <cell r="D1221" t="str">
            <v>Zorzo Vallina, Candela</v>
          </cell>
          <cell r="E1221" t="str">
            <v>candela.zorzo</v>
          </cell>
          <cell r="F1221" t="str">
            <v>candela.zorzo@professional.universidadviu.com</v>
          </cell>
          <cell r="G1221" t="str">
            <v>Yes</v>
          </cell>
          <cell r="H1221" t="str">
            <v>Yes</v>
          </cell>
          <cell r="I1221" t="str">
            <v>Psicología</v>
          </cell>
          <cell r="J1221" t="str">
            <v>Máster universitario en Neurociencias</v>
          </cell>
          <cell r="K1221" t="str">
            <v>Doctorado en Ciencias de la Salud</v>
          </cell>
          <cell r="L1221" t="str">
            <v/>
          </cell>
          <cell r="M1221" t="str">
            <v>Professional</v>
          </cell>
          <cell r="N1221" t="str">
            <v/>
          </cell>
          <cell r="O1221" t="str">
            <v>CSS</v>
          </cell>
          <cell r="P1221">
            <v>0</v>
          </cell>
          <cell r="Q1221" t="str">
            <v xml:space="preserve"> </v>
          </cell>
          <cell r="R1221"/>
          <cell r="S1221"/>
          <cell r="T1221" t="str">
            <v>Sin reducción</v>
          </cell>
          <cell r="U1221">
            <v>0</v>
          </cell>
          <cell r="V1221"/>
          <cell r="W1221"/>
          <cell r="X1221">
            <v>0</v>
          </cell>
          <cell r="Y1221">
            <v>0</v>
          </cell>
          <cell r="Z1221">
            <v>0</v>
          </cell>
          <cell r="AA1221"/>
          <cell r="AB1221" t="str">
            <v>Concluded</v>
          </cell>
          <cell r="AC1221" t="str">
            <v>NO ACTIVO</v>
          </cell>
          <cell r="AD1221"/>
          <cell r="AE1221"/>
          <cell r="AF1221">
            <v>45139</v>
          </cell>
          <cell r="AG1221" t="str">
            <v>CESE DE CONTRATO</v>
          </cell>
          <cell r="AH1221"/>
          <cell r="AI1221" t="str">
            <v>71727257D</v>
          </cell>
        </row>
        <row r="1222">
          <cell r="A1222" t="str">
            <v>72477029G</v>
          </cell>
          <cell r="B1222" t="str">
            <v>Zumeta Sánchez</v>
          </cell>
          <cell r="C1222" t="str">
            <v>Larraitz Nerea</v>
          </cell>
          <cell r="D1222" t="str">
            <v>Zumeta Sánchez, Larraitz Nerea</v>
          </cell>
          <cell r="E1222" t="str">
            <v>larraitznerea.zumeta</v>
          </cell>
          <cell r="F1222" t="str">
            <v>larraitznerea.zumeta@professional.universidadviu.com</v>
          </cell>
          <cell r="G1222" t="str">
            <v>Yes</v>
          </cell>
          <cell r="H1222" t="str">
            <v>Yes</v>
          </cell>
          <cell r="I1222" t="str">
            <v>Psicología</v>
          </cell>
          <cell r="J1222" t="str">
            <v>Máster universitario en Psicología</v>
          </cell>
          <cell r="K1222" t="str">
            <v>Doctorado en psicologia</v>
          </cell>
          <cell r="L1222" t="str">
            <v/>
          </cell>
          <cell r="M1222" t="str">
            <v>Professional</v>
          </cell>
          <cell r="N1222" t="str">
            <v/>
          </cell>
          <cell r="O1222" t="str">
            <v>CSS</v>
          </cell>
          <cell r="P1222">
            <v>0</v>
          </cell>
          <cell r="Q1222" t="str">
            <v xml:space="preserve"> </v>
          </cell>
          <cell r="R1222"/>
          <cell r="S1222"/>
          <cell r="T1222" t="str">
            <v>Sin reducción</v>
          </cell>
          <cell r="U1222">
            <v>0</v>
          </cell>
          <cell r="V1222"/>
          <cell r="W1222"/>
          <cell r="X1222">
            <v>0</v>
          </cell>
          <cell r="Y1222">
            <v>0</v>
          </cell>
          <cell r="Z1222">
            <v>0</v>
          </cell>
          <cell r="AA1222"/>
          <cell r="AB1222" t="str">
            <v>Active - signed</v>
          </cell>
          <cell r="AC1222" t="str">
            <v>ACTIVO</v>
          </cell>
          <cell r="AD1222"/>
          <cell r="AE1222"/>
          <cell r="AF1222"/>
          <cell r="AG1222"/>
          <cell r="AH1222"/>
          <cell r="AI1222" t="str">
            <v>72477029G</v>
          </cell>
        </row>
        <row r="1223">
          <cell r="A1223" t="str">
            <v>70874038K</v>
          </cell>
          <cell r="B1223" t="str">
            <v>Zúñiga Trejos</v>
          </cell>
          <cell r="C1223" t="str">
            <v>Sheila</v>
          </cell>
          <cell r="D1223" t="str">
            <v>Zúñiga Trejos, Sheila</v>
          </cell>
          <cell r="E1223" t="str">
            <v>sheila.zuniga</v>
          </cell>
          <cell r="F1223" t="str">
            <v>sheila.zuniga@professional.universidadviu.com</v>
          </cell>
          <cell r="G1223" t="str">
            <v>Yes</v>
          </cell>
          <cell r="H1223" t="str">
            <v>NO</v>
          </cell>
          <cell r="I1223" t="str">
            <v>Biología y Genética</v>
          </cell>
          <cell r="J1223" t="str">
            <v>Doctorado en Biotecnología</v>
          </cell>
          <cell r="K1223" t="str">
            <v>Master of Science in Bioinformatics</v>
          </cell>
          <cell r="L1223" t="str">
            <v/>
          </cell>
          <cell r="M1223" t="str">
            <v>Professional</v>
          </cell>
          <cell r="N1223" t="str">
            <v/>
          </cell>
          <cell r="O1223" t="str">
            <v>CBS</v>
          </cell>
          <cell r="P1223">
            <v>0</v>
          </cell>
          <cell r="Q1223" t="str">
            <v xml:space="preserve"> </v>
          </cell>
          <cell r="R1223"/>
          <cell r="S1223"/>
          <cell r="T1223" t="str">
            <v>Sin reducción</v>
          </cell>
          <cell r="U1223">
            <v>0</v>
          </cell>
          <cell r="V1223"/>
          <cell r="W1223"/>
          <cell r="X1223">
            <v>0</v>
          </cell>
          <cell r="Y1223">
            <v>0</v>
          </cell>
          <cell r="Z1223">
            <v>0</v>
          </cell>
          <cell r="AA1223"/>
          <cell r="AB1223" t="str">
            <v>Active - signed</v>
          </cell>
          <cell r="AC1223" t="str">
            <v>ACTIVO</v>
          </cell>
          <cell r="AD1223"/>
          <cell r="AE1223"/>
          <cell r="AF1223"/>
          <cell r="AG1223"/>
          <cell r="AH1223"/>
          <cell r="AI1223" t="str">
            <v>70874038K</v>
          </cell>
        </row>
        <row r="1224">
          <cell r="A1224" t="str">
            <v>34836747G</v>
          </cell>
          <cell r="B1224" t="str">
            <v>Martínez Pérez</v>
          </cell>
          <cell r="C1224" t="str">
            <v>Beatriz</v>
          </cell>
          <cell r="D1224" t="str">
            <v>Martínez Pérez, Beatriz</v>
          </cell>
          <cell r="E1224" t="str">
            <v>bmartinezp@professional.universidadviu.com</v>
          </cell>
          <cell r="F1224" t="str">
            <v>bmartinezp@professional.universidadviu.com</v>
          </cell>
          <cell r="G1224" t="str">
            <v>Yes</v>
          </cell>
          <cell r="H1224" t="str">
            <v>NO</v>
          </cell>
          <cell r="I1224" t="str">
            <v>Doctorado en Intervención Social y Medicación</v>
          </cell>
          <cell r="J1224" t="str">
            <v>Master en Mediación</v>
          </cell>
          <cell r="K1224" t="str">
            <v>Diplomada en Trabajo Social</v>
          </cell>
          <cell r="L1224" t="str">
            <v/>
          </cell>
          <cell r="M1224" t="str">
            <v>Professional</v>
          </cell>
          <cell r="N1224"/>
          <cell r="O1224"/>
          <cell r="P1224">
            <v>0</v>
          </cell>
          <cell r="Q1224" t="str">
            <v xml:space="preserve"> </v>
          </cell>
          <cell r="R1224"/>
          <cell r="S1224"/>
          <cell r="T1224" t="str">
            <v>Sin reducción</v>
          </cell>
          <cell r="U1224">
            <v>0</v>
          </cell>
          <cell r="V1224"/>
          <cell r="W1224"/>
          <cell r="X1224">
            <v>0</v>
          </cell>
          <cell r="Y1224">
            <v>0</v>
          </cell>
          <cell r="Z1224">
            <v>0</v>
          </cell>
          <cell r="AA1224"/>
          <cell r="AB1224" t="str">
            <v>Active - signed</v>
          </cell>
          <cell r="AC1224" t="str">
            <v>ACTIVO</v>
          </cell>
          <cell r="AD1224"/>
          <cell r="AE1224"/>
          <cell r="AF1224"/>
          <cell r="AG1224"/>
          <cell r="AH1224"/>
          <cell r="AI1224" t="str">
            <v>34836747G</v>
          </cell>
        </row>
        <row r="1225">
          <cell r="A1225" t="str">
            <v>23305614J</v>
          </cell>
          <cell r="B1225" t="str">
            <v>García Munuera</v>
          </cell>
          <cell r="C1225" t="str">
            <v>Isabel María</v>
          </cell>
          <cell r="D1225" t="str">
            <v>García Munuera, Isabel María</v>
          </cell>
          <cell r="E1225" t="str">
            <v>igarciam@professional.universidadviu.com</v>
          </cell>
          <cell r="F1225" t="str">
            <v>igarciam@professional.universidadviu.com</v>
          </cell>
          <cell r="G1225" t="str">
            <v>Yes</v>
          </cell>
          <cell r="H1225" t="str">
            <v>NO</v>
          </cell>
          <cell r="I1225" t="str">
            <v/>
          </cell>
          <cell r="J1225" t="str">
            <v/>
          </cell>
          <cell r="K1225" t="str">
            <v/>
          </cell>
          <cell r="L1225" t="str">
            <v/>
          </cell>
          <cell r="M1225" t="str">
            <v>Professional</v>
          </cell>
          <cell r="N1225"/>
          <cell r="O1225" t="str">
            <v>CSS</v>
          </cell>
          <cell r="P1225">
            <v>0</v>
          </cell>
          <cell r="Q1225" t="str">
            <v xml:space="preserve"> </v>
          </cell>
          <cell r="R1225"/>
          <cell r="S1225"/>
          <cell r="T1225" t="str">
            <v>Sin reducción</v>
          </cell>
          <cell r="U1225">
            <v>0</v>
          </cell>
          <cell r="V1225"/>
          <cell r="W1225"/>
          <cell r="X1225">
            <v>0</v>
          </cell>
          <cell r="Y1225">
            <v>0</v>
          </cell>
          <cell r="Z1225">
            <v>0</v>
          </cell>
          <cell r="AA1225"/>
          <cell r="AB1225" t="str">
            <v>Active - signed</v>
          </cell>
          <cell r="AC1225" t="str">
            <v>ACTIVO</v>
          </cell>
          <cell r="AD1225"/>
          <cell r="AE1225"/>
          <cell r="AF1225"/>
          <cell r="AG1225"/>
          <cell r="AH1225"/>
          <cell r="AI1225" t="str">
            <v>23305614J</v>
          </cell>
        </row>
        <row r="1226">
          <cell r="A1226" t="str">
            <v>NL530773168</v>
          </cell>
          <cell r="B1226" t="str">
            <v>Moreno Jiménez</v>
          </cell>
          <cell r="C1226" t="str">
            <v>Elena</v>
          </cell>
          <cell r="D1226" t="str">
            <v>Moreno Jiménez, Elena</v>
          </cell>
          <cell r="E1226" t="str">
            <v>emorenoj@professional.universidadviu.com</v>
          </cell>
          <cell r="F1226" t="str">
            <v>emorenoj@professional.universidadviu.com</v>
          </cell>
          <cell r="G1226" t="str">
            <v>Yes</v>
          </cell>
          <cell r="H1226" t="str">
            <v>NO</v>
          </cell>
          <cell r="I1226" t="str">
            <v/>
          </cell>
          <cell r="J1226" t="str">
            <v/>
          </cell>
          <cell r="K1226" t="str">
            <v/>
          </cell>
          <cell r="L1226" t="str">
            <v/>
          </cell>
          <cell r="M1226" t="str">
            <v>Professional</v>
          </cell>
          <cell r="N1226"/>
          <cell r="O1226" t="str">
            <v>CSS</v>
          </cell>
          <cell r="P1226">
            <v>0</v>
          </cell>
          <cell r="Q1226" t="str">
            <v xml:space="preserve"> </v>
          </cell>
          <cell r="R1226"/>
          <cell r="S1226"/>
          <cell r="T1226" t="str">
            <v>Sin reducción</v>
          </cell>
          <cell r="U1226">
            <v>0</v>
          </cell>
          <cell r="V1226"/>
          <cell r="W1226"/>
          <cell r="X1226">
            <v>0</v>
          </cell>
          <cell r="Y1226">
            <v>0</v>
          </cell>
          <cell r="Z1226">
            <v>0</v>
          </cell>
          <cell r="AA1226"/>
          <cell r="AB1226" t="str">
            <v>Active - signed</v>
          </cell>
          <cell r="AC1226" t="str">
            <v>ACTIVO</v>
          </cell>
          <cell r="AD1226"/>
          <cell r="AE1226"/>
          <cell r="AF1226"/>
          <cell r="AG1226"/>
          <cell r="AH1226"/>
          <cell r="AI1226" t="str">
            <v>NL530773168</v>
          </cell>
        </row>
        <row r="1227">
          <cell r="A1227" t="str">
            <v>51706389C</v>
          </cell>
          <cell r="B1227" t="str">
            <v>Cinalli Ramírez</v>
          </cell>
          <cell r="C1227" t="str">
            <v>Carina</v>
          </cell>
          <cell r="D1227" t="str">
            <v>Cinalli Ramírez, Carina</v>
          </cell>
          <cell r="E1227" t="e">
            <v>#VALUE!</v>
          </cell>
          <cell r="F1227"/>
          <cell r="G1227" t="e">
            <v>#VALUE!</v>
          </cell>
          <cell r="H1227" t="e">
            <v>#VALUE!</v>
          </cell>
          <cell r="I1227" t="str">
            <v/>
          </cell>
          <cell r="J1227" t="str">
            <v/>
          </cell>
          <cell r="K1227" t="str">
            <v/>
          </cell>
          <cell r="L1227" t="str">
            <v/>
          </cell>
          <cell r="M1227" t="str">
            <v>Labour</v>
          </cell>
          <cell r="N1227"/>
          <cell r="O1227" t="str">
            <v>CSS</v>
          </cell>
          <cell r="P1227">
            <v>50</v>
          </cell>
          <cell r="Q1227" t="str">
            <v>38</v>
          </cell>
          <cell r="R1227" t="str">
            <v>Laboralización Abril</v>
          </cell>
          <cell r="S1227"/>
          <cell r="T1227" t="str">
            <v>Sin reducción</v>
          </cell>
          <cell r="U1227">
            <v>0</v>
          </cell>
          <cell r="V1227"/>
          <cell r="W1227"/>
          <cell r="X1227">
            <v>36</v>
          </cell>
          <cell r="Y1227">
            <v>0</v>
          </cell>
          <cell r="Z1227">
            <v>6</v>
          </cell>
          <cell r="AA1227"/>
          <cell r="AB1227" t="e">
            <v>#VALUE!</v>
          </cell>
          <cell r="AC1227" t="str">
            <v>ACTIVO</v>
          </cell>
          <cell r="AD1227"/>
          <cell r="AE1227"/>
          <cell r="AF1227"/>
          <cell r="AG1227"/>
          <cell r="AH1227" t="str">
            <v>PTE. LABORALIZACIÓN/ PROPUESTA LABORAL</v>
          </cell>
          <cell r="AI1227" t="str">
            <v>51706389C</v>
          </cell>
        </row>
        <row r="1228">
          <cell r="A1228" t="str">
            <v>80096587F</v>
          </cell>
          <cell r="B1228" t="str">
            <v>Arévalo Martínez</v>
          </cell>
          <cell r="C1228" t="str">
            <v>Alejandro</v>
          </cell>
          <cell r="D1228" t="str">
            <v>Arévalo Martínez, Alejandro</v>
          </cell>
          <cell r="E1228" t="e">
            <v>#VALUE!</v>
          </cell>
          <cell r="F1228"/>
          <cell r="G1228" t="e">
            <v>#VALUE!</v>
          </cell>
          <cell r="H1228" t="e">
            <v>#VALUE!</v>
          </cell>
          <cell r="I1228" t="str">
            <v/>
          </cell>
          <cell r="J1228" t="str">
            <v/>
          </cell>
          <cell r="K1228" t="str">
            <v/>
          </cell>
          <cell r="L1228" t="str">
            <v/>
          </cell>
          <cell r="M1228" t="str">
            <v>Labour</v>
          </cell>
          <cell r="N1228"/>
          <cell r="O1228" t="str">
            <v>PSI</v>
          </cell>
          <cell r="P1228">
            <v>50</v>
          </cell>
          <cell r="Q1228" t="str">
            <v>38</v>
          </cell>
          <cell r="R1228" t="str">
            <v>Laboralización Abril</v>
          </cell>
          <cell r="S1228"/>
          <cell r="T1228" t="str">
            <v>Sin reducción</v>
          </cell>
          <cell r="U1228">
            <v>0</v>
          </cell>
          <cell r="V1228"/>
          <cell r="W1228"/>
          <cell r="X1228">
            <v>15</v>
          </cell>
          <cell r="Y1228">
            <v>0</v>
          </cell>
          <cell r="Z1228">
            <v>0</v>
          </cell>
          <cell r="AA1228"/>
          <cell r="AB1228" t="e">
            <v>#VALUE!</v>
          </cell>
          <cell r="AC1228" t="str">
            <v>ACTIVO</v>
          </cell>
          <cell r="AD1228"/>
          <cell r="AE1228"/>
          <cell r="AF1228"/>
          <cell r="AG1228"/>
          <cell r="AH1228" t="str">
            <v>PTE. LABORALIZACIÓN/ PROPUESTA LABORAL</v>
          </cell>
          <cell r="AI1228" t="str">
            <v>80096587F</v>
          </cell>
        </row>
        <row r="1229">
          <cell r="A1229" t="str">
            <v>24399160R</v>
          </cell>
          <cell r="B1229" t="str">
            <v>Marco Puche</v>
          </cell>
          <cell r="C1229" t="str">
            <v>Clara</v>
          </cell>
          <cell r="D1229" t="str">
            <v>Marco Puche, Clara</v>
          </cell>
          <cell r="E1229" t="str">
            <v>clara.marco</v>
          </cell>
          <cell r="G1229" t="str">
            <v>Yes</v>
          </cell>
          <cell r="H1229" t="str">
            <v>NO</v>
          </cell>
          <cell r="I1229" t="str">
            <v>Programa de Doctorado en Actividad Humana y Procesos Psicológicos II</v>
          </cell>
          <cell r="J1229" t="str">
            <v>Licenciada</v>
          </cell>
          <cell r="K1229" t="str">
            <v/>
          </cell>
          <cell r="L1229" t="str">
            <v/>
          </cell>
          <cell r="M1229" t="str">
            <v>Labour</v>
          </cell>
          <cell r="P1229">
            <v>50</v>
          </cell>
          <cell r="Q1229" t="str">
            <v>38</v>
          </cell>
          <cell r="R1229" t="str">
            <v>Laboralización Abril</v>
          </cell>
          <cell r="S1229"/>
          <cell r="T1229" t="str">
            <v>Sin reducción</v>
          </cell>
          <cell r="U1229">
            <v>0</v>
          </cell>
          <cell r="X1229">
            <v>28</v>
          </cell>
          <cell r="Y1229">
            <v>0</v>
          </cell>
          <cell r="Z1229">
            <v>0</v>
          </cell>
          <cell r="AA1229"/>
          <cell r="AB1229" t="str">
            <v>Active - signed</v>
          </cell>
          <cell r="AC1229" t="str">
            <v>ACTIVO</v>
          </cell>
          <cell r="AD1229"/>
          <cell r="AE1229"/>
          <cell r="AF1229"/>
          <cell r="AG1229"/>
          <cell r="AH1229" t="str">
            <v>PTE. LABORALIZACIÓN/ PROPUESTA LABORAL</v>
          </cell>
          <cell r="AI1229" t="str">
            <v>24399160R</v>
          </cell>
        </row>
        <row r="1230">
          <cell r="A1230"/>
          <cell r="B1230"/>
          <cell r="C1230"/>
          <cell r="D1230" t="str">
            <v xml:space="preserve">, </v>
          </cell>
          <cell r="E1230" t="e">
            <v>#VALUE!</v>
          </cell>
          <cell r="I1230" t="str">
            <v/>
          </cell>
          <cell r="J1230" t="str">
            <v/>
          </cell>
          <cell r="K1230" t="str">
            <v/>
          </cell>
          <cell r="L1230" t="str">
            <v/>
          </cell>
          <cell r="M1230" t="e">
            <v>#VALUE!</v>
          </cell>
          <cell r="Q1230" t="str">
            <v xml:space="preserve"> </v>
          </cell>
          <cell r="S1230"/>
          <cell r="T1230" t="str">
            <v>Sin reducción</v>
          </cell>
          <cell r="U1230">
            <v>0</v>
          </cell>
          <cell r="Z1230">
            <v>0</v>
          </cell>
        </row>
        <row r="1231">
          <cell r="A1231"/>
          <cell r="B1231"/>
          <cell r="C1231"/>
          <cell r="M1231"/>
          <cell r="Q1231" t="str">
            <v xml:space="preserve"> </v>
          </cell>
          <cell r="S1231"/>
          <cell r="Z1231">
            <v>0</v>
          </cell>
        </row>
        <row r="1232">
          <cell r="A1232"/>
          <cell r="B1232"/>
          <cell r="C1232"/>
          <cell r="Q1232" t="str">
            <v xml:space="preserve"> </v>
          </cell>
          <cell r="S1232"/>
          <cell r="Z1232">
            <v>0</v>
          </cell>
        </row>
        <row r="1233">
          <cell r="A1233"/>
          <cell r="B1233"/>
          <cell r="C1233"/>
          <cell r="Q1233" t="str">
            <v xml:space="preserve"> </v>
          </cell>
          <cell r="S1233"/>
          <cell r="Z1233">
            <v>0</v>
          </cell>
        </row>
        <row r="1234">
          <cell r="A1234"/>
          <cell r="B1234"/>
          <cell r="C1234"/>
          <cell r="Q1234" t="str">
            <v xml:space="preserve"> </v>
          </cell>
          <cell r="S1234"/>
          <cell r="Z1234">
            <v>0</v>
          </cell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  <cell r="U1237"/>
        </row>
        <row r="1238">
          <cell r="A1238"/>
          <cell r="B1238"/>
          <cell r="C1238"/>
          <cell r="U1238"/>
        </row>
        <row r="1239">
          <cell r="A1239"/>
          <cell r="B1239"/>
          <cell r="C1239"/>
          <cell r="U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  <cell r="F1263"/>
          <cell r="G1263"/>
        </row>
        <row r="1264">
          <cell r="A1264"/>
          <cell r="B1264"/>
          <cell r="C1264"/>
          <cell r="F1264"/>
          <cell r="G1264"/>
        </row>
        <row r="1265">
          <cell r="A1265"/>
          <cell r="B1265"/>
          <cell r="C1265"/>
          <cell r="F1265"/>
          <cell r="G1265"/>
        </row>
        <row r="1266">
          <cell r="A1266"/>
          <cell r="B1266"/>
          <cell r="C1266"/>
          <cell r="F1266"/>
          <cell r="G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302">
          <cell r="N1302"/>
        </row>
      </sheetData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ssica.pena@student.universidadviu.com" TargetMode="External"/><Relationship Id="rId13" Type="http://schemas.openxmlformats.org/officeDocument/2006/relationships/drawing" Target="../drawings/drawing1.xml"/><Relationship Id="rId3" Type="http://schemas.openxmlformats.org/officeDocument/2006/relationships/hyperlink" Target="mailto:jgalanp1@student.universidadviu.com" TargetMode="External"/><Relationship Id="rId7" Type="http://schemas.openxmlformats.org/officeDocument/2006/relationships/hyperlink" Target="mailto:natalia.moreno1@student.universidadviu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joslopcam1@gmail.com" TargetMode="External"/><Relationship Id="rId1" Type="http://schemas.openxmlformats.org/officeDocument/2006/relationships/hyperlink" Target="mailto:adelhierrovillar@student.universidadviu.com" TargetMode="External"/><Relationship Id="rId6" Type="http://schemas.openxmlformats.org/officeDocument/2006/relationships/hyperlink" Target="mailto:vmondragong@student.universidadviu.com" TargetMode="External"/><Relationship Id="rId11" Type="http://schemas.openxmlformats.org/officeDocument/2006/relationships/hyperlink" Target="mailto:milena.riano@student.universidadviu.com" TargetMode="External"/><Relationship Id="rId5" Type="http://schemas.openxmlformats.org/officeDocument/2006/relationships/hyperlink" Target="mailto:triplem1717@gmail.com" TargetMode="External"/><Relationship Id="rId10" Type="http://schemas.openxmlformats.org/officeDocument/2006/relationships/hyperlink" Target="mailto:rgonzalezm2@student.universidadviu.co" TargetMode="External"/><Relationship Id="rId4" Type="http://schemas.openxmlformats.org/officeDocument/2006/relationships/hyperlink" Target="mailto:cgamboah@student.universidadviu.com" TargetMode="External"/><Relationship Id="rId9" Type="http://schemas.openxmlformats.org/officeDocument/2006/relationships/hyperlink" Target="mailto:beatriz.garciabejar@student.universidadviu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1005"/>
  <sheetViews>
    <sheetView zoomScale="70" zoomScaleNormal="70" workbookViewId="0">
      <pane xSplit="1" topLeftCell="B119" activePane="topRight" state="frozen"/>
      <selection pane="topRight" activeCell="D131" sqref="D131"/>
    </sheetView>
  </sheetViews>
  <sheetFormatPr defaultColWidth="12.625" defaultRowHeight="15" customHeight="1"/>
  <cols>
    <col min="1" max="1" width="34" style="48" customWidth="1"/>
    <col min="2" max="2" width="24.25" style="38" customWidth="1"/>
    <col min="3" max="3" width="38.125" style="38" customWidth="1"/>
    <col min="4" max="4" width="41.125" customWidth="1"/>
    <col min="5" max="5" width="40.875" customWidth="1"/>
    <col min="6" max="6" width="33" customWidth="1"/>
    <col min="7" max="7" width="54.625" customWidth="1"/>
    <col min="8" max="8" width="50.875" style="33" customWidth="1"/>
    <col min="9" max="9" width="62.125" customWidth="1"/>
    <col min="10" max="12" width="27.625" customWidth="1"/>
    <col min="13" max="13" width="17.375" customWidth="1"/>
    <col min="14" max="14" width="14.875" customWidth="1"/>
    <col min="15" max="15" width="16.125" customWidth="1"/>
    <col min="16" max="16" width="19" customWidth="1"/>
    <col min="17" max="17" width="13.875" customWidth="1"/>
    <col min="18" max="18" width="17.625" customWidth="1"/>
    <col min="19" max="21" width="17.375" customWidth="1"/>
    <col min="22" max="22" width="18.875" customWidth="1"/>
    <col min="23" max="23" width="16" customWidth="1"/>
    <col min="24" max="30" width="9.375" customWidth="1"/>
  </cols>
  <sheetData>
    <row r="1" spans="1:25" ht="36">
      <c r="A1" s="44"/>
      <c r="D1" s="1"/>
      <c r="E1" s="1"/>
    </row>
    <row r="2" spans="1:25" ht="57.75" customHeight="1">
      <c r="A2" s="45"/>
      <c r="B2" s="149" t="s">
        <v>0</v>
      </c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  <c r="N2" s="3"/>
      <c r="O2" s="4" t="s">
        <v>1</v>
      </c>
      <c r="P2" s="20"/>
    </row>
    <row r="3" spans="1:25" ht="28.5">
      <c r="A3" s="46"/>
      <c r="D3" s="1"/>
      <c r="E3" s="1"/>
      <c r="V3" s="62" t="s">
        <v>2</v>
      </c>
    </row>
    <row r="4" spans="1:25" ht="41.25" customHeight="1">
      <c r="A4" s="46"/>
      <c r="C4" s="101" t="s">
        <v>3</v>
      </c>
      <c r="D4" s="5"/>
      <c r="E4" s="5"/>
      <c r="F4" s="6"/>
      <c r="G4" s="7"/>
      <c r="H4" s="34"/>
      <c r="I4" s="7"/>
      <c r="J4" s="7"/>
      <c r="K4" s="7"/>
      <c r="L4" s="7"/>
      <c r="M4" s="7"/>
      <c r="N4" s="7"/>
      <c r="V4" s="62" t="s">
        <v>4</v>
      </c>
    </row>
    <row r="5" spans="1:25" ht="30.75" customHeight="1">
      <c r="A5" s="47"/>
      <c r="C5" s="101" t="s">
        <v>5</v>
      </c>
      <c r="D5" s="6"/>
      <c r="E5" s="6"/>
      <c r="F5" s="6"/>
      <c r="J5" s="5"/>
      <c r="K5" s="5" t="s">
        <v>6</v>
      </c>
      <c r="M5" s="5"/>
      <c r="N5" s="5"/>
      <c r="V5" s="62" t="s">
        <v>7</v>
      </c>
    </row>
    <row r="6" spans="1:25" ht="15.75" customHeight="1">
      <c r="D6" s="1"/>
      <c r="E6" s="1"/>
      <c r="F6" s="6"/>
    </row>
    <row r="7" spans="1:25" ht="48.75" customHeight="1">
      <c r="A7" s="107"/>
      <c r="F7" s="108"/>
      <c r="J7" s="109"/>
      <c r="K7" s="150"/>
      <c r="L7" s="156"/>
      <c r="V7" s="151" t="s">
        <v>8</v>
      </c>
      <c r="W7" s="152"/>
      <c r="X7" s="152"/>
      <c r="Y7" s="152"/>
    </row>
    <row r="8" spans="1:25" ht="33" customHeight="1">
      <c r="A8" s="110" t="s">
        <v>9</v>
      </c>
      <c r="B8" s="111" t="s">
        <v>10</v>
      </c>
      <c r="C8" s="111" t="s">
        <v>11</v>
      </c>
      <c r="D8" s="110" t="s">
        <v>12</v>
      </c>
      <c r="E8" s="112" t="s">
        <v>13</v>
      </c>
      <c r="F8" s="112" t="s">
        <v>14</v>
      </c>
      <c r="G8" s="112" t="s">
        <v>15</v>
      </c>
      <c r="H8" s="113" t="s">
        <v>16</v>
      </c>
      <c r="I8" s="112" t="s">
        <v>17</v>
      </c>
      <c r="J8" s="112" t="s">
        <v>18</v>
      </c>
      <c r="K8" s="112" t="s">
        <v>19</v>
      </c>
      <c r="L8" s="112" t="s">
        <v>20</v>
      </c>
      <c r="M8" s="112" t="s">
        <v>21</v>
      </c>
      <c r="N8" s="112" t="s">
        <v>22</v>
      </c>
      <c r="O8" s="112" t="s">
        <v>23</v>
      </c>
      <c r="P8" s="114" t="s">
        <v>24</v>
      </c>
      <c r="Q8" s="115" t="s">
        <v>25</v>
      </c>
      <c r="R8" s="115" t="s">
        <v>26</v>
      </c>
      <c r="S8" s="116" t="s">
        <v>27</v>
      </c>
      <c r="T8" s="116" t="s">
        <v>28</v>
      </c>
      <c r="U8" s="116" t="s">
        <v>29</v>
      </c>
      <c r="V8" s="117" t="s">
        <v>30</v>
      </c>
      <c r="W8" s="117" t="s">
        <v>31</v>
      </c>
      <c r="X8" s="147" t="s">
        <v>32</v>
      </c>
      <c r="Y8" s="147" t="s">
        <v>33</v>
      </c>
    </row>
    <row r="9" spans="1:25" ht="14.25">
      <c r="A9" s="118" t="s">
        <v>34</v>
      </c>
      <c r="B9" s="119" t="s">
        <v>35</v>
      </c>
      <c r="C9" s="120" t="s">
        <v>36</v>
      </c>
      <c r="D9" s="120" t="s">
        <v>37</v>
      </c>
      <c r="E9" s="121" t="str">
        <f>IFERROR(VLOOKUP(G9,'DATOS ASIGNACIÓN'!B:I,7,0),"")</f>
        <v/>
      </c>
      <c r="F9" s="121" t="str">
        <f>IFERROR(VLOOKUP(G9,'DATOS ASIGNACIÓN'!B:I,6,0),"")</f>
        <v/>
      </c>
      <c r="G9" s="122" t="s">
        <v>38</v>
      </c>
      <c r="H9" s="123" t="s">
        <v>39</v>
      </c>
      <c r="I9" s="124"/>
      <c r="J9" s="125"/>
      <c r="K9" s="125"/>
      <c r="L9" s="125"/>
      <c r="M9" s="125"/>
      <c r="N9" s="125"/>
      <c r="O9" s="125"/>
      <c r="P9" s="126"/>
      <c r="Q9" s="56"/>
      <c r="R9" s="127" t="s">
        <v>40</v>
      </c>
      <c r="S9" s="56"/>
      <c r="T9" s="56"/>
      <c r="U9" s="56"/>
      <c r="V9" s="128"/>
      <c r="W9" s="128"/>
      <c r="X9" s="57"/>
      <c r="Y9" s="57"/>
    </row>
    <row r="10" spans="1:25" ht="14.25">
      <c r="A10" s="118" t="s">
        <v>41</v>
      </c>
      <c r="B10" s="119" t="s">
        <v>42</v>
      </c>
      <c r="C10" s="120" t="s">
        <v>43</v>
      </c>
      <c r="D10" s="120" t="s">
        <v>37</v>
      </c>
      <c r="E10" s="121" t="str">
        <f>IFERROR(VLOOKUP(G10,'DATOS ASIGNACIÓN'!B:I,7,0),"")</f>
        <v/>
      </c>
      <c r="F10" s="121" t="str">
        <f>IFERROR(VLOOKUP(G10,'DATOS ASIGNACIÓN'!B:I,6,0),"")</f>
        <v/>
      </c>
      <c r="G10" s="122" t="s">
        <v>38</v>
      </c>
      <c r="H10" s="123" t="s">
        <v>39</v>
      </c>
      <c r="I10" s="124"/>
      <c r="J10" s="125"/>
      <c r="K10" s="125"/>
      <c r="L10" s="125"/>
      <c r="M10" s="125"/>
      <c r="N10" s="125"/>
      <c r="O10" s="125"/>
      <c r="P10" s="126"/>
      <c r="Q10" s="56"/>
      <c r="R10" s="127" t="s">
        <v>40</v>
      </c>
      <c r="S10" s="56"/>
      <c r="T10" s="56"/>
      <c r="U10" s="56"/>
      <c r="V10" s="129"/>
      <c r="W10" s="129"/>
      <c r="X10" s="57"/>
      <c r="Y10" s="57"/>
    </row>
    <row r="11" spans="1:25" ht="14.25">
      <c r="A11" s="118" t="s">
        <v>44</v>
      </c>
      <c r="B11" s="119" t="s">
        <v>45</v>
      </c>
      <c r="C11" s="120" t="s">
        <v>46</v>
      </c>
      <c r="D11" s="120" t="s">
        <v>47</v>
      </c>
      <c r="E11" s="121" t="str">
        <f>IFERROR(VLOOKUP(G11,'DATOS ASIGNACIÓN'!B:I,7,0),"")</f>
        <v/>
      </c>
      <c r="F11" s="121" t="str">
        <f>IFERROR(VLOOKUP(G11,'DATOS ASIGNACIÓN'!B:I,6,0),"")</f>
        <v/>
      </c>
      <c r="G11" s="122" t="s">
        <v>48</v>
      </c>
      <c r="H11" s="123" t="s">
        <v>49</v>
      </c>
      <c r="I11" s="124"/>
      <c r="J11" s="125"/>
      <c r="K11" s="125"/>
      <c r="L11" s="125"/>
      <c r="M11" s="125"/>
      <c r="N11" s="125"/>
      <c r="O11" s="125"/>
      <c r="P11" s="126"/>
      <c r="Q11" s="56"/>
      <c r="R11" s="127" t="s">
        <v>40</v>
      </c>
      <c r="S11" s="56"/>
      <c r="T11" s="56"/>
      <c r="U11" s="56"/>
      <c r="V11" s="129"/>
      <c r="W11" s="129"/>
      <c r="X11" s="57"/>
      <c r="Y11" s="57"/>
    </row>
    <row r="12" spans="1:25" ht="14.25">
      <c r="A12" s="118" t="s">
        <v>50</v>
      </c>
      <c r="B12" s="119" t="s">
        <v>51</v>
      </c>
      <c r="C12" s="120" t="s">
        <v>52</v>
      </c>
      <c r="D12" s="120" t="s">
        <v>53</v>
      </c>
      <c r="E12" s="121" t="str">
        <f>IFERROR(VLOOKUP(G12,'DATOS ASIGNACIÓN'!B:I,7,0),"")</f>
        <v/>
      </c>
      <c r="F12" s="121" t="str">
        <f>IFERROR(VLOOKUP(G12,'DATOS ASIGNACIÓN'!B:I,6,0),"")</f>
        <v/>
      </c>
      <c r="G12" s="122" t="s">
        <v>54</v>
      </c>
      <c r="H12" s="123" t="s">
        <v>55</v>
      </c>
      <c r="I12" s="124"/>
      <c r="J12" s="125"/>
      <c r="K12" s="125"/>
      <c r="L12" s="125"/>
      <c r="M12" s="125"/>
      <c r="N12" s="125"/>
      <c r="O12" s="125"/>
      <c r="P12" s="126"/>
      <c r="Q12" s="56"/>
      <c r="R12" s="127" t="s">
        <v>40</v>
      </c>
      <c r="S12" s="56"/>
      <c r="T12" s="56"/>
      <c r="U12" s="56"/>
      <c r="V12" s="129"/>
      <c r="W12" s="129"/>
      <c r="X12" s="57"/>
      <c r="Y12" s="57"/>
    </row>
    <row r="13" spans="1:25" ht="14.25">
      <c r="A13" s="118" t="s">
        <v>56</v>
      </c>
      <c r="B13" s="119" t="s">
        <v>57</v>
      </c>
      <c r="C13" s="120" t="s">
        <v>58</v>
      </c>
      <c r="D13" s="120" t="s">
        <v>59</v>
      </c>
      <c r="E13" s="121" t="str">
        <f>IFERROR(VLOOKUP(G13,'DATOS ASIGNACIÓN'!B:I,7,0),"")</f>
        <v/>
      </c>
      <c r="F13" s="121" t="str">
        <f>IFERROR(VLOOKUP(G13,'DATOS ASIGNACIÓN'!B:I,6,0),"")</f>
        <v/>
      </c>
      <c r="G13" s="122" t="s">
        <v>60</v>
      </c>
      <c r="H13" s="123" t="s">
        <v>61</v>
      </c>
      <c r="I13" s="124"/>
      <c r="J13" s="125"/>
      <c r="K13" s="125"/>
      <c r="L13" s="125"/>
      <c r="M13" s="125"/>
      <c r="N13" s="125"/>
      <c r="O13" s="125"/>
      <c r="P13" s="126"/>
      <c r="Q13" s="56"/>
      <c r="R13" s="127" t="s">
        <v>40</v>
      </c>
      <c r="S13" s="56"/>
      <c r="T13" s="56"/>
      <c r="U13" s="56"/>
      <c r="V13" s="129"/>
      <c r="W13" s="129"/>
      <c r="X13" s="57"/>
      <c r="Y13" s="57"/>
    </row>
    <row r="14" spans="1:25" ht="14.25">
      <c r="A14" s="118" t="s">
        <v>62</v>
      </c>
      <c r="B14" s="119" t="s">
        <v>63</v>
      </c>
      <c r="C14" s="120" t="s">
        <v>64</v>
      </c>
      <c r="D14" s="120" t="s">
        <v>65</v>
      </c>
      <c r="E14" s="121" t="str">
        <f>IFERROR(VLOOKUP(G14,'DATOS ASIGNACIÓN'!B:I,7,0),"")</f>
        <v/>
      </c>
      <c r="F14" s="121" t="str">
        <f>IFERROR(VLOOKUP(G14,'DATOS ASIGNACIÓN'!B:I,6,0),"")</f>
        <v/>
      </c>
      <c r="G14" s="122" t="s">
        <v>66</v>
      </c>
      <c r="H14" s="123" t="s">
        <v>67</v>
      </c>
      <c r="I14" s="124"/>
      <c r="J14" s="125"/>
      <c r="K14" s="125"/>
      <c r="L14" s="125"/>
      <c r="M14" s="125"/>
      <c r="N14" s="125"/>
      <c r="O14" s="125"/>
      <c r="P14" s="126"/>
      <c r="Q14" s="56"/>
      <c r="R14" s="127" t="s">
        <v>40</v>
      </c>
      <c r="S14" s="56"/>
      <c r="T14" s="56"/>
      <c r="U14" s="56"/>
      <c r="V14" s="129"/>
      <c r="W14" s="129"/>
      <c r="X14" s="57"/>
      <c r="Y14" s="57"/>
    </row>
    <row r="15" spans="1:25" ht="15.75" customHeight="1">
      <c r="A15" s="118" t="s">
        <v>68</v>
      </c>
      <c r="B15" s="119">
        <v>1018447296</v>
      </c>
      <c r="C15" s="120" t="s">
        <v>69</v>
      </c>
      <c r="D15" s="120" t="s">
        <v>53</v>
      </c>
      <c r="E15" s="121" t="str">
        <f>IFERROR(VLOOKUP(G15,'DATOS ASIGNACIÓN'!B:I,7,0),"")</f>
        <v/>
      </c>
      <c r="F15" s="121" t="str">
        <f>IFERROR(VLOOKUP(G15,'DATOS ASIGNACIÓN'!B:I,6,0),"")</f>
        <v/>
      </c>
      <c r="G15" s="122" t="s">
        <v>54</v>
      </c>
      <c r="H15" s="123" t="s">
        <v>70</v>
      </c>
      <c r="I15" s="124"/>
      <c r="J15" s="125"/>
      <c r="K15" s="125"/>
      <c r="L15" s="125"/>
      <c r="M15" s="125"/>
      <c r="N15" s="125"/>
      <c r="O15" s="125"/>
      <c r="P15" s="126"/>
      <c r="Q15" s="56"/>
      <c r="R15" s="127" t="s">
        <v>40</v>
      </c>
      <c r="S15" s="56"/>
      <c r="T15" s="56"/>
      <c r="U15" s="56"/>
      <c r="V15" s="129"/>
      <c r="W15" s="129"/>
      <c r="X15" s="57"/>
      <c r="Y15" s="57"/>
    </row>
    <row r="16" spans="1:25" ht="15.75" customHeight="1">
      <c r="A16" s="118" t="s">
        <v>71</v>
      </c>
      <c r="B16" s="119" t="s">
        <v>72</v>
      </c>
      <c r="C16" s="120" t="s">
        <v>73</v>
      </c>
      <c r="D16" s="120" t="s">
        <v>74</v>
      </c>
      <c r="E16" s="121" t="str">
        <f>IFERROR(VLOOKUP(G16,'DATOS ASIGNACIÓN'!B:I,7,0),"")</f>
        <v/>
      </c>
      <c r="F16" s="121" t="str">
        <f>IFERROR(VLOOKUP(G16,'DATOS ASIGNACIÓN'!B:I,6,0),"")</f>
        <v/>
      </c>
      <c r="G16" s="122" t="s">
        <v>75</v>
      </c>
      <c r="H16" s="123" t="s">
        <v>67</v>
      </c>
      <c r="I16" s="124"/>
      <c r="J16" s="125"/>
      <c r="K16" s="125"/>
      <c r="L16" s="125"/>
      <c r="M16" s="125"/>
      <c r="N16" s="125"/>
      <c r="O16" s="125"/>
      <c r="P16" s="126"/>
      <c r="Q16" s="56"/>
      <c r="R16" s="127" t="s">
        <v>40</v>
      </c>
      <c r="S16" s="56"/>
      <c r="T16" s="56"/>
      <c r="U16" s="56"/>
      <c r="V16" s="129"/>
      <c r="W16" s="129"/>
      <c r="X16" s="57"/>
      <c r="Y16" s="57"/>
    </row>
    <row r="17" spans="1:25" ht="15.75" customHeight="1">
      <c r="A17" s="130" t="s">
        <v>76</v>
      </c>
      <c r="B17" s="131" t="s">
        <v>77</v>
      </c>
      <c r="C17" s="132" t="s">
        <v>78</v>
      </c>
      <c r="D17" s="132" t="s">
        <v>79</v>
      </c>
      <c r="E17" s="121" t="str">
        <f>IFERROR(VLOOKUP(G17,'DATOS ASIGNACIÓN'!B:I,7,0),"")</f>
        <v/>
      </c>
      <c r="F17" s="121" t="str">
        <f>IFERROR(VLOOKUP(G17,'DATOS ASIGNACIÓN'!B:I,6,0),"")</f>
        <v/>
      </c>
      <c r="G17" s="122" t="s">
        <v>80</v>
      </c>
      <c r="H17" s="123" t="s">
        <v>39</v>
      </c>
      <c r="I17" s="124"/>
      <c r="J17" s="125"/>
      <c r="K17" s="125"/>
      <c r="L17" s="125"/>
      <c r="M17" s="125"/>
      <c r="N17" s="125"/>
      <c r="O17" s="125"/>
      <c r="P17" s="126"/>
      <c r="Q17" s="56"/>
      <c r="R17" s="127" t="s">
        <v>40</v>
      </c>
      <c r="S17" s="56"/>
      <c r="T17" s="56"/>
      <c r="U17" s="56"/>
      <c r="V17" s="129"/>
      <c r="W17" s="129"/>
      <c r="X17" s="57"/>
      <c r="Y17" s="57"/>
    </row>
    <row r="18" spans="1:25" ht="14.25">
      <c r="A18" s="130" t="s">
        <v>81</v>
      </c>
      <c r="B18" s="131" t="s">
        <v>82</v>
      </c>
      <c r="C18" s="132" t="s">
        <v>83</v>
      </c>
      <c r="D18" s="132" t="s">
        <v>84</v>
      </c>
      <c r="E18" s="133"/>
      <c r="F18" s="121"/>
      <c r="G18" s="134"/>
      <c r="H18" s="123"/>
      <c r="I18" s="135"/>
      <c r="J18" s="125"/>
      <c r="K18" s="125"/>
      <c r="L18" s="125"/>
      <c r="M18" s="125"/>
      <c r="N18" s="125"/>
      <c r="O18" s="125"/>
      <c r="P18" s="126"/>
      <c r="Q18" s="56"/>
      <c r="R18" s="127"/>
      <c r="S18" s="56"/>
      <c r="T18" s="56"/>
      <c r="U18" s="56"/>
      <c r="V18" s="129"/>
      <c r="W18" s="129"/>
      <c r="X18" s="57"/>
      <c r="Y18" s="57"/>
    </row>
    <row r="19" spans="1:25" ht="15" customHeight="1">
      <c r="A19" s="130" t="s">
        <v>85</v>
      </c>
      <c r="B19" s="131" t="s">
        <v>86</v>
      </c>
      <c r="C19" s="132" t="s">
        <v>87</v>
      </c>
      <c r="D19" s="132" t="s">
        <v>88</v>
      </c>
      <c r="E19" s="133"/>
      <c r="F19" s="121"/>
      <c r="G19" s="134"/>
      <c r="H19" s="123"/>
      <c r="I19" s="135"/>
      <c r="J19" s="125"/>
      <c r="K19" s="125"/>
      <c r="L19" s="125"/>
      <c r="M19" s="125"/>
      <c r="N19" s="125"/>
      <c r="O19" s="125"/>
      <c r="P19" s="126"/>
      <c r="Q19" s="56"/>
      <c r="R19" s="127"/>
      <c r="S19" s="56"/>
      <c r="T19" s="56"/>
      <c r="U19" s="56"/>
      <c r="V19" s="129"/>
      <c r="W19" s="129"/>
      <c r="X19" s="57"/>
      <c r="Y19" s="57"/>
    </row>
    <row r="20" spans="1:25" ht="14.25">
      <c r="A20" s="130" t="s">
        <v>89</v>
      </c>
      <c r="B20" s="131" t="s">
        <v>90</v>
      </c>
      <c r="C20" s="132" t="s">
        <v>91</v>
      </c>
      <c r="D20" s="132" t="s">
        <v>92</v>
      </c>
      <c r="E20" s="133"/>
      <c r="F20" s="121"/>
      <c r="G20" s="134"/>
      <c r="H20" s="123"/>
      <c r="I20" s="124"/>
      <c r="J20" s="125"/>
      <c r="K20" s="125"/>
      <c r="L20" s="125"/>
      <c r="M20" s="125"/>
      <c r="N20" s="125"/>
      <c r="O20" s="125"/>
      <c r="P20" s="126"/>
      <c r="Q20" s="56"/>
      <c r="R20" s="127"/>
      <c r="S20" s="56"/>
      <c r="T20" s="56"/>
      <c r="U20" s="56"/>
      <c r="V20" s="129"/>
      <c r="W20" s="129"/>
      <c r="X20" s="57"/>
      <c r="Y20" s="57"/>
    </row>
    <row r="21" spans="1:25" ht="15.75" customHeight="1">
      <c r="A21" s="130" t="s">
        <v>93</v>
      </c>
      <c r="B21" s="131" t="s">
        <v>94</v>
      </c>
      <c r="C21" s="132" t="s">
        <v>95</v>
      </c>
      <c r="D21" s="132" t="s">
        <v>96</v>
      </c>
      <c r="E21" s="133"/>
      <c r="F21" s="121"/>
      <c r="G21" s="134"/>
      <c r="H21" s="123"/>
      <c r="I21" s="124"/>
      <c r="J21" s="125"/>
      <c r="K21" s="125"/>
      <c r="L21" s="125"/>
      <c r="M21" s="125"/>
      <c r="N21" s="125"/>
      <c r="O21" s="125"/>
      <c r="P21" s="126"/>
      <c r="Q21" s="56"/>
      <c r="R21" s="127"/>
      <c r="S21" s="56"/>
      <c r="T21" s="56"/>
      <c r="U21" s="56"/>
      <c r="V21" s="129"/>
      <c r="W21" s="129"/>
      <c r="X21" s="57"/>
      <c r="Y21" s="57"/>
    </row>
    <row r="22" spans="1:25" ht="14.25">
      <c r="A22" s="130" t="s">
        <v>97</v>
      </c>
      <c r="B22" s="131" t="s">
        <v>98</v>
      </c>
      <c r="C22" s="132" t="s">
        <v>99</v>
      </c>
      <c r="D22" s="132" t="s">
        <v>100</v>
      </c>
      <c r="E22" s="133"/>
      <c r="F22" s="121"/>
      <c r="G22" s="134"/>
      <c r="H22" s="123"/>
      <c r="I22" s="124"/>
      <c r="J22" s="125"/>
      <c r="K22" s="125"/>
      <c r="L22" s="125"/>
      <c r="M22" s="125"/>
      <c r="N22" s="125"/>
      <c r="O22" s="125"/>
      <c r="P22" s="126"/>
      <c r="Q22" s="56"/>
      <c r="R22" s="127"/>
      <c r="S22" s="56"/>
      <c r="T22" s="56"/>
      <c r="U22" s="56"/>
      <c r="V22" s="129"/>
      <c r="W22" s="129"/>
      <c r="X22" s="57"/>
      <c r="Y22" s="57"/>
    </row>
    <row r="23" spans="1:25" ht="15.75" customHeight="1">
      <c r="A23" s="130" t="s">
        <v>101</v>
      </c>
      <c r="B23" s="131" t="s">
        <v>102</v>
      </c>
      <c r="C23" s="132" t="s">
        <v>103</v>
      </c>
      <c r="D23" s="132" t="s">
        <v>104</v>
      </c>
      <c r="E23" s="133"/>
      <c r="F23" s="121"/>
      <c r="G23" s="134"/>
      <c r="H23" s="123"/>
      <c r="I23" s="124"/>
      <c r="J23" s="125"/>
      <c r="K23" s="125"/>
      <c r="L23" s="125"/>
      <c r="M23" s="125"/>
      <c r="N23" s="125"/>
      <c r="O23" s="125"/>
      <c r="P23" s="126"/>
      <c r="Q23" s="56"/>
      <c r="R23" s="127"/>
      <c r="S23" s="56"/>
      <c r="T23" s="56"/>
      <c r="U23" s="56"/>
      <c r="V23" s="129"/>
      <c r="W23" s="129"/>
      <c r="X23" s="57"/>
      <c r="Y23" s="57"/>
    </row>
    <row r="24" spans="1:25" ht="15.75" customHeight="1">
      <c r="A24" s="130" t="s">
        <v>105</v>
      </c>
      <c r="B24" s="131" t="s">
        <v>106</v>
      </c>
      <c r="C24" s="132" t="s">
        <v>107</v>
      </c>
      <c r="D24" s="132" t="s">
        <v>108</v>
      </c>
      <c r="E24" s="133"/>
      <c r="F24" s="121"/>
      <c r="G24" s="134"/>
      <c r="H24" s="123"/>
      <c r="I24" s="124"/>
      <c r="J24" s="125"/>
      <c r="K24" s="125"/>
      <c r="L24" s="125"/>
      <c r="M24" s="125"/>
      <c r="N24" s="125"/>
      <c r="O24" s="125"/>
      <c r="P24" s="126"/>
      <c r="Q24" s="56"/>
      <c r="R24" s="127"/>
      <c r="S24" s="56"/>
      <c r="T24" s="56"/>
      <c r="U24" s="56"/>
      <c r="V24" s="129"/>
      <c r="W24" s="129"/>
      <c r="X24" s="57"/>
      <c r="Y24" s="57"/>
    </row>
    <row r="25" spans="1:25" ht="15.75" customHeight="1">
      <c r="A25" s="130" t="s">
        <v>109</v>
      </c>
      <c r="B25" s="131" t="s">
        <v>110</v>
      </c>
      <c r="C25" s="132" t="s">
        <v>111</v>
      </c>
      <c r="D25" s="132" t="s">
        <v>112</v>
      </c>
      <c r="E25" s="133"/>
      <c r="F25" s="121"/>
      <c r="G25" s="134"/>
      <c r="H25" s="123"/>
      <c r="I25" s="124"/>
      <c r="J25" s="125"/>
      <c r="K25" s="125"/>
      <c r="L25" s="125"/>
      <c r="M25" s="125"/>
      <c r="N25" s="125"/>
      <c r="O25" s="125"/>
      <c r="P25" s="126"/>
      <c r="Q25" s="56"/>
      <c r="R25" s="127"/>
      <c r="S25" s="56"/>
      <c r="T25" s="56"/>
      <c r="U25" s="56"/>
      <c r="V25" s="129"/>
      <c r="W25" s="129"/>
      <c r="X25" s="57"/>
      <c r="Y25" s="57"/>
    </row>
    <row r="26" spans="1:25" ht="15.75" customHeight="1">
      <c r="A26" s="130" t="s">
        <v>113</v>
      </c>
      <c r="B26" s="131" t="s">
        <v>114</v>
      </c>
      <c r="C26" s="132" t="s">
        <v>115</v>
      </c>
      <c r="D26" s="132" t="s">
        <v>96</v>
      </c>
      <c r="E26" s="133"/>
      <c r="F26" s="121"/>
      <c r="G26" s="134"/>
      <c r="H26" s="123"/>
      <c r="I26" s="135"/>
      <c r="J26" s="125"/>
      <c r="K26" s="125"/>
      <c r="L26" s="125"/>
      <c r="M26" s="125"/>
      <c r="N26" s="125"/>
      <c r="O26" s="125"/>
      <c r="P26" s="126"/>
      <c r="Q26" s="56"/>
      <c r="R26" s="127"/>
      <c r="S26" s="56"/>
      <c r="T26" s="56"/>
      <c r="U26" s="56"/>
      <c r="V26" s="129"/>
      <c r="W26" s="129"/>
      <c r="X26" s="57"/>
      <c r="Y26" s="57"/>
    </row>
    <row r="27" spans="1:25" ht="15.75" customHeight="1">
      <c r="A27" s="130" t="s">
        <v>116</v>
      </c>
      <c r="B27" s="131" t="s">
        <v>117</v>
      </c>
      <c r="C27" s="132" t="s">
        <v>118</v>
      </c>
      <c r="D27" s="132" t="s">
        <v>74</v>
      </c>
      <c r="E27" s="133"/>
      <c r="F27" s="121"/>
      <c r="G27" s="134"/>
      <c r="H27" s="123"/>
      <c r="I27" s="124"/>
      <c r="J27" s="125"/>
      <c r="K27" s="125"/>
      <c r="L27" s="125"/>
      <c r="M27" s="125"/>
      <c r="N27" s="125"/>
      <c r="O27" s="125"/>
      <c r="P27" s="126"/>
      <c r="Q27" s="56"/>
      <c r="R27" s="127"/>
      <c r="S27" s="56"/>
      <c r="T27" s="56"/>
      <c r="U27" s="56"/>
      <c r="V27" s="129"/>
      <c r="W27" s="129"/>
      <c r="X27" s="57"/>
      <c r="Y27" s="57"/>
    </row>
    <row r="28" spans="1:25" ht="15.75" customHeight="1">
      <c r="A28" s="130" t="s">
        <v>119</v>
      </c>
      <c r="B28" s="131" t="s">
        <v>120</v>
      </c>
      <c r="C28" s="132" t="s">
        <v>121</v>
      </c>
      <c r="D28" s="132" t="s">
        <v>122</v>
      </c>
      <c r="E28" s="133"/>
      <c r="F28" s="121"/>
      <c r="G28" s="134"/>
      <c r="H28" s="123"/>
      <c r="I28" s="124"/>
      <c r="J28" s="125"/>
      <c r="K28" s="125"/>
      <c r="L28" s="125"/>
      <c r="M28" s="125"/>
      <c r="N28" s="125"/>
      <c r="O28" s="125"/>
      <c r="P28" s="126"/>
      <c r="Q28" s="56"/>
      <c r="R28" s="127"/>
      <c r="S28" s="56"/>
      <c r="T28" s="56"/>
      <c r="U28" s="56"/>
      <c r="V28" s="129"/>
      <c r="W28" s="129"/>
      <c r="X28" s="57"/>
      <c r="Y28" s="57"/>
    </row>
    <row r="29" spans="1:25" ht="15.75" customHeight="1">
      <c r="A29" s="130" t="s">
        <v>123</v>
      </c>
      <c r="B29" s="131" t="s">
        <v>124</v>
      </c>
      <c r="C29" s="132" t="s">
        <v>125</v>
      </c>
      <c r="D29" s="132" t="s">
        <v>126</v>
      </c>
      <c r="E29" s="133"/>
      <c r="F29" s="121"/>
      <c r="G29" s="134"/>
      <c r="H29" s="123"/>
      <c r="I29" s="124"/>
      <c r="J29" s="125"/>
      <c r="K29" s="125"/>
      <c r="L29" s="125"/>
      <c r="M29" s="125"/>
      <c r="N29" s="125"/>
      <c r="O29" s="125"/>
      <c r="P29" s="126"/>
      <c r="Q29" s="56"/>
      <c r="R29" s="127"/>
      <c r="S29" s="56"/>
      <c r="T29" s="56"/>
      <c r="U29" s="56"/>
      <c r="V29" s="129"/>
      <c r="W29" s="129"/>
      <c r="X29" s="57"/>
      <c r="Y29" s="57"/>
    </row>
    <row r="30" spans="1:25" ht="15.75" customHeight="1">
      <c r="A30" s="130" t="s">
        <v>127</v>
      </c>
      <c r="B30" s="131"/>
      <c r="C30" s="132"/>
      <c r="D30" s="132" t="s">
        <v>79</v>
      </c>
      <c r="E30" s="133"/>
      <c r="F30" s="121"/>
      <c r="G30" s="134"/>
      <c r="H30" s="123"/>
      <c r="I30" s="124"/>
      <c r="J30" s="125"/>
      <c r="K30" s="125"/>
      <c r="L30" s="125"/>
      <c r="M30" s="125"/>
      <c r="N30" s="125"/>
      <c r="O30" s="125"/>
      <c r="P30" s="126"/>
      <c r="Q30" s="56"/>
      <c r="R30" s="127"/>
      <c r="S30" s="56"/>
      <c r="T30" s="56"/>
      <c r="U30" s="56"/>
      <c r="V30" s="129"/>
      <c r="W30" s="129"/>
      <c r="X30" s="57"/>
      <c r="Y30" s="57"/>
    </row>
    <row r="31" spans="1:25" ht="15.75" customHeight="1">
      <c r="A31" s="130" t="s">
        <v>128</v>
      </c>
      <c r="B31" s="131" t="s">
        <v>129</v>
      </c>
      <c r="C31" s="132" t="s">
        <v>130</v>
      </c>
      <c r="D31" s="132" t="s">
        <v>88</v>
      </c>
      <c r="E31" s="133"/>
      <c r="F31" s="121"/>
      <c r="G31" s="134"/>
      <c r="H31" s="123"/>
      <c r="I31" s="124"/>
      <c r="J31" s="125"/>
      <c r="K31" s="125"/>
      <c r="L31" s="125"/>
      <c r="M31" s="125"/>
      <c r="N31" s="125"/>
      <c r="O31" s="125"/>
      <c r="P31" s="126"/>
      <c r="Q31" s="56"/>
      <c r="R31" s="127"/>
      <c r="S31" s="56"/>
      <c r="T31" s="56"/>
      <c r="U31" s="56"/>
      <c r="V31" s="129"/>
      <c r="W31" s="129"/>
      <c r="X31" s="57"/>
      <c r="Y31" s="57"/>
    </row>
    <row r="32" spans="1:25" ht="15.75" customHeight="1">
      <c r="A32" s="130" t="s">
        <v>131</v>
      </c>
      <c r="B32" s="131" t="s">
        <v>132</v>
      </c>
      <c r="C32" s="132" t="s">
        <v>133</v>
      </c>
      <c r="D32" s="132" t="s">
        <v>126</v>
      </c>
      <c r="E32" s="133"/>
      <c r="F32" s="121"/>
      <c r="G32" s="134"/>
      <c r="H32" s="123"/>
      <c r="I32" s="135"/>
      <c r="J32" s="125"/>
      <c r="K32" s="125"/>
      <c r="L32" s="125"/>
      <c r="M32" s="125"/>
      <c r="N32" s="125"/>
      <c r="O32" s="125"/>
      <c r="P32" s="126"/>
      <c r="Q32" s="56"/>
      <c r="R32" s="127"/>
      <c r="S32" s="56"/>
      <c r="T32" s="56"/>
      <c r="U32" s="56"/>
      <c r="V32" s="129"/>
      <c r="W32" s="129"/>
      <c r="X32" s="57"/>
      <c r="Y32" s="57"/>
    </row>
    <row r="33" spans="1:25" ht="15.75" customHeight="1">
      <c r="A33" s="130" t="s">
        <v>134</v>
      </c>
      <c r="B33" s="131">
        <v>1714348859</v>
      </c>
      <c r="C33" s="132" t="s">
        <v>135</v>
      </c>
      <c r="D33" s="132" t="s">
        <v>136</v>
      </c>
      <c r="E33" s="133"/>
      <c r="F33" s="121"/>
      <c r="G33" s="134"/>
      <c r="H33" s="123"/>
      <c r="I33" s="124"/>
      <c r="J33" s="125"/>
      <c r="K33" s="125"/>
      <c r="L33" s="125"/>
      <c r="M33" s="125"/>
      <c r="N33" s="125"/>
      <c r="O33" s="125"/>
      <c r="P33" s="126"/>
      <c r="Q33" s="56"/>
      <c r="R33" s="127"/>
      <c r="S33" s="56"/>
      <c r="T33" s="56"/>
      <c r="U33" s="56"/>
      <c r="V33" s="129"/>
      <c r="W33" s="129"/>
      <c r="X33" s="57"/>
      <c r="Y33" s="57"/>
    </row>
    <row r="34" spans="1:25" ht="15.75" customHeight="1">
      <c r="A34" s="130" t="s">
        <v>137</v>
      </c>
      <c r="B34" s="131" t="s">
        <v>138</v>
      </c>
      <c r="C34" s="132" t="s">
        <v>139</v>
      </c>
      <c r="D34" s="132" t="s">
        <v>140</v>
      </c>
      <c r="E34" s="133"/>
      <c r="F34" s="121"/>
      <c r="G34" s="134"/>
      <c r="H34" s="123"/>
      <c r="I34" s="124"/>
      <c r="J34" s="125"/>
      <c r="K34" s="125"/>
      <c r="L34" s="125"/>
      <c r="M34" s="125"/>
      <c r="N34" s="125"/>
      <c r="O34" s="125"/>
      <c r="P34" s="126"/>
      <c r="Q34" s="56"/>
      <c r="R34" s="127"/>
      <c r="S34" s="56"/>
      <c r="T34" s="56"/>
      <c r="U34" s="56"/>
      <c r="V34" s="129"/>
      <c r="W34" s="129"/>
      <c r="X34" s="57"/>
      <c r="Y34" s="57"/>
    </row>
    <row r="35" spans="1:25" ht="15.75" customHeight="1">
      <c r="A35" s="130" t="s">
        <v>141</v>
      </c>
      <c r="B35" s="131">
        <v>42769884</v>
      </c>
      <c r="C35" s="132" t="s">
        <v>142</v>
      </c>
      <c r="D35" s="132" t="s">
        <v>88</v>
      </c>
      <c r="E35" s="133"/>
      <c r="F35" s="121"/>
      <c r="G35" s="134"/>
      <c r="H35" s="123"/>
      <c r="I35" s="124"/>
      <c r="J35" s="125"/>
      <c r="K35" s="125"/>
      <c r="L35" s="125"/>
      <c r="M35" s="125"/>
      <c r="N35" s="125"/>
      <c r="O35" s="125"/>
      <c r="P35" s="126"/>
      <c r="Q35" s="56"/>
      <c r="R35" s="127"/>
      <c r="S35" s="56"/>
      <c r="T35" s="56"/>
      <c r="U35" s="56"/>
      <c r="V35" s="129"/>
      <c r="W35" s="129"/>
      <c r="X35" s="57"/>
      <c r="Y35" s="57"/>
    </row>
    <row r="36" spans="1:25" ht="15.75" customHeight="1">
      <c r="A36" s="130" t="s">
        <v>143</v>
      </c>
      <c r="B36" s="131" t="s">
        <v>144</v>
      </c>
      <c r="C36" s="132" t="s">
        <v>145</v>
      </c>
      <c r="D36" s="132" t="s">
        <v>146</v>
      </c>
      <c r="E36" s="133"/>
      <c r="F36" s="121"/>
      <c r="G36" s="134"/>
      <c r="H36" s="123"/>
      <c r="I36" s="124"/>
      <c r="J36" s="125"/>
      <c r="K36" s="125"/>
      <c r="L36" s="125"/>
      <c r="M36" s="125"/>
      <c r="N36" s="125"/>
      <c r="O36" s="125"/>
      <c r="P36" s="126"/>
      <c r="Q36" s="56"/>
      <c r="R36" s="127"/>
      <c r="S36" s="56"/>
      <c r="T36" s="56"/>
      <c r="U36" s="56"/>
      <c r="V36" s="129"/>
      <c r="W36" s="129"/>
      <c r="X36" s="57"/>
      <c r="Y36" s="57"/>
    </row>
    <row r="37" spans="1:25" ht="15.75" customHeight="1">
      <c r="A37" s="130" t="s">
        <v>147</v>
      </c>
      <c r="B37" s="131" t="s">
        <v>148</v>
      </c>
      <c r="C37" s="132" t="s">
        <v>149</v>
      </c>
      <c r="D37" s="132" t="s">
        <v>84</v>
      </c>
      <c r="E37" s="133"/>
      <c r="F37" s="121"/>
      <c r="G37" s="134"/>
      <c r="H37" s="123"/>
      <c r="I37" s="135"/>
      <c r="J37" s="125"/>
      <c r="K37" s="125"/>
      <c r="L37" s="125"/>
      <c r="M37" s="125"/>
      <c r="N37" s="125"/>
      <c r="O37" s="125"/>
      <c r="P37" s="126"/>
      <c r="Q37" s="56"/>
      <c r="R37" s="127"/>
      <c r="S37" s="56"/>
      <c r="T37" s="56"/>
      <c r="U37" s="56"/>
      <c r="V37" s="129"/>
      <c r="W37" s="129"/>
      <c r="X37" s="57"/>
      <c r="Y37" s="57"/>
    </row>
    <row r="38" spans="1:25" ht="15.75" customHeight="1">
      <c r="A38" s="130" t="s">
        <v>150</v>
      </c>
      <c r="B38" s="131" t="s">
        <v>151</v>
      </c>
      <c r="C38" s="132" t="s">
        <v>152</v>
      </c>
      <c r="D38" s="132" t="s">
        <v>153</v>
      </c>
      <c r="E38" s="133"/>
      <c r="F38" s="121"/>
      <c r="G38" s="134"/>
      <c r="H38" s="123"/>
      <c r="I38" s="124"/>
      <c r="J38" s="125"/>
      <c r="K38" s="125"/>
      <c r="L38" s="125"/>
      <c r="M38" s="125"/>
      <c r="N38" s="125"/>
      <c r="O38" s="125"/>
      <c r="P38" s="126"/>
      <c r="Q38" s="56"/>
      <c r="R38" s="127"/>
      <c r="S38" s="56"/>
      <c r="T38" s="56"/>
      <c r="U38" s="56"/>
      <c r="V38" s="129"/>
      <c r="W38" s="129"/>
      <c r="X38" s="57"/>
      <c r="Y38" s="57"/>
    </row>
    <row r="39" spans="1:25" ht="15.75" customHeight="1">
      <c r="A39" s="130" t="s">
        <v>154</v>
      </c>
      <c r="B39" s="131" t="s">
        <v>155</v>
      </c>
      <c r="C39" s="132" t="s">
        <v>156</v>
      </c>
      <c r="D39" s="132" t="s">
        <v>88</v>
      </c>
      <c r="E39" s="133"/>
      <c r="F39" s="121"/>
      <c r="G39" s="134"/>
      <c r="H39" s="123"/>
      <c r="I39" s="124"/>
      <c r="J39" s="125"/>
      <c r="K39" s="125"/>
      <c r="L39" s="125"/>
      <c r="M39" s="125"/>
      <c r="N39" s="125"/>
      <c r="O39" s="125"/>
      <c r="P39" s="126"/>
      <c r="Q39" s="56"/>
      <c r="R39" s="127"/>
      <c r="S39" s="56"/>
      <c r="T39" s="56"/>
      <c r="U39" s="56"/>
      <c r="V39" s="129"/>
      <c r="W39" s="129"/>
      <c r="X39" s="57"/>
      <c r="Y39" s="57"/>
    </row>
    <row r="40" spans="1:25" ht="15.75" customHeight="1">
      <c r="A40" s="130" t="s">
        <v>157</v>
      </c>
      <c r="B40" s="131" t="s">
        <v>158</v>
      </c>
      <c r="C40" s="132" t="s">
        <v>159</v>
      </c>
      <c r="D40" s="132" t="s">
        <v>153</v>
      </c>
      <c r="E40" s="133"/>
      <c r="F40" s="121"/>
      <c r="G40" s="134"/>
      <c r="H40" s="123"/>
      <c r="I40" s="124"/>
      <c r="J40" s="125"/>
      <c r="K40" s="125"/>
      <c r="L40" s="125"/>
      <c r="M40" s="125"/>
      <c r="N40" s="125"/>
      <c r="O40" s="125"/>
      <c r="P40" s="126"/>
      <c r="Q40" s="56"/>
      <c r="R40" s="127"/>
      <c r="S40" s="56"/>
      <c r="T40" s="56"/>
      <c r="U40" s="56"/>
      <c r="V40" s="129"/>
      <c r="W40" s="129"/>
      <c r="X40" s="57"/>
      <c r="Y40" s="57"/>
    </row>
    <row r="41" spans="1:25" ht="15.75" customHeight="1">
      <c r="A41" s="130" t="s">
        <v>160</v>
      </c>
      <c r="B41" s="131" t="s">
        <v>161</v>
      </c>
      <c r="C41" s="132" t="s">
        <v>162</v>
      </c>
      <c r="D41" s="132" t="s">
        <v>140</v>
      </c>
      <c r="E41" s="133"/>
      <c r="F41" s="121"/>
      <c r="G41" s="134"/>
      <c r="H41" s="123"/>
      <c r="I41" s="124"/>
      <c r="J41" s="125"/>
      <c r="K41" s="125"/>
      <c r="L41" s="125"/>
      <c r="M41" s="125"/>
      <c r="N41" s="125"/>
      <c r="O41" s="125"/>
      <c r="P41" s="126"/>
      <c r="Q41" s="56"/>
      <c r="R41" s="127"/>
      <c r="S41" s="56"/>
      <c r="T41" s="56"/>
      <c r="U41" s="56"/>
      <c r="V41" s="129"/>
      <c r="W41" s="129"/>
      <c r="X41" s="57"/>
      <c r="Y41" s="57"/>
    </row>
    <row r="42" spans="1:25" ht="15.75" customHeight="1">
      <c r="A42" s="130" t="s">
        <v>163</v>
      </c>
      <c r="B42" s="131">
        <v>927754945</v>
      </c>
      <c r="C42" s="132" t="s">
        <v>164</v>
      </c>
      <c r="D42" s="132" t="s">
        <v>165</v>
      </c>
      <c r="E42" s="133"/>
      <c r="F42" s="121"/>
      <c r="G42" s="134"/>
      <c r="H42" s="123"/>
      <c r="I42" s="124"/>
      <c r="J42" s="125"/>
      <c r="K42" s="125"/>
      <c r="L42" s="125"/>
      <c r="M42" s="125"/>
      <c r="N42" s="125"/>
      <c r="O42" s="125"/>
      <c r="P42" s="126"/>
      <c r="Q42" s="56"/>
      <c r="R42" s="127"/>
      <c r="S42" s="56"/>
      <c r="T42" s="56"/>
      <c r="U42" s="56"/>
      <c r="V42" s="129"/>
      <c r="W42" s="129"/>
      <c r="X42" s="57"/>
      <c r="Y42" s="57"/>
    </row>
    <row r="43" spans="1:25" ht="15.75" customHeight="1">
      <c r="A43" s="130" t="s">
        <v>166</v>
      </c>
      <c r="B43" s="131">
        <v>1311870446</v>
      </c>
      <c r="C43" s="132" t="s">
        <v>167</v>
      </c>
      <c r="D43" s="132" t="s">
        <v>79</v>
      </c>
      <c r="E43" s="133"/>
      <c r="F43" s="121"/>
      <c r="G43" s="134"/>
      <c r="H43" s="123"/>
      <c r="I43" s="124"/>
      <c r="J43" s="125"/>
      <c r="K43" s="125"/>
      <c r="L43" s="125"/>
      <c r="M43" s="125"/>
      <c r="N43" s="125"/>
      <c r="O43" s="125"/>
      <c r="P43" s="126"/>
      <c r="Q43" s="56"/>
      <c r="R43" s="127"/>
      <c r="S43" s="56"/>
      <c r="T43" s="56"/>
      <c r="U43" s="56"/>
      <c r="V43" s="129"/>
      <c r="W43" s="129"/>
      <c r="X43" s="57"/>
      <c r="Y43" s="57"/>
    </row>
    <row r="44" spans="1:25" ht="15.75" customHeight="1">
      <c r="A44" s="130" t="s">
        <v>168</v>
      </c>
      <c r="B44" s="131" t="s">
        <v>169</v>
      </c>
      <c r="C44" s="132" t="s">
        <v>170</v>
      </c>
      <c r="D44" s="132" t="s">
        <v>171</v>
      </c>
      <c r="E44" s="133"/>
      <c r="F44" s="121"/>
      <c r="G44" s="134"/>
      <c r="H44" s="123"/>
      <c r="I44" s="124"/>
      <c r="J44" s="125"/>
      <c r="K44" s="125"/>
      <c r="L44" s="125"/>
      <c r="M44" s="125"/>
      <c r="N44" s="125"/>
      <c r="O44" s="125"/>
      <c r="P44" s="126"/>
      <c r="Q44" s="56"/>
      <c r="R44" s="127"/>
      <c r="S44" s="56"/>
      <c r="T44" s="56"/>
      <c r="U44" s="56"/>
      <c r="V44" s="129"/>
      <c r="W44" s="129"/>
      <c r="X44" s="57"/>
      <c r="Y44" s="57"/>
    </row>
    <row r="45" spans="1:25" ht="15.75" customHeight="1">
      <c r="A45" s="130" t="s">
        <v>172</v>
      </c>
      <c r="B45" s="131" t="s">
        <v>173</v>
      </c>
      <c r="C45" s="132" t="s">
        <v>174</v>
      </c>
      <c r="D45" s="132" t="s">
        <v>100</v>
      </c>
      <c r="E45" s="133"/>
      <c r="F45" s="121"/>
      <c r="G45" s="134"/>
      <c r="H45" s="123"/>
      <c r="I45" s="124"/>
      <c r="J45" s="125"/>
      <c r="K45" s="125"/>
      <c r="L45" s="125"/>
      <c r="M45" s="125"/>
      <c r="N45" s="125"/>
      <c r="O45" s="125"/>
      <c r="P45" s="126"/>
      <c r="Q45" s="56"/>
      <c r="R45" s="127"/>
      <c r="S45" s="56"/>
      <c r="T45" s="56"/>
      <c r="U45" s="56"/>
      <c r="V45" s="129"/>
      <c r="W45" s="129"/>
      <c r="X45" s="57"/>
      <c r="Y45" s="57"/>
    </row>
    <row r="46" spans="1:25" ht="15.75" customHeight="1">
      <c r="A46" s="130" t="s">
        <v>175</v>
      </c>
      <c r="B46" s="131" t="s">
        <v>176</v>
      </c>
      <c r="C46" s="132" t="s">
        <v>177</v>
      </c>
      <c r="D46" s="132" t="s">
        <v>100</v>
      </c>
      <c r="E46" s="133"/>
      <c r="F46" s="121"/>
      <c r="G46" s="134"/>
      <c r="H46" s="123"/>
      <c r="I46" s="124"/>
      <c r="J46" s="125"/>
      <c r="K46" s="125"/>
      <c r="L46" s="125"/>
      <c r="M46" s="125"/>
      <c r="N46" s="125"/>
      <c r="O46" s="125"/>
      <c r="P46" s="126"/>
      <c r="Q46" s="56"/>
      <c r="R46" s="127"/>
      <c r="S46" s="56"/>
      <c r="T46" s="56"/>
      <c r="U46" s="56"/>
      <c r="V46" s="129"/>
      <c r="W46" s="129"/>
      <c r="X46" s="57"/>
      <c r="Y46" s="57"/>
    </row>
    <row r="47" spans="1:25" ht="15.75" customHeight="1">
      <c r="A47" s="130" t="s">
        <v>178</v>
      </c>
      <c r="B47" s="131" t="s">
        <v>179</v>
      </c>
      <c r="C47" s="132" t="s">
        <v>180</v>
      </c>
      <c r="D47" s="132" t="s">
        <v>104</v>
      </c>
      <c r="E47" s="133"/>
      <c r="F47" s="121"/>
      <c r="G47" s="134"/>
      <c r="H47" s="123"/>
      <c r="I47" s="124"/>
      <c r="J47" s="125"/>
      <c r="K47" s="125"/>
      <c r="L47" s="125"/>
      <c r="M47" s="125"/>
      <c r="N47" s="125"/>
      <c r="O47" s="125"/>
      <c r="P47" s="126"/>
      <c r="Q47" s="56"/>
      <c r="R47" s="127"/>
      <c r="S47" s="56"/>
      <c r="T47" s="56"/>
      <c r="U47" s="56"/>
      <c r="V47" s="129"/>
      <c r="W47" s="129"/>
      <c r="X47" s="57"/>
      <c r="Y47" s="57"/>
    </row>
    <row r="48" spans="1:25" ht="15.75" customHeight="1">
      <c r="A48" s="130" t="s">
        <v>181</v>
      </c>
      <c r="B48" s="131" t="s">
        <v>182</v>
      </c>
      <c r="C48" s="132" t="s">
        <v>183</v>
      </c>
      <c r="D48" s="132" t="s">
        <v>104</v>
      </c>
      <c r="E48" s="133"/>
      <c r="F48" s="121"/>
      <c r="G48" s="134"/>
      <c r="H48" s="123"/>
      <c r="I48" s="124"/>
      <c r="J48" s="125"/>
      <c r="K48" s="125"/>
      <c r="L48" s="125"/>
      <c r="M48" s="125"/>
      <c r="N48" s="125"/>
      <c r="O48" s="125"/>
      <c r="P48" s="126"/>
      <c r="Q48" s="56"/>
      <c r="R48" s="127"/>
      <c r="S48" s="56"/>
      <c r="T48" s="56"/>
      <c r="U48" s="56"/>
      <c r="V48" s="129"/>
      <c r="W48" s="129"/>
      <c r="X48" s="57"/>
      <c r="Y48" s="57"/>
    </row>
    <row r="49" spans="1:25" ht="15.75" customHeight="1">
      <c r="A49" s="130" t="s">
        <v>184</v>
      </c>
      <c r="B49" s="131" t="s">
        <v>185</v>
      </c>
      <c r="C49" s="132" t="s">
        <v>186</v>
      </c>
      <c r="D49" s="132" t="s">
        <v>140</v>
      </c>
      <c r="E49" s="133"/>
      <c r="F49" s="121"/>
      <c r="G49" s="134"/>
      <c r="H49" s="123"/>
      <c r="I49" s="124"/>
      <c r="J49" s="125"/>
      <c r="K49" s="125"/>
      <c r="L49" s="125"/>
      <c r="M49" s="125"/>
      <c r="N49" s="125"/>
      <c r="O49" s="125"/>
      <c r="P49" s="126"/>
      <c r="Q49" s="56"/>
      <c r="R49" s="127"/>
      <c r="S49" s="56"/>
      <c r="T49" s="56"/>
      <c r="U49" s="56"/>
      <c r="V49" s="129"/>
      <c r="W49" s="129"/>
      <c r="X49" s="57"/>
      <c r="Y49" s="57"/>
    </row>
    <row r="50" spans="1:25" ht="15.75" customHeight="1">
      <c r="A50" s="130" t="s">
        <v>187</v>
      </c>
      <c r="B50" s="131" t="s">
        <v>188</v>
      </c>
      <c r="C50" s="132" t="s">
        <v>189</v>
      </c>
      <c r="D50" s="132" t="s">
        <v>65</v>
      </c>
      <c r="E50" s="133"/>
      <c r="F50" s="121"/>
      <c r="G50" s="134"/>
      <c r="H50" s="123"/>
      <c r="I50" s="124"/>
      <c r="J50" s="125"/>
      <c r="K50" s="125"/>
      <c r="L50" s="125"/>
      <c r="M50" s="125"/>
      <c r="N50" s="125"/>
      <c r="O50" s="125"/>
      <c r="P50" s="126"/>
      <c r="Q50" s="56"/>
      <c r="R50" s="127"/>
      <c r="S50" s="56"/>
      <c r="T50" s="56"/>
      <c r="U50" s="56"/>
      <c r="V50" s="129"/>
      <c r="W50" s="129"/>
      <c r="X50" s="57"/>
      <c r="Y50" s="57"/>
    </row>
    <row r="51" spans="1:25" ht="15.75" customHeight="1">
      <c r="A51" s="130" t="s">
        <v>190</v>
      </c>
      <c r="B51" s="131" t="s">
        <v>191</v>
      </c>
      <c r="C51" s="132" t="s">
        <v>192</v>
      </c>
      <c r="D51" s="132" t="s">
        <v>104</v>
      </c>
      <c r="E51" s="133"/>
      <c r="F51" s="121"/>
      <c r="G51" s="134"/>
      <c r="H51" s="123"/>
      <c r="I51" s="124"/>
      <c r="J51" s="125"/>
      <c r="K51" s="125"/>
      <c r="L51" s="125"/>
      <c r="M51" s="125"/>
      <c r="N51" s="125"/>
      <c r="O51" s="125"/>
      <c r="P51" s="126"/>
      <c r="Q51" s="56"/>
      <c r="R51" s="127"/>
      <c r="S51" s="56"/>
      <c r="T51" s="56"/>
      <c r="U51" s="56"/>
      <c r="V51" s="129"/>
      <c r="W51" s="129"/>
      <c r="X51" s="57"/>
      <c r="Y51" s="57"/>
    </row>
    <row r="52" spans="1:25" ht="15.75" customHeight="1">
      <c r="A52" s="130" t="s">
        <v>193</v>
      </c>
      <c r="B52" s="131" t="s">
        <v>194</v>
      </c>
      <c r="C52" s="132" t="s">
        <v>195</v>
      </c>
      <c r="D52" s="132" t="s">
        <v>196</v>
      </c>
      <c r="E52" s="133"/>
      <c r="F52" s="121"/>
      <c r="G52" s="134"/>
      <c r="H52" s="123"/>
      <c r="I52" s="124"/>
      <c r="J52" s="125"/>
      <c r="K52" s="125"/>
      <c r="L52" s="125"/>
      <c r="M52" s="125"/>
      <c r="N52" s="125"/>
      <c r="O52" s="125"/>
      <c r="P52" s="126"/>
      <c r="Q52" s="56"/>
      <c r="R52" s="127"/>
      <c r="S52" s="56"/>
      <c r="T52" s="56"/>
      <c r="U52" s="56"/>
      <c r="V52" s="129"/>
      <c r="W52" s="129"/>
      <c r="X52" s="57"/>
      <c r="Y52" s="57"/>
    </row>
    <row r="53" spans="1:25" ht="15.75" customHeight="1">
      <c r="A53" s="130" t="s">
        <v>197</v>
      </c>
      <c r="B53" s="131" t="s">
        <v>198</v>
      </c>
      <c r="C53" s="132" t="s">
        <v>199</v>
      </c>
      <c r="D53" s="132" t="s">
        <v>74</v>
      </c>
      <c r="E53" s="133"/>
      <c r="F53" s="121"/>
      <c r="G53" s="134"/>
      <c r="H53" s="123"/>
      <c r="I53" s="124"/>
      <c r="J53" s="125"/>
      <c r="K53" s="125"/>
      <c r="L53" s="125"/>
      <c r="M53" s="125"/>
      <c r="N53" s="125"/>
      <c r="O53" s="125"/>
      <c r="P53" s="126"/>
      <c r="Q53" s="56"/>
      <c r="R53" s="127"/>
      <c r="S53" s="56"/>
      <c r="T53" s="56"/>
      <c r="U53" s="56"/>
      <c r="V53" s="129"/>
      <c r="W53" s="143"/>
      <c r="X53" s="57"/>
      <c r="Y53" s="57"/>
    </row>
    <row r="54" spans="1:25" ht="15.75" customHeight="1">
      <c r="A54" s="130" t="s">
        <v>200</v>
      </c>
      <c r="B54" s="131" t="s">
        <v>201</v>
      </c>
      <c r="C54" s="132" t="s">
        <v>202</v>
      </c>
      <c r="D54" s="132" t="s">
        <v>112</v>
      </c>
      <c r="E54" s="133"/>
      <c r="F54" s="121"/>
      <c r="G54" s="134"/>
      <c r="H54" s="123"/>
      <c r="I54" s="124"/>
      <c r="J54" s="125"/>
      <c r="K54" s="125"/>
      <c r="L54" s="125"/>
      <c r="M54" s="125"/>
      <c r="N54" s="125"/>
      <c r="O54" s="125"/>
      <c r="P54" s="126"/>
      <c r="Q54" s="56"/>
      <c r="R54" s="127"/>
      <c r="S54" s="56"/>
      <c r="T54" s="56"/>
      <c r="U54" s="56"/>
      <c r="V54" s="129"/>
      <c r="W54" s="143"/>
      <c r="X54" s="57"/>
      <c r="Y54" s="57"/>
    </row>
    <row r="55" spans="1:25" ht="15.75" customHeight="1">
      <c r="A55" s="130" t="s">
        <v>203</v>
      </c>
      <c r="B55" s="131" t="s">
        <v>204</v>
      </c>
      <c r="C55" s="132" t="s">
        <v>205</v>
      </c>
      <c r="D55" s="132" t="s">
        <v>92</v>
      </c>
      <c r="E55" s="133"/>
      <c r="F55" s="121"/>
      <c r="G55" s="134"/>
      <c r="H55" s="123"/>
      <c r="I55" s="124"/>
      <c r="J55" s="125"/>
      <c r="K55" s="125"/>
      <c r="L55" s="125"/>
      <c r="M55" s="125"/>
      <c r="N55" s="125"/>
      <c r="O55" s="125"/>
      <c r="P55" s="126"/>
      <c r="Q55" s="56"/>
      <c r="R55" s="127"/>
      <c r="S55" s="56"/>
      <c r="T55" s="56"/>
      <c r="U55" s="56"/>
      <c r="V55" s="129"/>
      <c r="W55" s="144"/>
      <c r="X55" s="57"/>
      <c r="Y55" s="57"/>
    </row>
    <row r="56" spans="1:25" ht="15.75" customHeight="1">
      <c r="A56" s="130" t="s">
        <v>206</v>
      </c>
      <c r="B56" s="131" t="s">
        <v>207</v>
      </c>
      <c r="C56" s="132" t="s">
        <v>208</v>
      </c>
      <c r="D56" s="132" t="s">
        <v>79</v>
      </c>
      <c r="E56" s="133"/>
      <c r="F56" s="121"/>
      <c r="G56" s="134"/>
      <c r="H56" s="123"/>
      <c r="I56" s="124"/>
      <c r="J56" s="125"/>
      <c r="K56" s="125"/>
      <c r="L56" s="125"/>
      <c r="M56" s="125"/>
      <c r="N56" s="125"/>
      <c r="O56" s="125"/>
      <c r="P56" s="126"/>
      <c r="Q56" s="56"/>
      <c r="R56" s="127"/>
      <c r="S56" s="56"/>
      <c r="T56" s="56"/>
      <c r="U56" s="56"/>
      <c r="V56" s="129"/>
      <c r="W56" s="144"/>
      <c r="X56" s="57"/>
      <c r="Y56" s="57"/>
    </row>
    <row r="57" spans="1:25" ht="15.75" customHeight="1">
      <c r="A57" s="130" t="s">
        <v>209</v>
      </c>
      <c r="B57" s="131" t="s">
        <v>210</v>
      </c>
      <c r="C57" s="141" t="s">
        <v>211</v>
      </c>
      <c r="D57" s="132" t="s">
        <v>100</v>
      </c>
      <c r="E57" s="133"/>
      <c r="F57" s="121"/>
      <c r="G57" s="134"/>
      <c r="H57" s="123"/>
      <c r="I57" s="124"/>
      <c r="J57" s="125"/>
      <c r="K57" s="125"/>
      <c r="L57" s="125"/>
      <c r="M57" s="125"/>
      <c r="N57" s="125"/>
      <c r="O57" s="125"/>
      <c r="P57" s="126"/>
      <c r="Q57" s="56"/>
      <c r="R57" s="127"/>
      <c r="S57" s="56"/>
      <c r="T57" s="56"/>
      <c r="U57" s="56"/>
      <c r="V57" s="129"/>
      <c r="W57" s="144"/>
      <c r="X57" s="57"/>
      <c r="Y57" s="57"/>
    </row>
    <row r="58" spans="1:25" ht="15.75" customHeight="1">
      <c r="A58" s="130" t="s">
        <v>212</v>
      </c>
      <c r="B58" s="131">
        <v>1233896108</v>
      </c>
      <c r="C58" s="141" t="s">
        <v>213</v>
      </c>
      <c r="D58" s="132" t="s">
        <v>100</v>
      </c>
      <c r="E58" s="133"/>
      <c r="F58" s="121"/>
      <c r="G58" s="134"/>
      <c r="H58" s="123"/>
      <c r="I58" s="124"/>
      <c r="J58" s="125"/>
      <c r="K58" s="125"/>
      <c r="L58" s="125"/>
      <c r="M58" s="125"/>
      <c r="N58" s="125"/>
      <c r="O58" s="125"/>
      <c r="P58" s="126"/>
      <c r="Q58" s="56"/>
      <c r="R58" s="127"/>
      <c r="S58" s="56"/>
      <c r="T58" s="56"/>
      <c r="U58" s="56"/>
      <c r="V58" s="129"/>
      <c r="W58" s="145"/>
      <c r="X58" s="57"/>
      <c r="Y58" s="57"/>
    </row>
    <row r="59" spans="1:25" ht="15.75" customHeight="1">
      <c r="A59" s="130" t="s">
        <v>214</v>
      </c>
      <c r="B59" s="131" t="s">
        <v>215</v>
      </c>
      <c r="C59" s="141" t="s">
        <v>216</v>
      </c>
      <c r="D59" s="132" t="s">
        <v>136</v>
      </c>
      <c r="E59" s="133"/>
      <c r="F59" s="121"/>
      <c r="G59" s="134"/>
      <c r="H59" s="123"/>
      <c r="I59" s="124"/>
      <c r="J59" s="125"/>
      <c r="K59" s="125"/>
      <c r="L59" s="125"/>
      <c r="M59" s="125"/>
      <c r="N59" s="125"/>
      <c r="O59" s="125"/>
      <c r="P59" s="126"/>
      <c r="Q59" s="56"/>
      <c r="R59" s="127"/>
      <c r="S59" s="56"/>
      <c r="T59" s="56"/>
      <c r="U59" s="56"/>
      <c r="V59" s="129"/>
      <c r="W59" s="145"/>
      <c r="X59" s="57"/>
      <c r="Y59" s="57"/>
    </row>
    <row r="60" spans="1:25" ht="15.75" customHeight="1">
      <c r="A60" s="130" t="s">
        <v>217</v>
      </c>
      <c r="B60" s="131" t="s">
        <v>218</v>
      </c>
      <c r="C60" s="132" t="s">
        <v>219</v>
      </c>
      <c r="D60" s="132" t="s">
        <v>59</v>
      </c>
      <c r="E60" s="133"/>
      <c r="F60" s="121"/>
      <c r="G60" s="134"/>
      <c r="H60" s="123"/>
      <c r="I60" s="124"/>
      <c r="J60" s="125"/>
      <c r="K60" s="125"/>
      <c r="L60" s="125"/>
      <c r="M60" s="125"/>
      <c r="N60" s="125"/>
      <c r="O60" s="125"/>
      <c r="P60" s="126"/>
      <c r="Q60" s="56"/>
      <c r="R60" s="127"/>
      <c r="S60" s="56"/>
      <c r="T60" s="56"/>
      <c r="U60" s="56"/>
      <c r="V60" s="129"/>
      <c r="W60" s="145"/>
      <c r="X60" s="57"/>
      <c r="Y60" s="57"/>
    </row>
    <row r="61" spans="1:25" ht="15.75" customHeight="1">
      <c r="A61" s="130" t="s">
        <v>220</v>
      </c>
      <c r="B61" s="131" t="s">
        <v>221</v>
      </c>
      <c r="C61" s="132" t="s">
        <v>222</v>
      </c>
      <c r="D61" s="132" t="s">
        <v>140</v>
      </c>
      <c r="E61" s="133"/>
      <c r="F61" s="121"/>
      <c r="G61" s="134"/>
      <c r="H61" s="123"/>
      <c r="I61" s="135"/>
      <c r="J61" s="125"/>
      <c r="K61" s="125"/>
      <c r="L61" s="125"/>
      <c r="M61" s="125"/>
      <c r="N61" s="125"/>
      <c r="O61" s="125"/>
      <c r="P61" s="126"/>
      <c r="Q61" s="56"/>
      <c r="R61" s="127"/>
      <c r="S61" s="56"/>
      <c r="T61" s="56"/>
      <c r="U61" s="56"/>
      <c r="V61" s="129"/>
      <c r="W61" s="145"/>
      <c r="X61" s="57"/>
      <c r="Y61" s="57"/>
    </row>
    <row r="62" spans="1:25" ht="15.75" customHeight="1">
      <c r="A62" s="130" t="s">
        <v>223</v>
      </c>
      <c r="B62" s="131" t="s">
        <v>224</v>
      </c>
      <c r="C62" s="132" t="s">
        <v>225</v>
      </c>
      <c r="D62" s="132" t="s">
        <v>122</v>
      </c>
      <c r="E62" s="133"/>
      <c r="F62" s="121"/>
      <c r="G62" s="134"/>
      <c r="H62" s="123"/>
      <c r="I62" s="124"/>
      <c r="J62" s="125"/>
      <c r="K62" s="125"/>
      <c r="L62" s="125"/>
      <c r="M62" s="125"/>
      <c r="N62" s="125"/>
      <c r="O62" s="125"/>
      <c r="P62" s="126"/>
      <c r="Q62" s="56"/>
      <c r="R62" s="127"/>
      <c r="S62" s="56"/>
      <c r="T62" s="56"/>
      <c r="U62" s="56"/>
      <c r="V62" s="129"/>
      <c r="W62" s="145"/>
      <c r="X62" s="57"/>
      <c r="Y62" s="57"/>
    </row>
    <row r="63" spans="1:25" ht="15.75" customHeight="1">
      <c r="A63" s="130" t="s">
        <v>226</v>
      </c>
      <c r="B63" s="131" t="s">
        <v>227</v>
      </c>
      <c r="C63" s="132" t="s">
        <v>228</v>
      </c>
      <c r="D63" s="132" t="s">
        <v>100</v>
      </c>
      <c r="E63" s="133"/>
      <c r="F63" s="121"/>
      <c r="G63" s="134"/>
      <c r="H63" s="123"/>
      <c r="I63" s="124"/>
      <c r="J63" s="125"/>
      <c r="K63" s="125"/>
      <c r="L63" s="125"/>
      <c r="M63" s="125"/>
      <c r="N63" s="125"/>
      <c r="O63" s="125"/>
      <c r="P63" s="126"/>
      <c r="Q63" s="56"/>
      <c r="R63" s="127"/>
      <c r="S63" s="56"/>
      <c r="T63" s="56"/>
      <c r="U63" s="56"/>
      <c r="V63" s="129"/>
      <c r="W63" s="145"/>
      <c r="X63" s="57"/>
      <c r="Y63" s="57"/>
    </row>
    <row r="64" spans="1:25" ht="15.75" customHeight="1">
      <c r="A64" s="130" t="s">
        <v>229</v>
      </c>
      <c r="B64" s="131" t="s">
        <v>230</v>
      </c>
      <c r="C64" s="132" t="s">
        <v>231</v>
      </c>
      <c r="D64" s="132" t="s">
        <v>65</v>
      </c>
      <c r="E64" s="133"/>
      <c r="F64" s="121"/>
      <c r="G64" s="134"/>
      <c r="H64" s="123"/>
      <c r="I64" s="124"/>
      <c r="J64" s="125"/>
      <c r="K64" s="125"/>
      <c r="L64" s="125"/>
      <c r="M64" s="125"/>
      <c r="N64" s="125"/>
      <c r="O64" s="125"/>
      <c r="P64" s="126"/>
      <c r="Q64" s="56"/>
      <c r="R64" s="127"/>
      <c r="S64" s="56"/>
      <c r="T64" s="56"/>
      <c r="U64" s="56"/>
      <c r="V64" s="129"/>
      <c r="W64" s="145"/>
      <c r="X64" s="57"/>
      <c r="Y64" s="57"/>
    </row>
    <row r="65" spans="1:25" ht="15.75" customHeight="1">
      <c r="A65" s="130" t="s">
        <v>232</v>
      </c>
      <c r="B65" s="131" t="s">
        <v>233</v>
      </c>
      <c r="C65" s="141" t="s">
        <v>234</v>
      </c>
      <c r="D65" s="132" t="s">
        <v>235</v>
      </c>
      <c r="E65" s="133"/>
      <c r="F65" s="121"/>
      <c r="G65" s="134"/>
      <c r="H65" s="123"/>
      <c r="I65" s="124"/>
      <c r="J65" s="125"/>
      <c r="K65" s="125"/>
      <c r="L65" s="125"/>
      <c r="M65" s="125"/>
      <c r="N65" s="125"/>
      <c r="O65" s="125"/>
      <c r="P65" s="126"/>
      <c r="Q65" s="56"/>
      <c r="R65" s="127"/>
      <c r="S65" s="56"/>
      <c r="T65" s="56"/>
      <c r="U65" s="56"/>
      <c r="V65" s="129"/>
      <c r="W65" s="145"/>
      <c r="X65" s="57"/>
      <c r="Y65" s="57"/>
    </row>
    <row r="66" spans="1:25" ht="15.75" customHeight="1">
      <c r="A66" s="130" t="s">
        <v>236</v>
      </c>
      <c r="B66" s="131">
        <v>52329634</v>
      </c>
      <c r="C66" s="132" t="s">
        <v>237</v>
      </c>
      <c r="D66" s="132" t="s">
        <v>235</v>
      </c>
      <c r="E66" s="133"/>
      <c r="F66" s="121"/>
      <c r="G66" s="134"/>
      <c r="H66" s="123"/>
      <c r="I66" s="124"/>
      <c r="J66" s="125"/>
      <c r="K66" s="125"/>
      <c r="L66" s="125"/>
      <c r="M66" s="125"/>
      <c r="N66" s="125"/>
      <c r="O66" s="125"/>
      <c r="P66" s="126"/>
      <c r="Q66" s="56"/>
      <c r="R66" s="127"/>
      <c r="S66" s="56"/>
      <c r="T66" s="56"/>
      <c r="U66" s="56"/>
      <c r="V66" s="129"/>
      <c r="W66" s="145"/>
      <c r="X66" s="57"/>
      <c r="Y66" s="57"/>
    </row>
    <row r="67" spans="1:25" ht="15.75" customHeight="1">
      <c r="A67" s="130" t="s">
        <v>238</v>
      </c>
      <c r="B67" s="131" t="s">
        <v>239</v>
      </c>
      <c r="C67" s="132" t="s">
        <v>240</v>
      </c>
      <c r="D67" s="132" t="s">
        <v>112</v>
      </c>
      <c r="E67" s="133"/>
      <c r="F67" s="121"/>
      <c r="G67" s="134"/>
      <c r="H67" s="123"/>
      <c r="I67" s="124"/>
      <c r="J67" s="125"/>
      <c r="K67" s="125"/>
      <c r="L67" s="125"/>
      <c r="M67" s="125"/>
      <c r="N67" s="125"/>
      <c r="O67" s="125"/>
      <c r="P67" s="126"/>
      <c r="Q67" s="56"/>
      <c r="R67" s="127"/>
      <c r="S67" s="56"/>
      <c r="T67" s="56"/>
      <c r="U67" s="56"/>
      <c r="V67" s="129"/>
      <c r="W67" s="145"/>
      <c r="X67" s="57"/>
      <c r="Y67" s="57"/>
    </row>
    <row r="68" spans="1:25" ht="15.75" customHeight="1">
      <c r="A68" s="130" t="s">
        <v>241</v>
      </c>
      <c r="B68" s="131" t="s">
        <v>242</v>
      </c>
      <c r="C68" s="132" t="s">
        <v>243</v>
      </c>
      <c r="D68" s="132" t="s">
        <v>100</v>
      </c>
      <c r="E68" s="133"/>
      <c r="F68" s="121"/>
      <c r="G68" s="134"/>
      <c r="H68" s="136"/>
      <c r="I68" s="124"/>
      <c r="J68" s="125"/>
      <c r="K68" s="125"/>
      <c r="L68" s="125"/>
      <c r="M68" s="125"/>
      <c r="N68" s="125"/>
      <c r="O68" s="125"/>
      <c r="P68" s="126"/>
      <c r="Q68" s="56"/>
      <c r="R68" s="127"/>
      <c r="S68" s="56"/>
      <c r="T68" s="56"/>
      <c r="U68" s="56"/>
      <c r="V68" s="129"/>
      <c r="W68" s="145"/>
      <c r="X68" s="57"/>
      <c r="Y68" s="57"/>
    </row>
    <row r="69" spans="1:25" ht="15.75" customHeight="1">
      <c r="A69" s="130" t="s">
        <v>244</v>
      </c>
      <c r="B69" s="131" t="s">
        <v>245</v>
      </c>
      <c r="C69" s="132" t="s">
        <v>246</v>
      </c>
      <c r="D69" s="132" t="s">
        <v>247</v>
      </c>
      <c r="E69" s="133"/>
      <c r="F69" s="121"/>
      <c r="G69" s="134"/>
      <c r="H69" s="123"/>
      <c r="I69" s="124"/>
      <c r="J69" s="125"/>
      <c r="K69" s="125"/>
      <c r="L69" s="125"/>
      <c r="M69" s="125"/>
      <c r="N69" s="125"/>
      <c r="O69" s="125"/>
      <c r="P69" s="126"/>
      <c r="Q69" s="56"/>
      <c r="R69" s="127"/>
      <c r="S69" s="56"/>
      <c r="T69" s="56"/>
      <c r="U69" s="56"/>
      <c r="V69" s="129"/>
      <c r="W69" s="145"/>
      <c r="X69" s="57"/>
      <c r="Y69" s="57"/>
    </row>
    <row r="70" spans="1:25" ht="15.75" customHeight="1">
      <c r="A70" s="130" t="s">
        <v>248</v>
      </c>
      <c r="B70" s="131" t="s">
        <v>249</v>
      </c>
      <c r="C70" s="132" t="s">
        <v>250</v>
      </c>
      <c r="D70" s="132" t="s">
        <v>104</v>
      </c>
      <c r="E70" s="133"/>
      <c r="F70" s="121"/>
      <c r="G70" s="134"/>
      <c r="H70" s="123"/>
      <c r="I70" s="124"/>
      <c r="J70" s="125"/>
      <c r="K70" s="125"/>
      <c r="L70" s="125"/>
      <c r="M70" s="125"/>
      <c r="N70" s="125"/>
      <c r="O70" s="125"/>
      <c r="P70" s="126"/>
      <c r="Q70" s="56"/>
      <c r="R70" s="127"/>
      <c r="S70" s="56"/>
      <c r="T70" s="56"/>
      <c r="U70" s="56"/>
      <c r="V70" s="129"/>
      <c r="W70" s="145"/>
      <c r="X70" s="57"/>
      <c r="Y70" s="57"/>
    </row>
    <row r="71" spans="1:25" ht="15.75" customHeight="1">
      <c r="A71" s="130" t="s">
        <v>251</v>
      </c>
      <c r="B71" s="131" t="s">
        <v>252</v>
      </c>
      <c r="C71" s="132" t="s">
        <v>253</v>
      </c>
      <c r="D71" s="132" t="s">
        <v>88</v>
      </c>
      <c r="E71" s="133"/>
      <c r="F71" s="121"/>
      <c r="G71" s="134"/>
      <c r="H71" s="123"/>
      <c r="I71" s="124"/>
      <c r="J71" s="125"/>
      <c r="K71" s="125"/>
      <c r="L71" s="125"/>
      <c r="M71" s="125"/>
      <c r="N71" s="125"/>
      <c r="O71" s="125"/>
      <c r="P71" s="126"/>
      <c r="Q71" s="56"/>
      <c r="R71" s="127"/>
      <c r="S71" s="56"/>
      <c r="T71" s="56"/>
      <c r="U71" s="56"/>
      <c r="V71" s="129"/>
      <c r="W71" s="145"/>
      <c r="X71" s="57"/>
      <c r="Y71" s="57"/>
    </row>
    <row r="72" spans="1:25" ht="15.75" customHeight="1">
      <c r="A72" s="130" t="s">
        <v>254</v>
      </c>
      <c r="B72" s="131" t="s">
        <v>255</v>
      </c>
      <c r="C72" s="132" t="s">
        <v>256</v>
      </c>
      <c r="D72" s="132" t="s">
        <v>47</v>
      </c>
      <c r="E72" s="133"/>
      <c r="F72" s="121"/>
      <c r="G72" s="134"/>
      <c r="H72" s="123"/>
      <c r="I72" s="124"/>
      <c r="J72" s="125"/>
      <c r="K72" s="125"/>
      <c r="L72" s="125"/>
      <c r="M72" s="125"/>
      <c r="N72" s="125"/>
      <c r="O72" s="125"/>
      <c r="P72" s="126"/>
      <c r="Q72" s="56"/>
      <c r="R72" s="127"/>
      <c r="S72" s="56"/>
      <c r="T72" s="56"/>
      <c r="U72" s="56"/>
      <c r="V72" s="129"/>
      <c r="W72" s="145"/>
      <c r="X72" s="57"/>
      <c r="Y72" s="57"/>
    </row>
    <row r="73" spans="1:25" ht="15.75" customHeight="1">
      <c r="A73" s="130" t="s">
        <v>257</v>
      </c>
      <c r="B73" s="131" t="s">
        <v>258</v>
      </c>
      <c r="C73" s="132" t="s">
        <v>259</v>
      </c>
      <c r="D73" s="132" t="s">
        <v>247</v>
      </c>
      <c r="E73" s="133"/>
      <c r="F73" s="121"/>
      <c r="G73" s="134"/>
      <c r="H73" s="123"/>
      <c r="I73" s="124"/>
      <c r="J73" s="125"/>
      <c r="K73" s="125"/>
      <c r="L73" s="125"/>
      <c r="M73" s="125"/>
      <c r="N73" s="125"/>
      <c r="O73" s="125"/>
      <c r="P73" s="126"/>
      <c r="Q73" s="56"/>
      <c r="R73" s="127"/>
      <c r="S73" s="56"/>
      <c r="T73" s="56"/>
      <c r="U73" s="56"/>
      <c r="V73" s="129"/>
      <c r="W73" s="145"/>
      <c r="X73" s="57"/>
      <c r="Y73" s="57"/>
    </row>
    <row r="74" spans="1:25" ht="15.75" customHeight="1">
      <c r="A74" s="130" t="s">
        <v>260</v>
      </c>
      <c r="B74" s="131">
        <v>1803601853</v>
      </c>
      <c r="C74" s="132" t="s">
        <v>261</v>
      </c>
      <c r="D74" s="132" t="s">
        <v>79</v>
      </c>
      <c r="E74" s="133"/>
      <c r="F74" s="121"/>
      <c r="G74" s="134"/>
      <c r="H74" s="123"/>
      <c r="I74" s="135"/>
      <c r="J74" s="125"/>
      <c r="K74" s="125"/>
      <c r="L74" s="125"/>
      <c r="M74" s="125"/>
      <c r="N74" s="125"/>
      <c r="O74" s="125"/>
      <c r="P74" s="126"/>
      <c r="Q74" s="56"/>
      <c r="R74" s="127"/>
      <c r="S74" s="56"/>
      <c r="T74" s="56"/>
      <c r="U74" s="56"/>
      <c r="V74" s="129"/>
      <c r="W74" s="145"/>
      <c r="X74" s="57"/>
      <c r="Y74" s="57"/>
    </row>
    <row r="75" spans="1:25" ht="15.75" customHeight="1">
      <c r="A75" s="130" t="s">
        <v>262</v>
      </c>
      <c r="B75" s="131" t="s">
        <v>263</v>
      </c>
      <c r="C75" s="132" t="s">
        <v>264</v>
      </c>
      <c r="D75" s="132" t="s">
        <v>265</v>
      </c>
      <c r="E75" s="133"/>
      <c r="F75" s="121"/>
      <c r="G75" s="134"/>
      <c r="H75" s="123"/>
      <c r="I75" s="135"/>
      <c r="J75" s="125"/>
      <c r="K75" s="125"/>
      <c r="L75" s="125"/>
      <c r="M75" s="125"/>
      <c r="N75" s="125"/>
      <c r="O75" s="125"/>
      <c r="P75" s="126"/>
      <c r="Q75" s="56"/>
      <c r="R75" s="127"/>
      <c r="S75" s="56"/>
      <c r="T75" s="56"/>
      <c r="U75" s="56"/>
      <c r="V75" s="129"/>
      <c r="W75" s="145"/>
      <c r="X75" s="57"/>
      <c r="Y75" s="57"/>
    </row>
    <row r="76" spans="1:25" ht="15.75" customHeight="1">
      <c r="A76" s="130" t="s">
        <v>266</v>
      </c>
      <c r="B76" s="131" t="s">
        <v>267</v>
      </c>
      <c r="C76" s="132"/>
      <c r="D76" s="132" t="s">
        <v>108</v>
      </c>
      <c r="E76" s="133"/>
      <c r="F76" s="121"/>
      <c r="G76" s="134"/>
      <c r="H76" s="123"/>
      <c r="I76" s="135"/>
      <c r="J76" s="125"/>
      <c r="K76" s="125"/>
      <c r="L76" s="125"/>
      <c r="M76" s="125"/>
      <c r="N76" s="125"/>
      <c r="O76" s="125"/>
      <c r="P76" s="126"/>
      <c r="Q76" s="56"/>
      <c r="R76" s="127"/>
      <c r="S76" s="56"/>
      <c r="T76" s="56"/>
      <c r="U76" s="56"/>
      <c r="V76" s="129"/>
      <c r="W76" s="145"/>
      <c r="X76" s="57"/>
      <c r="Y76" s="57"/>
    </row>
    <row r="77" spans="1:25" ht="15.75" customHeight="1">
      <c r="A77" s="130" t="s">
        <v>268</v>
      </c>
      <c r="B77" s="131" t="s">
        <v>269</v>
      </c>
      <c r="C77" s="132" t="s">
        <v>270</v>
      </c>
      <c r="D77" s="132" t="s">
        <v>112</v>
      </c>
      <c r="E77" s="133"/>
      <c r="F77" s="121"/>
      <c r="G77" s="134"/>
      <c r="H77" s="123"/>
      <c r="I77" s="135"/>
      <c r="J77" s="125"/>
      <c r="K77" s="125"/>
      <c r="L77" s="125"/>
      <c r="M77" s="125"/>
      <c r="N77" s="125"/>
      <c r="O77" s="125"/>
      <c r="P77" s="126"/>
      <c r="Q77" s="56"/>
      <c r="R77" s="127"/>
      <c r="S77" s="56"/>
      <c r="T77" s="56"/>
      <c r="U77" s="56"/>
      <c r="V77" s="129"/>
      <c r="W77" s="145"/>
      <c r="X77" s="57"/>
      <c r="Y77" s="57"/>
    </row>
    <row r="78" spans="1:25" ht="15.75" customHeight="1">
      <c r="A78" s="130" t="s">
        <v>271</v>
      </c>
      <c r="B78" s="131">
        <v>106407737</v>
      </c>
      <c r="C78" s="132" t="s">
        <v>272</v>
      </c>
      <c r="D78" s="132" t="s">
        <v>136</v>
      </c>
      <c r="E78" s="133"/>
      <c r="F78" s="121"/>
      <c r="G78" s="134"/>
      <c r="H78" s="123"/>
      <c r="I78" s="135"/>
      <c r="J78" s="125"/>
      <c r="K78" s="125"/>
      <c r="L78" s="125"/>
      <c r="M78" s="125"/>
      <c r="N78" s="125"/>
      <c r="O78" s="125"/>
      <c r="P78" s="126"/>
      <c r="Q78" s="56"/>
      <c r="R78" s="127"/>
      <c r="S78" s="56"/>
      <c r="T78" s="56"/>
      <c r="U78" s="56"/>
      <c r="V78" s="129"/>
      <c r="W78" s="145"/>
      <c r="X78" s="57"/>
      <c r="Y78" s="57"/>
    </row>
    <row r="79" spans="1:25" ht="15.75" customHeight="1">
      <c r="A79" s="130" t="s">
        <v>273</v>
      </c>
      <c r="B79" s="131" t="s">
        <v>274</v>
      </c>
      <c r="C79" s="132" t="s">
        <v>275</v>
      </c>
      <c r="D79" s="132" t="s">
        <v>88</v>
      </c>
      <c r="E79" s="133"/>
      <c r="F79" s="121"/>
      <c r="G79" s="134"/>
      <c r="H79" s="123"/>
      <c r="I79" s="135"/>
      <c r="J79" s="125"/>
      <c r="K79" s="125"/>
      <c r="L79" s="125"/>
      <c r="M79" s="125"/>
      <c r="N79" s="125"/>
      <c r="O79" s="125"/>
      <c r="P79" s="126"/>
      <c r="Q79" s="56"/>
      <c r="R79" s="127"/>
      <c r="S79" s="56"/>
      <c r="T79" s="56"/>
      <c r="U79" s="56"/>
      <c r="V79" s="129"/>
      <c r="W79" s="145"/>
      <c r="X79" s="57"/>
      <c r="Y79" s="57"/>
    </row>
    <row r="80" spans="1:25" ht="15.75" customHeight="1">
      <c r="A80" s="130" t="s">
        <v>276</v>
      </c>
      <c r="B80" s="131" t="s">
        <v>277</v>
      </c>
      <c r="C80" s="132" t="s">
        <v>278</v>
      </c>
      <c r="D80" s="132" t="s">
        <v>65</v>
      </c>
      <c r="E80" s="133"/>
      <c r="F80" s="121"/>
      <c r="G80" s="134"/>
      <c r="H80" s="123"/>
      <c r="I80" s="135"/>
      <c r="J80" s="125"/>
      <c r="K80" s="125"/>
      <c r="L80" s="125"/>
      <c r="M80" s="125"/>
      <c r="N80" s="125"/>
      <c r="O80" s="125"/>
      <c r="P80" s="126"/>
      <c r="Q80" s="56"/>
      <c r="R80" s="127"/>
      <c r="S80" s="56"/>
      <c r="T80" s="56"/>
      <c r="U80" s="56"/>
      <c r="V80" s="129"/>
      <c r="W80" s="145"/>
      <c r="X80" s="57"/>
      <c r="Y80" s="57"/>
    </row>
    <row r="81" spans="1:25" ht="15.75" customHeight="1">
      <c r="A81" s="130" t="s">
        <v>279</v>
      </c>
      <c r="B81" s="131" t="s">
        <v>280</v>
      </c>
      <c r="C81" s="132" t="s">
        <v>281</v>
      </c>
      <c r="D81" s="132" t="s">
        <v>136</v>
      </c>
      <c r="E81" s="133"/>
      <c r="F81" s="121"/>
      <c r="G81" s="134"/>
      <c r="H81" s="123"/>
      <c r="I81" s="135"/>
      <c r="J81" s="125"/>
      <c r="K81" s="125"/>
      <c r="L81" s="125"/>
      <c r="M81" s="125"/>
      <c r="N81" s="125"/>
      <c r="O81" s="125"/>
      <c r="P81" s="126"/>
      <c r="Q81" s="56"/>
      <c r="R81" s="127"/>
      <c r="S81" s="56"/>
      <c r="T81" s="56"/>
      <c r="U81" s="56"/>
      <c r="V81" s="129"/>
      <c r="W81" s="145"/>
      <c r="X81" s="57"/>
      <c r="Y81" s="57"/>
    </row>
    <row r="82" spans="1:25" ht="15.75" customHeight="1">
      <c r="A82" s="130" t="s">
        <v>282</v>
      </c>
      <c r="B82" s="131" t="s">
        <v>283</v>
      </c>
      <c r="C82" s="132" t="s">
        <v>284</v>
      </c>
      <c r="D82" s="132" t="s">
        <v>65</v>
      </c>
      <c r="E82" s="133"/>
      <c r="F82" s="121"/>
      <c r="G82" s="134"/>
      <c r="H82" s="123"/>
      <c r="I82" s="135"/>
      <c r="J82" s="125"/>
      <c r="K82" s="125"/>
      <c r="L82" s="125"/>
      <c r="M82" s="125"/>
      <c r="N82" s="125"/>
      <c r="O82" s="125"/>
      <c r="P82" s="126"/>
      <c r="Q82" s="56"/>
      <c r="R82" s="127"/>
      <c r="S82" s="56"/>
      <c r="T82" s="56"/>
      <c r="U82" s="56"/>
      <c r="V82" s="129"/>
      <c r="W82" s="145"/>
      <c r="X82" s="57"/>
      <c r="Y82" s="57"/>
    </row>
    <row r="83" spans="1:25" ht="15.75" customHeight="1">
      <c r="A83" s="130" t="s">
        <v>285</v>
      </c>
      <c r="B83" s="131">
        <v>1047457972</v>
      </c>
      <c r="C83" s="132"/>
      <c r="D83" s="132" t="s">
        <v>79</v>
      </c>
      <c r="E83" s="133"/>
      <c r="F83" s="121"/>
      <c r="G83" s="134"/>
      <c r="H83" s="123"/>
      <c r="I83" s="135"/>
      <c r="J83" s="125"/>
      <c r="K83" s="125"/>
      <c r="L83" s="125"/>
      <c r="M83" s="125"/>
      <c r="N83" s="125"/>
      <c r="O83" s="125"/>
      <c r="P83" s="126"/>
      <c r="Q83" s="56"/>
      <c r="R83" s="127"/>
      <c r="S83" s="56"/>
      <c r="T83" s="56"/>
      <c r="U83" s="56"/>
      <c r="V83" s="129"/>
      <c r="W83" s="145"/>
      <c r="X83" s="57"/>
      <c r="Y83" s="57"/>
    </row>
    <row r="84" spans="1:25" ht="15.75" customHeight="1">
      <c r="A84" s="130" t="s">
        <v>286</v>
      </c>
      <c r="B84" s="131" t="s">
        <v>287</v>
      </c>
      <c r="C84" s="132" t="s">
        <v>288</v>
      </c>
      <c r="D84" s="132" t="s">
        <v>108</v>
      </c>
      <c r="E84" s="133"/>
      <c r="F84" s="121"/>
      <c r="G84" s="134"/>
      <c r="H84" s="123"/>
      <c r="I84" s="135"/>
      <c r="J84" s="125"/>
      <c r="K84" s="125"/>
      <c r="L84" s="125"/>
      <c r="M84" s="125"/>
      <c r="N84" s="125"/>
      <c r="O84" s="125"/>
      <c r="P84" s="126"/>
      <c r="Q84" s="56"/>
      <c r="R84" s="127"/>
      <c r="S84" s="56"/>
      <c r="T84" s="56"/>
      <c r="U84" s="56"/>
      <c r="V84" s="129"/>
      <c r="W84" s="145"/>
      <c r="X84" s="57"/>
      <c r="Y84" s="57"/>
    </row>
    <row r="85" spans="1:25" ht="15.75" customHeight="1">
      <c r="A85" s="130" t="s">
        <v>289</v>
      </c>
      <c r="B85" s="131" t="s">
        <v>290</v>
      </c>
      <c r="C85" s="132"/>
      <c r="D85" s="132" t="s">
        <v>108</v>
      </c>
      <c r="E85" s="133"/>
      <c r="F85" s="121"/>
      <c r="G85" s="134"/>
      <c r="H85" s="123"/>
      <c r="I85" s="135"/>
      <c r="J85" s="125"/>
      <c r="K85" s="125"/>
      <c r="L85" s="125"/>
      <c r="M85" s="125"/>
      <c r="N85" s="125"/>
      <c r="O85" s="125"/>
      <c r="P85" s="126"/>
      <c r="Q85" s="56"/>
      <c r="R85" s="127"/>
      <c r="S85" s="56"/>
      <c r="T85" s="56"/>
      <c r="U85" s="56"/>
      <c r="V85" s="129"/>
      <c r="W85" s="145"/>
      <c r="X85" s="57"/>
      <c r="Y85" s="57"/>
    </row>
    <row r="86" spans="1:25" ht="15.75" customHeight="1">
      <c r="A86" s="130" t="s">
        <v>291</v>
      </c>
      <c r="B86" s="131" t="s">
        <v>292</v>
      </c>
      <c r="C86" s="132" t="s">
        <v>293</v>
      </c>
      <c r="D86" s="132" t="s">
        <v>247</v>
      </c>
      <c r="E86" s="133"/>
      <c r="F86" s="121"/>
      <c r="G86" s="134"/>
      <c r="H86" s="123"/>
      <c r="I86" s="135"/>
      <c r="J86" s="125"/>
      <c r="K86" s="125"/>
      <c r="L86" s="125"/>
      <c r="M86" s="125"/>
      <c r="N86" s="125"/>
      <c r="O86" s="125"/>
      <c r="P86" s="126"/>
      <c r="Q86" s="56"/>
      <c r="R86" s="127"/>
      <c r="S86" s="56"/>
      <c r="T86" s="56"/>
      <c r="U86" s="56"/>
      <c r="V86" s="129"/>
      <c r="W86" s="145"/>
      <c r="X86" s="57"/>
      <c r="Y86" s="57"/>
    </row>
    <row r="87" spans="1:25" ht="15.75" customHeight="1">
      <c r="A87" s="130" t="s">
        <v>294</v>
      </c>
      <c r="B87" s="131">
        <v>1121966658</v>
      </c>
      <c r="C87" s="132" t="s">
        <v>295</v>
      </c>
      <c r="D87" s="132" t="s">
        <v>104</v>
      </c>
      <c r="E87" s="133"/>
      <c r="F87" s="121"/>
      <c r="G87" s="134"/>
      <c r="H87" s="123"/>
      <c r="I87" s="135"/>
      <c r="J87" s="125"/>
      <c r="K87" s="125"/>
      <c r="L87" s="125"/>
      <c r="M87" s="125"/>
      <c r="N87" s="125"/>
      <c r="O87" s="125"/>
      <c r="P87" s="126"/>
      <c r="Q87" s="56"/>
      <c r="R87" s="127"/>
      <c r="S87" s="56"/>
      <c r="T87" s="56"/>
      <c r="U87" s="56"/>
      <c r="V87" s="129"/>
      <c r="W87" s="145"/>
      <c r="X87" s="57"/>
      <c r="Y87" s="57"/>
    </row>
    <row r="88" spans="1:25" ht="15.75" customHeight="1">
      <c r="A88" s="130" t="s">
        <v>296</v>
      </c>
      <c r="B88" s="131">
        <v>1036686104</v>
      </c>
      <c r="C88" s="132" t="s">
        <v>297</v>
      </c>
      <c r="D88" s="132" t="s">
        <v>153</v>
      </c>
      <c r="E88" s="133"/>
      <c r="F88" s="121"/>
      <c r="G88" s="134"/>
      <c r="H88" s="123"/>
      <c r="I88" s="135"/>
      <c r="J88" s="125"/>
      <c r="K88" s="125"/>
      <c r="L88" s="125"/>
      <c r="M88" s="125"/>
      <c r="N88" s="125"/>
      <c r="O88" s="125"/>
      <c r="P88" s="126"/>
      <c r="Q88" s="56"/>
      <c r="R88" s="137"/>
      <c r="S88" s="56"/>
      <c r="T88" s="56"/>
      <c r="U88" s="56"/>
      <c r="V88" s="129"/>
      <c r="W88" s="145"/>
      <c r="X88" s="57"/>
      <c r="Y88" s="57"/>
    </row>
    <row r="89" spans="1:25" ht="15.75" customHeight="1">
      <c r="A89" s="130" t="s">
        <v>298</v>
      </c>
      <c r="B89" s="131" t="s">
        <v>299</v>
      </c>
      <c r="C89" s="132" t="s">
        <v>300</v>
      </c>
      <c r="D89" s="132" t="s">
        <v>100</v>
      </c>
      <c r="E89" s="133"/>
      <c r="F89" s="121"/>
      <c r="G89" s="134"/>
      <c r="H89" s="123"/>
      <c r="I89" s="135"/>
      <c r="J89" s="125"/>
      <c r="K89" s="125"/>
      <c r="L89" s="125"/>
      <c r="M89" s="125"/>
      <c r="N89" s="125"/>
      <c r="O89" s="125"/>
      <c r="P89" s="126"/>
      <c r="Q89" s="56"/>
      <c r="R89" s="127"/>
      <c r="S89" s="56"/>
      <c r="T89" s="56"/>
      <c r="U89" s="56"/>
      <c r="V89" s="129"/>
      <c r="W89" s="145"/>
      <c r="X89" s="57"/>
      <c r="Y89" s="57"/>
    </row>
    <row r="90" spans="1:25" ht="15.75" customHeight="1">
      <c r="A90" s="130" t="s">
        <v>301</v>
      </c>
      <c r="B90" s="131">
        <v>1014310188</v>
      </c>
      <c r="C90" s="141" t="s">
        <v>302</v>
      </c>
      <c r="D90" s="132" t="s">
        <v>171</v>
      </c>
      <c r="E90" s="133"/>
      <c r="F90" s="121"/>
      <c r="G90" s="134"/>
      <c r="H90" s="123"/>
      <c r="I90" s="135"/>
      <c r="J90" s="125"/>
      <c r="K90" s="125"/>
      <c r="L90" s="125"/>
      <c r="M90" s="125"/>
      <c r="N90" s="125"/>
      <c r="O90" s="125"/>
      <c r="P90" s="126"/>
      <c r="Q90" s="56"/>
      <c r="R90" s="127"/>
      <c r="S90" s="56"/>
      <c r="T90" s="56"/>
      <c r="U90" s="56"/>
      <c r="V90" s="129"/>
      <c r="W90" s="145"/>
      <c r="X90" s="57"/>
      <c r="Y90" s="57"/>
    </row>
    <row r="91" spans="1:25" ht="15.75" customHeight="1">
      <c r="A91" s="130" t="s">
        <v>303</v>
      </c>
      <c r="B91" s="131">
        <v>1018404695</v>
      </c>
      <c r="C91" s="141" t="s">
        <v>304</v>
      </c>
      <c r="D91" s="132" t="s">
        <v>47</v>
      </c>
      <c r="E91" s="133"/>
      <c r="F91" s="121"/>
      <c r="G91" s="134"/>
      <c r="H91" s="123"/>
      <c r="I91" s="135"/>
      <c r="J91" s="125"/>
      <c r="K91" s="125"/>
      <c r="L91" s="125"/>
      <c r="M91" s="125"/>
      <c r="N91" s="125"/>
      <c r="O91" s="125"/>
      <c r="P91" s="126"/>
      <c r="Q91" s="56"/>
      <c r="R91" s="127"/>
      <c r="S91" s="56"/>
      <c r="T91" s="56"/>
      <c r="U91" s="56"/>
      <c r="V91" s="129"/>
      <c r="W91" s="145"/>
      <c r="X91" s="57"/>
      <c r="Y91" s="57"/>
    </row>
    <row r="92" spans="1:25" ht="15.75" customHeight="1">
      <c r="A92" s="130" t="s">
        <v>305</v>
      </c>
      <c r="B92" s="131" t="s">
        <v>306</v>
      </c>
      <c r="C92" s="132" t="s">
        <v>307</v>
      </c>
      <c r="D92" s="132" t="s">
        <v>112</v>
      </c>
      <c r="E92" s="133"/>
      <c r="F92" s="121"/>
      <c r="G92" s="134"/>
      <c r="H92" s="123"/>
      <c r="I92" s="135"/>
      <c r="J92" s="125"/>
      <c r="K92" s="125"/>
      <c r="L92" s="125"/>
      <c r="M92" s="125"/>
      <c r="N92" s="125"/>
      <c r="O92" s="125"/>
      <c r="P92" s="126"/>
      <c r="Q92" s="56"/>
      <c r="R92" s="127"/>
      <c r="S92" s="56"/>
      <c r="T92" s="56"/>
      <c r="U92" s="56"/>
      <c r="V92" s="129"/>
      <c r="W92" s="145"/>
      <c r="X92" s="57"/>
      <c r="Y92" s="57"/>
    </row>
    <row r="93" spans="1:25" ht="15.75" customHeight="1">
      <c r="A93" s="130" t="s">
        <v>308</v>
      </c>
      <c r="B93" s="131" t="s">
        <v>309</v>
      </c>
      <c r="C93" s="132" t="s">
        <v>310</v>
      </c>
      <c r="D93" s="132" t="s">
        <v>311</v>
      </c>
      <c r="E93" s="133"/>
      <c r="F93" s="121"/>
      <c r="G93" s="134"/>
      <c r="H93" s="123"/>
      <c r="I93" s="135"/>
      <c r="J93" s="125"/>
      <c r="K93" s="125"/>
      <c r="L93" s="125"/>
      <c r="M93" s="125"/>
      <c r="N93" s="125"/>
      <c r="O93" s="125"/>
      <c r="P93" s="126"/>
      <c r="Q93" s="56"/>
      <c r="R93" s="127"/>
      <c r="S93" s="56"/>
      <c r="T93" s="56"/>
      <c r="U93" s="56"/>
      <c r="V93" s="129"/>
      <c r="W93" s="145"/>
      <c r="X93" s="57"/>
      <c r="Y93" s="57"/>
    </row>
    <row r="94" spans="1:25" ht="15.75" customHeight="1">
      <c r="A94" s="130" t="s">
        <v>312</v>
      </c>
      <c r="B94" s="131" t="s">
        <v>313</v>
      </c>
      <c r="C94" s="132" t="s">
        <v>314</v>
      </c>
      <c r="D94" s="132" t="s">
        <v>122</v>
      </c>
      <c r="E94" s="133"/>
      <c r="F94" s="121"/>
      <c r="G94" s="134"/>
      <c r="H94" s="123"/>
      <c r="I94" s="135"/>
      <c r="J94" s="125"/>
      <c r="K94" s="125"/>
      <c r="L94" s="125"/>
      <c r="M94" s="125"/>
      <c r="N94" s="125"/>
      <c r="O94" s="125"/>
      <c r="P94" s="126"/>
      <c r="Q94" s="56"/>
      <c r="R94" s="127"/>
      <c r="S94" s="56"/>
      <c r="T94" s="56"/>
      <c r="U94" s="56"/>
      <c r="V94" s="129"/>
      <c r="W94" s="145"/>
      <c r="X94" s="57"/>
      <c r="Y94" s="57"/>
    </row>
    <row r="95" spans="1:25" ht="15.75" customHeight="1">
      <c r="A95" s="130" t="s">
        <v>315</v>
      </c>
      <c r="B95" s="131" t="s">
        <v>316</v>
      </c>
      <c r="C95" s="132" t="s">
        <v>317</v>
      </c>
      <c r="D95" s="132" t="s">
        <v>153</v>
      </c>
      <c r="E95" s="133"/>
      <c r="F95" s="121"/>
      <c r="G95" s="134"/>
      <c r="H95" s="123"/>
      <c r="I95" s="135"/>
      <c r="J95" s="125"/>
      <c r="K95" s="125"/>
      <c r="L95" s="125"/>
      <c r="M95" s="125"/>
      <c r="N95" s="125"/>
      <c r="O95" s="125"/>
      <c r="P95" s="126"/>
      <c r="Q95" s="56"/>
      <c r="R95" s="127"/>
      <c r="S95" s="56"/>
      <c r="T95" s="56"/>
      <c r="U95" s="56"/>
      <c r="V95" s="129"/>
      <c r="W95" s="145"/>
      <c r="X95" s="57"/>
      <c r="Y95" s="57"/>
    </row>
    <row r="96" spans="1:25" ht="15.75" customHeight="1">
      <c r="A96" s="130" t="s">
        <v>318</v>
      </c>
      <c r="B96" s="131" t="s">
        <v>319</v>
      </c>
      <c r="C96" s="132" t="s">
        <v>320</v>
      </c>
      <c r="D96" s="132" t="s">
        <v>59</v>
      </c>
      <c r="E96" s="133"/>
      <c r="F96" s="121"/>
      <c r="G96" s="134"/>
      <c r="H96" s="123"/>
      <c r="I96" s="135"/>
      <c r="J96" s="125"/>
      <c r="K96" s="125"/>
      <c r="L96" s="125"/>
      <c r="M96" s="125"/>
      <c r="N96" s="125"/>
      <c r="O96" s="125"/>
      <c r="P96" s="126"/>
      <c r="Q96" s="56"/>
      <c r="R96" s="127"/>
      <c r="S96" s="56"/>
      <c r="T96" s="56"/>
      <c r="U96" s="56"/>
      <c r="V96" s="129"/>
      <c r="W96" s="145"/>
      <c r="X96" s="57"/>
      <c r="Y96" s="57"/>
    </row>
    <row r="97" spans="1:25" ht="15.75" customHeight="1">
      <c r="A97" s="130" t="s">
        <v>321</v>
      </c>
      <c r="B97" s="131" t="s">
        <v>322</v>
      </c>
      <c r="C97" s="132" t="s">
        <v>323</v>
      </c>
      <c r="D97" s="132" t="s">
        <v>88</v>
      </c>
      <c r="E97" s="133"/>
      <c r="F97" s="121"/>
      <c r="G97" s="134"/>
      <c r="H97" s="123"/>
      <c r="I97" s="135"/>
      <c r="J97" s="125"/>
      <c r="K97" s="125"/>
      <c r="L97" s="125"/>
      <c r="M97" s="125"/>
      <c r="N97" s="125"/>
      <c r="O97" s="125"/>
      <c r="P97" s="126"/>
      <c r="Q97" s="57"/>
      <c r="R97" s="127"/>
      <c r="S97" s="57"/>
      <c r="T97" s="57"/>
      <c r="U97" s="57"/>
      <c r="V97" s="129"/>
      <c r="W97" s="145"/>
      <c r="X97" s="57"/>
      <c r="Y97" s="57"/>
    </row>
    <row r="98" spans="1:25" ht="15.75" customHeight="1">
      <c r="A98" s="130" t="s">
        <v>324</v>
      </c>
      <c r="B98" s="131" t="s">
        <v>325</v>
      </c>
      <c r="C98" s="132" t="s">
        <v>326</v>
      </c>
      <c r="D98" s="132" t="s">
        <v>126</v>
      </c>
      <c r="E98" s="133"/>
      <c r="F98" s="121"/>
      <c r="G98" s="134"/>
      <c r="H98" s="123"/>
      <c r="I98" s="135"/>
      <c r="J98" s="125"/>
      <c r="K98" s="125"/>
      <c r="L98" s="125"/>
      <c r="M98" s="125"/>
      <c r="N98" s="125"/>
      <c r="O98" s="125"/>
      <c r="P98" s="126"/>
      <c r="Q98" s="57"/>
      <c r="R98" s="127"/>
      <c r="S98" s="57"/>
      <c r="T98" s="57"/>
      <c r="U98" s="57"/>
      <c r="V98" s="129"/>
      <c r="W98" s="145"/>
      <c r="X98" s="57"/>
      <c r="Y98" s="57"/>
    </row>
    <row r="99" spans="1:25" ht="15.75" customHeight="1">
      <c r="A99" s="130" t="s">
        <v>327</v>
      </c>
      <c r="B99" s="131" t="s">
        <v>328</v>
      </c>
      <c r="C99" s="132" t="s">
        <v>329</v>
      </c>
      <c r="D99" s="132" t="s">
        <v>140</v>
      </c>
      <c r="E99" s="133"/>
      <c r="F99" s="121"/>
      <c r="G99" s="134"/>
      <c r="H99" s="123"/>
      <c r="I99" s="135"/>
      <c r="J99" s="125"/>
      <c r="K99" s="125"/>
      <c r="L99" s="125"/>
      <c r="M99" s="125"/>
      <c r="N99" s="125"/>
      <c r="O99" s="125"/>
      <c r="P99" s="126"/>
      <c r="Q99" s="57"/>
      <c r="R99" s="127"/>
      <c r="S99" s="57"/>
      <c r="T99" s="57"/>
      <c r="U99" s="57"/>
      <c r="V99" s="129"/>
      <c r="W99" s="146"/>
      <c r="X99" s="57"/>
      <c r="Y99" s="57"/>
    </row>
    <row r="100" spans="1:25" ht="15.75" customHeight="1">
      <c r="A100" s="130" t="s">
        <v>330</v>
      </c>
      <c r="B100" s="131">
        <v>1723955777</v>
      </c>
      <c r="C100" s="141" t="s">
        <v>331</v>
      </c>
      <c r="D100" s="132" t="s">
        <v>79</v>
      </c>
      <c r="E100" s="133"/>
      <c r="F100" s="121"/>
      <c r="G100" s="134"/>
      <c r="H100" s="123"/>
      <c r="I100" s="135"/>
      <c r="J100" s="125"/>
      <c r="K100" s="125"/>
      <c r="L100" s="125"/>
      <c r="M100" s="125"/>
      <c r="N100" s="125"/>
      <c r="O100" s="125"/>
      <c r="P100" s="126"/>
      <c r="Q100" s="57"/>
      <c r="R100" s="127"/>
      <c r="S100" s="57"/>
      <c r="T100" s="57"/>
      <c r="U100" s="57"/>
      <c r="V100" s="129"/>
      <c r="W100" s="146"/>
      <c r="X100" s="57"/>
      <c r="Y100" s="57"/>
    </row>
    <row r="101" spans="1:25" ht="15.75" customHeight="1">
      <c r="A101" s="130" t="s">
        <v>332</v>
      </c>
      <c r="B101" s="131" t="s">
        <v>333</v>
      </c>
      <c r="C101" s="132" t="s">
        <v>334</v>
      </c>
      <c r="D101" s="132" t="s">
        <v>88</v>
      </c>
      <c r="E101" s="133"/>
      <c r="F101" s="121"/>
      <c r="G101" s="134"/>
      <c r="H101" s="123"/>
      <c r="I101" s="135"/>
      <c r="J101" s="125"/>
      <c r="K101" s="125"/>
      <c r="L101" s="125"/>
      <c r="M101" s="125"/>
      <c r="N101" s="125"/>
      <c r="O101" s="125"/>
      <c r="P101" s="126"/>
      <c r="Q101" s="57"/>
      <c r="R101" s="127"/>
      <c r="S101" s="57"/>
      <c r="T101" s="57"/>
      <c r="U101" s="57"/>
      <c r="V101" s="129"/>
      <c r="W101" s="146"/>
      <c r="X101" s="57"/>
      <c r="Y101" s="57"/>
    </row>
    <row r="102" spans="1:25" ht="15.75" customHeight="1">
      <c r="A102" s="130" t="s">
        <v>335</v>
      </c>
      <c r="B102" s="131" t="s">
        <v>336</v>
      </c>
      <c r="C102" s="132" t="s">
        <v>337</v>
      </c>
      <c r="D102" s="132" t="s">
        <v>92</v>
      </c>
      <c r="E102" s="133"/>
      <c r="F102" s="121"/>
      <c r="G102" s="134"/>
      <c r="H102" s="123"/>
      <c r="I102" s="135"/>
      <c r="J102" s="125"/>
      <c r="K102" s="125"/>
      <c r="L102" s="125"/>
      <c r="M102" s="125"/>
      <c r="N102" s="125"/>
      <c r="O102" s="125"/>
      <c r="P102" s="126"/>
      <c r="Q102" s="57"/>
      <c r="R102" s="56"/>
      <c r="S102" s="57"/>
      <c r="T102" s="57"/>
      <c r="U102" s="57"/>
      <c r="V102" s="129"/>
      <c r="W102" s="146"/>
      <c r="X102" s="57"/>
      <c r="Y102" s="57"/>
    </row>
    <row r="103" spans="1:25" ht="15.75" customHeight="1">
      <c r="A103" s="130" t="s">
        <v>338</v>
      </c>
      <c r="B103" s="131" t="s">
        <v>339</v>
      </c>
      <c r="C103" s="132" t="s">
        <v>340</v>
      </c>
      <c r="D103" s="132" t="s">
        <v>165</v>
      </c>
      <c r="E103" s="133"/>
      <c r="F103" s="121"/>
      <c r="G103" s="134"/>
      <c r="H103" s="138"/>
      <c r="I103" s="139"/>
      <c r="J103" s="125"/>
      <c r="K103" s="125"/>
      <c r="L103" s="125"/>
      <c r="M103" s="125"/>
      <c r="N103" s="125"/>
      <c r="O103" s="125"/>
      <c r="P103" s="126"/>
      <c r="Q103" s="57"/>
      <c r="R103" s="56"/>
      <c r="S103" s="57"/>
      <c r="T103" s="57"/>
      <c r="U103" s="57"/>
      <c r="V103" s="129"/>
      <c r="W103" s="146"/>
      <c r="X103" s="57"/>
      <c r="Y103" s="57"/>
    </row>
    <row r="104" spans="1:25" ht="15.75" customHeight="1">
      <c r="A104" s="130" t="s">
        <v>341</v>
      </c>
      <c r="B104" s="131" t="s">
        <v>342</v>
      </c>
      <c r="C104" s="132" t="s">
        <v>343</v>
      </c>
      <c r="D104" s="132" t="s">
        <v>79</v>
      </c>
      <c r="E104" s="133"/>
      <c r="F104" s="121"/>
      <c r="G104" s="134"/>
      <c r="H104" s="140"/>
      <c r="I104" s="139"/>
      <c r="J104" s="125"/>
      <c r="K104" s="125"/>
      <c r="L104" s="125"/>
      <c r="M104" s="125"/>
      <c r="N104" s="125"/>
      <c r="O104" s="125"/>
      <c r="P104" s="126"/>
      <c r="Q104" s="57"/>
      <c r="R104" s="56"/>
      <c r="S104" s="57"/>
      <c r="T104" s="57"/>
      <c r="U104" s="57"/>
      <c r="V104" s="129"/>
      <c r="W104" s="146"/>
      <c r="X104" s="57"/>
      <c r="Y104" s="57"/>
    </row>
    <row r="105" spans="1:25" ht="15.75" customHeight="1">
      <c r="A105" s="130" t="s">
        <v>344</v>
      </c>
      <c r="B105" s="131" t="s">
        <v>345</v>
      </c>
      <c r="C105" s="132" t="s">
        <v>346</v>
      </c>
      <c r="D105" s="132" t="s">
        <v>146</v>
      </c>
      <c r="E105" s="133"/>
      <c r="F105" s="121"/>
      <c r="G105" s="134"/>
      <c r="H105" s="140"/>
      <c r="I105" s="139"/>
      <c r="J105" s="125"/>
      <c r="K105" s="125"/>
      <c r="L105" s="125"/>
      <c r="M105" s="125"/>
      <c r="N105" s="125"/>
      <c r="O105" s="125"/>
      <c r="P105" s="126"/>
      <c r="Q105" s="57"/>
      <c r="R105" s="56"/>
      <c r="S105" s="57"/>
      <c r="T105" s="57"/>
      <c r="U105" s="57"/>
      <c r="V105" s="129"/>
      <c r="W105" s="146"/>
      <c r="X105" s="57"/>
      <c r="Y105" s="57"/>
    </row>
    <row r="106" spans="1:25" ht="15.75" customHeight="1">
      <c r="A106" s="130" t="s">
        <v>347</v>
      </c>
      <c r="B106" s="131" t="s">
        <v>348</v>
      </c>
      <c r="C106" s="141" t="s">
        <v>349</v>
      </c>
      <c r="D106" s="132" t="s">
        <v>196</v>
      </c>
      <c r="E106" s="133"/>
      <c r="F106" s="121"/>
      <c r="G106" s="134"/>
      <c r="H106" s="140"/>
      <c r="I106" s="139"/>
      <c r="J106" s="125"/>
      <c r="K106" s="125"/>
      <c r="L106" s="125"/>
      <c r="M106" s="125"/>
      <c r="N106" s="125"/>
      <c r="O106" s="125"/>
      <c r="P106" s="126"/>
      <c r="Q106" s="57"/>
      <c r="R106" s="56"/>
      <c r="S106" s="57"/>
      <c r="T106" s="57"/>
      <c r="U106" s="57"/>
      <c r="V106" s="129"/>
      <c r="W106" s="146"/>
      <c r="X106" s="57"/>
      <c r="Y106" s="57"/>
    </row>
    <row r="107" spans="1:25" ht="15.75" customHeight="1">
      <c r="A107" s="130" t="s">
        <v>350</v>
      </c>
      <c r="B107" s="131" t="s">
        <v>351</v>
      </c>
      <c r="C107" s="132" t="s">
        <v>352</v>
      </c>
      <c r="D107" s="132" t="s">
        <v>74</v>
      </c>
      <c r="E107" s="133"/>
      <c r="F107" s="121"/>
      <c r="G107" s="134"/>
      <c r="H107" s="140"/>
      <c r="I107" s="139"/>
      <c r="J107" s="125"/>
      <c r="K107" s="125"/>
      <c r="L107" s="125"/>
      <c r="M107" s="125"/>
      <c r="N107" s="125"/>
      <c r="O107" s="125"/>
      <c r="P107" s="126"/>
      <c r="Q107" s="57"/>
      <c r="R107" s="56"/>
      <c r="S107" s="57"/>
      <c r="T107" s="57"/>
      <c r="U107" s="57"/>
      <c r="V107" s="129"/>
      <c r="W107" s="146"/>
      <c r="X107" s="57"/>
      <c r="Y107" s="57"/>
    </row>
    <row r="108" spans="1:25" ht="15.75" customHeight="1">
      <c r="A108" s="130" t="s">
        <v>353</v>
      </c>
      <c r="B108" s="131" t="s">
        <v>354</v>
      </c>
      <c r="C108" s="132" t="s">
        <v>355</v>
      </c>
      <c r="D108" s="132" t="s">
        <v>79</v>
      </c>
      <c r="E108" s="133"/>
      <c r="F108" s="121"/>
      <c r="G108" s="134"/>
      <c r="H108" s="140"/>
      <c r="I108" s="139"/>
      <c r="J108" s="125"/>
      <c r="K108" s="125"/>
      <c r="L108" s="125"/>
      <c r="M108" s="125"/>
      <c r="N108" s="125"/>
      <c r="O108" s="125"/>
      <c r="P108" s="126"/>
      <c r="Q108" s="57"/>
      <c r="R108" s="56"/>
      <c r="S108" s="57"/>
      <c r="T108" s="57"/>
      <c r="U108" s="57"/>
      <c r="V108" s="129"/>
      <c r="W108" s="146"/>
      <c r="X108" s="57"/>
      <c r="Y108" s="57"/>
    </row>
    <row r="109" spans="1:25" ht="15.75" customHeight="1">
      <c r="A109" s="130" t="s">
        <v>356</v>
      </c>
      <c r="B109" s="131" t="s">
        <v>357</v>
      </c>
      <c r="C109" s="132" t="s">
        <v>358</v>
      </c>
      <c r="D109" s="132" t="s">
        <v>235</v>
      </c>
      <c r="E109" s="133"/>
      <c r="F109" s="121"/>
      <c r="G109" s="134"/>
      <c r="H109" s="140"/>
      <c r="I109" s="139"/>
      <c r="J109" s="125"/>
      <c r="K109" s="125"/>
      <c r="L109" s="125"/>
      <c r="M109" s="125"/>
      <c r="N109" s="125"/>
      <c r="O109" s="125"/>
      <c r="P109" s="126"/>
      <c r="Q109" s="57"/>
      <c r="R109" s="56"/>
      <c r="S109" s="57"/>
      <c r="T109" s="57"/>
      <c r="U109" s="57"/>
      <c r="V109" s="129"/>
      <c r="W109" s="146"/>
      <c r="X109" s="57"/>
      <c r="Y109" s="57"/>
    </row>
    <row r="110" spans="1:25" ht="15.75" customHeight="1">
      <c r="A110" s="130" t="s">
        <v>359</v>
      </c>
      <c r="B110" s="131" t="s">
        <v>360</v>
      </c>
      <c r="C110" s="132" t="s">
        <v>361</v>
      </c>
      <c r="D110" s="132" t="s">
        <v>247</v>
      </c>
      <c r="E110" s="133"/>
      <c r="F110" s="121"/>
      <c r="G110" s="134"/>
      <c r="H110" s="140"/>
      <c r="I110" s="139"/>
      <c r="J110" s="125"/>
      <c r="K110" s="125"/>
      <c r="L110" s="125"/>
      <c r="M110" s="125"/>
      <c r="N110" s="125"/>
      <c r="O110" s="125"/>
      <c r="P110" s="126"/>
      <c r="Q110" s="57"/>
      <c r="R110" s="56"/>
      <c r="S110" s="57"/>
      <c r="T110" s="57"/>
      <c r="U110" s="57"/>
      <c r="V110" s="129"/>
      <c r="W110" s="146"/>
      <c r="X110" s="57"/>
      <c r="Y110" s="57"/>
    </row>
    <row r="111" spans="1:25" ht="15.75" customHeight="1">
      <c r="A111" s="130" t="s">
        <v>362</v>
      </c>
      <c r="B111" s="131" t="s">
        <v>363</v>
      </c>
      <c r="C111" s="132" t="s">
        <v>364</v>
      </c>
      <c r="D111" s="132" t="s">
        <v>235</v>
      </c>
      <c r="E111" s="133"/>
      <c r="F111" s="121"/>
      <c r="G111" s="134"/>
      <c r="H111" s="140"/>
      <c r="I111" s="139"/>
      <c r="J111" s="125"/>
      <c r="K111" s="125"/>
      <c r="L111" s="125"/>
      <c r="M111" s="125"/>
      <c r="N111" s="125"/>
      <c r="O111" s="125"/>
      <c r="P111" s="126"/>
      <c r="Q111" s="57"/>
      <c r="R111" s="56"/>
      <c r="S111" s="57"/>
      <c r="T111" s="57"/>
      <c r="U111" s="57"/>
      <c r="V111" s="129"/>
      <c r="W111" s="146"/>
      <c r="X111" s="57"/>
      <c r="Y111" s="57"/>
    </row>
    <row r="112" spans="1:25" ht="15.75" customHeight="1">
      <c r="A112" s="130" t="s">
        <v>365</v>
      </c>
      <c r="B112" s="131" t="s">
        <v>366</v>
      </c>
      <c r="C112" s="132" t="s">
        <v>367</v>
      </c>
      <c r="D112" s="132" t="s">
        <v>136</v>
      </c>
      <c r="E112" s="133"/>
      <c r="F112" s="121"/>
      <c r="G112" s="134"/>
      <c r="H112" s="140"/>
      <c r="I112" s="139"/>
      <c r="J112" s="125"/>
      <c r="K112" s="125"/>
      <c r="L112" s="125"/>
      <c r="M112" s="125"/>
      <c r="N112" s="125"/>
      <c r="O112" s="125"/>
      <c r="P112" s="126"/>
      <c r="Q112" s="57"/>
      <c r="R112" s="56"/>
      <c r="S112" s="57"/>
      <c r="T112" s="57"/>
      <c r="U112" s="57"/>
      <c r="V112" s="129"/>
      <c r="W112" s="146"/>
      <c r="X112" s="57"/>
      <c r="Y112" s="57"/>
    </row>
    <row r="113" spans="1:25" ht="15.75" customHeight="1">
      <c r="A113" s="130" t="s">
        <v>368</v>
      </c>
      <c r="B113" s="131">
        <v>39402693</v>
      </c>
      <c r="C113" s="132" t="s">
        <v>369</v>
      </c>
      <c r="D113" s="132" t="s">
        <v>74</v>
      </c>
      <c r="E113" s="133"/>
      <c r="F113" s="121"/>
      <c r="G113" s="134"/>
      <c r="H113" s="140"/>
      <c r="I113" s="139"/>
      <c r="J113" s="125"/>
      <c r="K113" s="125"/>
      <c r="L113" s="125"/>
      <c r="M113" s="125"/>
      <c r="N113" s="125"/>
      <c r="O113" s="125"/>
      <c r="P113" s="126"/>
      <c r="Q113" s="57"/>
      <c r="R113" s="56"/>
      <c r="S113" s="57"/>
      <c r="T113" s="57"/>
      <c r="U113" s="57"/>
      <c r="V113" s="129"/>
      <c r="W113" s="146"/>
      <c r="X113" s="57"/>
      <c r="Y113" s="57"/>
    </row>
    <row r="114" spans="1:25" ht="15.75" customHeight="1">
      <c r="A114" s="130" t="s">
        <v>370</v>
      </c>
      <c r="B114" s="131" t="s">
        <v>371</v>
      </c>
      <c r="C114" s="132" t="s">
        <v>372</v>
      </c>
      <c r="D114" s="132" t="s">
        <v>92</v>
      </c>
      <c r="E114" s="133"/>
      <c r="F114" s="121"/>
      <c r="G114" s="134"/>
      <c r="H114" s="140"/>
      <c r="I114" s="139"/>
      <c r="J114" s="125"/>
      <c r="K114" s="125"/>
      <c r="L114" s="125"/>
      <c r="M114" s="125"/>
      <c r="N114" s="125"/>
      <c r="O114" s="125"/>
      <c r="P114" s="126"/>
      <c r="Q114" s="57"/>
      <c r="R114" s="56"/>
      <c r="S114" s="57"/>
      <c r="T114" s="57"/>
      <c r="U114" s="57"/>
      <c r="V114" s="129"/>
      <c r="W114" s="146"/>
      <c r="X114" s="57"/>
      <c r="Y114" s="57"/>
    </row>
    <row r="115" spans="1:25" ht="15.75" customHeight="1">
      <c r="A115" s="130" t="s">
        <v>373</v>
      </c>
      <c r="B115" s="131" t="s">
        <v>374</v>
      </c>
      <c r="C115" s="132" t="s">
        <v>375</v>
      </c>
      <c r="D115" s="132" t="s">
        <v>112</v>
      </c>
      <c r="E115" s="133"/>
      <c r="F115" s="121"/>
      <c r="G115" s="134"/>
      <c r="H115" s="140"/>
      <c r="I115" s="139"/>
      <c r="J115" s="125"/>
      <c r="K115" s="125"/>
      <c r="L115" s="125"/>
      <c r="M115" s="125"/>
      <c r="N115" s="125"/>
      <c r="O115" s="125"/>
      <c r="P115" s="126"/>
      <c r="Q115" s="57"/>
      <c r="R115" s="56"/>
      <c r="S115" s="57"/>
      <c r="T115" s="57"/>
      <c r="U115" s="57"/>
      <c r="V115" s="129"/>
      <c r="W115" s="146"/>
      <c r="X115" s="57"/>
      <c r="Y115" s="57"/>
    </row>
    <row r="116" spans="1:25" ht="15.75" customHeight="1">
      <c r="A116" s="130" t="s">
        <v>376</v>
      </c>
      <c r="B116" s="131" t="s">
        <v>377</v>
      </c>
      <c r="C116" s="132" t="s">
        <v>378</v>
      </c>
      <c r="D116" s="132" t="s">
        <v>122</v>
      </c>
      <c r="E116" s="133"/>
      <c r="F116" s="121"/>
      <c r="G116" s="134"/>
      <c r="H116" s="140"/>
      <c r="I116" s="139"/>
      <c r="J116" s="125"/>
      <c r="K116" s="125"/>
      <c r="L116" s="125"/>
      <c r="M116" s="125"/>
      <c r="N116" s="125"/>
      <c r="O116" s="125"/>
      <c r="P116" s="126"/>
      <c r="Q116" s="57"/>
      <c r="R116" s="56"/>
      <c r="S116" s="57"/>
      <c r="T116" s="57"/>
      <c r="U116" s="57"/>
      <c r="V116" s="129"/>
      <c r="W116" s="146"/>
      <c r="X116" s="57"/>
      <c r="Y116" s="57"/>
    </row>
    <row r="117" spans="1:25" ht="15.75" customHeight="1">
      <c r="A117" s="130" t="s">
        <v>379</v>
      </c>
      <c r="B117" s="131" t="s">
        <v>380</v>
      </c>
      <c r="C117" s="132" t="s">
        <v>381</v>
      </c>
      <c r="D117" s="132" t="s">
        <v>47</v>
      </c>
      <c r="E117" s="133"/>
      <c r="F117" s="121"/>
      <c r="G117" s="134"/>
      <c r="H117" s="140"/>
      <c r="I117" s="139"/>
      <c r="J117" s="125"/>
      <c r="K117" s="125"/>
      <c r="L117" s="125"/>
      <c r="M117" s="125"/>
      <c r="N117" s="125"/>
      <c r="O117" s="125"/>
      <c r="P117" s="126"/>
      <c r="Q117" s="57"/>
      <c r="R117" s="56"/>
      <c r="S117" s="57"/>
      <c r="T117" s="57"/>
      <c r="U117" s="57"/>
      <c r="V117" s="129"/>
      <c r="W117" s="146"/>
      <c r="X117" s="57"/>
      <c r="Y117" s="57"/>
    </row>
    <row r="118" spans="1:25" ht="15.75" customHeight="1">
      <c r="A118" s="130" t="s">
        <v>382</v>
      </c>
      <c r="B118" s="131" t="s">
        <v>383</v>
      </c>
      <c r="C118" s="132" t="s">
        <v>384</v>
      </c>
      <c r="D118" s="132" t="s">
        <v>122</v>
      </c>
      <c r="E118" s="133"/>
      <c r="F118" s="121"/>
      <c r="G118" s="134"/>
      <c r="H118" s="140"/>
      <c r="I118" s="139"/>
      <c r="J118" s="125"/>
      <c r="K118" s="125"/>
      <c r="L118" s="125"/>
      <c r="M118" s="125"/>
      <c r="N118" s="125"/>
      <c r="O118" s="125"/>
      <c r="P118" s="126"/>
      <c r="Q118" s="57"/>
      <c r="R118" s="56"/>
      <c r="S118" s="57"/>
      <c r="T118" s="57"/>
      <c r="U118" s="57"/>
      <c r="V118" s="129"/>
      <c r="W118" s="146"/>
      <c r="X118" s="57"/>
      <c r="Y118" s="57"/>
    </row>
    <row r="119" spans="1:25" ht="15.75" customHeight="1">
      <c r="A119" s="130" t="s">
        <v>385</v>
      </c>
      <c r="B119" s="131">
        <v>1724565674</v>
      </c>
      <c r="C119" s="132" t="s">
        <v>386</v>
      </c>
      <c r="D119" s="132" t="s">
        <v>100</v>
      </c>
      <c r="E119" s="133"/>
      <c r="F119" s="121"/>
      <c r="G119" s="134"/>
      <c r="H119" s="140"/>
      <c r="I119" s="139"/>
      <c r="J119" s="125"/>
      <c r="K119" s="125"/>
      <c r="L119" s="125"/>
      <c r="M119" s="125"/>
      <c r="N119" s="125"/>
      <c r="O119" s="125"/>
      <c r="P119" s="126"/>
      <c r="Q119" s="57"/>
      <c r="R119" s="56"/>
      <c r="S119" s="57"/>
      <c r="T119" s="57"/>
      <c r="U119" s="57"/>
      <c r="V119" s="129"/>
      <c r="W119" s="146"/>
      <c r="X119" s="57"/>
      <c r="Y119" s="57"/>
    </row>
    <row r="120" spans="1:25" ht="15.75" customHeight="1">
      <c r="A120" s="130" t="s">
        <v>387</v>
      </c>
      <c r="B120" s="131" t="s">
        <v>388</v>
      </c>
      <c r="C120" s="132" t="s">
        <v>389</v>
      </c>
      <c r="D120" s="132" t="s">
        <v>247</v>
      </c>
      <c r="E120" s="133"/>
      <c r="F120" s="121"/>
      <c r="G120" s="134"/>
      <c r="H120" s="140"/>
      <c r="I120" s="139"/>
      <c r="J120" s="125"/>
      <c r="K120" s="125"/>
      <c r="L120" s="125"/>
      <c r="M120" s="125"/>
      <c r="N120" s="125"/>
      <c r="O120" s="125"/>
      <c r="P120" s="126"/>
      <c r="Q120" s="57"/>
      <c r="R120" s="56"/>
      <c r="S120" s="57"/>
      <c r="T120" s="57"/>
      <c r="U120" s="57"/>
      <c r="V120" s="129"/>
      <c r="W120" s="146"/>
      <c r="X120" s="57"/>
      <c r="Y120" s="57"/>
    </row>
    <row r="121" spans="1:25" ht="15.75" customHeight="1">
      <c r="A121" s="130" t="s">
        <v>390</v>
      </c>
      <c r="B121" s="131" t="s">
        <v>391</v>
      </c>
      <c r="C121" s="132" t="s">
        <v>392</v>
      </c>
      <c r="D121" s="132" t="s">
        <v>104</v>
      </c>
      <c r="E121" s="133"/>
      <c r="F121" s="121"/>
      <c r="G121" s="134"/>
      <c r="H121" s="140"/>
      <c r="I121" s="139"/>
      <c r="J121" s="125"/>
      <c r="K121" s="125"/>
      <c r="L121" s="125"/>
      <c r="M121" s="125"/>
      <c r="N121" s="125"/>
      <c r="O121" s="125"/>
      <c r="P121" s="126"/>
      <c r="Q121" s="57"/>
      <c r="R121" s="56"/>
      <c r="S121" s="57"/>
      <c r="T121" s="57"/>
      <c r="U121" s="57"/>
      <c r="V121" s="129"/>
      <c r="W121" s="146"/>
      <c r="X121" s="57"/>
      <c r="Y121" s="57"/>
    </row>
    <row r="122" spans="1:25" ht="15.75" customHeight="1">
      <c r="A122" s="130" t="s">
        <v>393</v>
      </c>
      <c r="B122" s="131" t="s">
        <v>394</v>
      </c>
      <c r="C122" s="132" t="s">
        <v>395</v>
      </c>
      <c r="D122" s="132" t="s">
        <v>112</v>
      </c>
      <c r="E122" s="133"/>
      <c r="F122" s="121"/>
      <c r="G122" s="134"/>
      <c r="H122" s="140"/>
      <c r="I122" s="139"/>
      <c r="J122" s="125"/>
      <c r="K122" s="125"/>
      <c r="L122" s="125"/>
      <c r="M122" s="125"/>
      <c r="N122" s="125"/>
      <c r="O122" s="125"/>
      <c r="P122" s="126"/>
      <c r="Q122" s="57"/>
      <c r="R122" s="56"/>
      <c r="S122" s="57"/>
      <c r="T122" s="57"/>
      <c r="U122" s="57"/>
      <c r="V122" s="129"/>
      <c r="W122" s="146"/>
      <c r="X122" s="57"/>
      <c r="Y122" s="57"/>
    </row>
    <row r="123" spans="1:25" ht="15.75" customHeight="1">
      <c r="A123" s="130" t="s">
        <v>396</v>
      </c>
      <c r="B123" s="131" t="s">
        <v>397</v>
      </c>
      <c r="C123" s="132" t="s">
        <v>398</v>
      </c>
      <c r="D123" s="132" t="s">
        <v>126</v>
      </c>
      <c r="E123" s="133"/>
      <c r="F123" s="121"/>
      <c r="G123" s="134"/>
      <c r="H123" s="140"/>
      <c r="I123" s="139"/>
      <c r="J123" s="125"/>
      <c r="K123" s="125"/>
      <c r="L123" s="125"/>
      <c r="M123" s="125"/>
      <c r="N123" s="125"/>
      <c r="O123" s="125"/>
      <c r="P123" s="126"/>
      <c r="Q123" s="57"/>
      <c r="R123" s="56"/>
      <c r="S123" s="57"/>
      <c r="T123" s="57"/>
      <c r="U123" s="57"/>
      <c r="V123" s="129"/>
      <c r="W123" s="146"/>
      <c r="X123" s="57"/>
      <c r="Y123" s="57"/>
    </row>
    <row r="124" spans="1:25" ht="15.75" customHeight="1">
      <c r="A124" s="130" t="s">
        <v>399</v>
      </c>
      <c r="B124" s="131" t="s">
        <v>400</v>
      </c>
      <c r="C124" s="132" t="s">
        <v>401</v>
      </c>
      <c r="D124" s="132" t="s">
        <v>126</v>
      </c>
      <c r="E124" s="133"/>
      <c r="F124" s="121"/>
      <c r="G124" s="134"/>
      <c r="H124" s="140"/>
      <c r="I124" s="139"/>
      <c r="J124" s="125"/>
      <c r="K124" s="125"/>
      <c r="L124" s="125"/>
      <c r="M124" s="125"/>
      <c r="N124" s="125"/>
      <c r="O124" s="125"/>
      <c r="P124" s="126"/>
      <c r="Q124" s="57"/>
      <c r="R124" s="56"/>
      <c r="S124" s="57"/>
      <c r="T124" s="57"/>
      <c r="U124" s="57"/>
      <c r="V124" s="129"/>
      <c r="W124" s="146"/>
      <c r="X124" s="57"/>
      <c r="Y124" s="57"/>
    </row>
    <row r="125" spans="1:25" ht="15.75" customHeight="1">
      <c r="A125" s="130" t="s">
        <v>402</v>
      </c>
      <c r="B125" s="131" t="s">
        <v>403</v>
      </c>
      <c r="C125" s="132" t="s">
        <v>404</v>
      </c>
      <c r="D125" s="132" t="s">
        <v>153</v>
      </c>
      <c r="E125" s="133"/>
      <c r="F125" s="121"/>
      <c r="G125" s="134"/>
      <c r="H125" s="140"/>
      <c r="I125" s="139"/>
      <c r="J125" s="125"/>
      <c r="K125" s="125"/>
      <c r="L125" s="125"/>
      <c r="M125" s="125"/>
      <c r="N125" s="125"/>
      <c r="O125" s="125"/>
      <c r="P125" s="126"/>
      <c r="Q125" s="57"/>
      <c r="R125" s="56"/>
      <c r="S125" s="57"/>
      <c r="T125" s="57"/>
      <c r="U125" s="57"/>
      <c r="V125" s="129"/>
      <c r="W125" s="146"/>
      <c r="X125" s="57"/>
      <c r="Y125" s="57"/>
    </row>
    <row r="126" spans="1:25" ht="15.75" customHeight="1">
      <c r="A126" s="130" t="s">
        <v>405</v>
      </c>
      <c r="B126" s="131" t="s">
        <v>406</v>
      </c>
      <c r="C126" s="132" t="s">
        <v>407</v>
      </c>
      <c r="D126" s="132" t="s">
        <v>96</v>
      </c>
      <c r="E126" s="133"/>
      <c r="F126" s="121"/>
      <c r="G126" s="134"/>
      <c r="H126" s="140"/>
      <c r="I126" s="139"/>
      <c r="J126" s="125"/>
      <c r="K126" s="125"/>
      <c r="L126" s="125"/>
      <c r="M126" s="125"/>
      <c r="N126" s="125"/>
      <c r="O126" s="125"/>
      <c r="P126" s="126"/>
      <c r="Q126" s="57"/>
      <c r="R126" s="56"/>
      <c r="S126" s="57"/>
      <c r="T126" s="57"/>
      <c r="U126" s="57"/>
      <c r="V126" s="129"/>
      <c r="W126" s="146"/>
      <c r="X126" s="57"/>
      <c r="Y126" s="57"/>
    </row>
    <row r="127" spans="1:25" ht="15.75" customHeight="1">
      <c r="A127" s="130" t="s">
        <v>408</v>
      </c>
      <c r="B127" s="131" t="s">
        <v>409</v>
      </c>
      <c r="C127" s="132" t="s">
        <v>410</v>
      </c>
      <c r="D127" s="132" t="s">
        <v>311</v>
      </c>
      <c r="E127" s="133"/>
      <c r="F127" s="121"/>
      <c r="G127" s="134"/>
      <c r="H127" s="140"/>
      <c r="I127" s="139"/>
      <c r="J127" s="125"/>
      <c r="K127" s="125"/>
      <c r="L127" s="125"/>
      <c r="M127" s="125"/>
      <c r="N127" s="125"/>
      <c r="O127" s="125"/>
      <c r="P127" s="126"/>
      <c r="Q127" s="57"/>
      <c r="R127" s="56"/>
      <c r="S127" s="57"/>
      <c r="T127" s="57"/>
      <c r="U127" s="57"/>
      <c r="V127" s="129"/>
      <c r="W127" s="146"/>
      <c r="X127" s="57"/>
      <c r="Y127" s="57"/>
    </row>
    <row r="128" spans="1:25" ht="15.75" customHeight="1">
      <c r="A128" s="130" t="s">
        <v>411</v>
      </c>
      <c r="B128" s="131" t="s">
        <v>412</v>
      </c>
      <c r="C128" s="132" t="s">
        <v>413</v>
      </c>
      <c r="D128" s="132" t="s">
        <v>153</v>
      </c>
      <c r="E128" s="133"/>
      <c r="F128" s="121"/>
      <c r="G128" s="134"/>
      <c r="H128" s="140"/>
      <c r="I128" s="139"/>
      <c r="J128" s="125"/>
      <c r="K128" s="125"/>
      <c r="L128" s="125"/>
      <c r="M128" s="125"/>
      <c r="N128" s="125"/>
      <c r="O128" s="125"/>
      <c r="P128" s="126"/>
      <c r="Q128" s="57"/>
      <c r="R128" s="56"/>
      <c r="S128" s="57"/>
      <c r="T128" s="57"/>
      <c r="U128" s="57"/>
      <c r="V128" s="129"/>
      <c r="W128" s="146"/>
      <c r="X128" s="57"/>
      <c r="Y128" s="57"/>
    </row>
    <row r="129" spans="1:25" ht="15.75" customHeight="1">
      <c r="A129" s="130" t="s">
        <v>414</v>
      </c>
      <c r="B129" s="131" t="s">
        <v>415</v>
      </c>
      <c r="C129" s="132" t="s">
        <v>416</v>
      </c>
      <c r="D129" s="132" t="s">
        <v>165</v>
      </c>
      <c r="E129" s="133"/>
      <c r="F129" s="121"/>
      <c r="G129" s="134"/>
      <c r="H129" s="140"/>
      <c r="I129" s="139"/>
      <c r="J129" s="125"/>
      <c r="K129" s="125"/>
      <c r="L129" s="125"/>
      <c r="M129" s="125"/>
      <c r="N129" s="125"/>
      <c r="O129" s="125"/>
      <c r="P129" s="126"/>
      <c r="Q129" s="57"/>
      <c r="R129" s="56"/>
      <c r="S129" s="57"/>
      <c r="T129" s="57"/>
      <c r="U129" s="57"/>
      <c r="V129" s="129"/>
      <c r="W129" s="146"/>
      <c r="X129" s="57"/>
      <c r="Y129" s="57"/>
    </row>
    <row r="130" spans="1:25" ht="15.75" customHeight="1">
      <c r="A130" s="130" t="s">
        <v>417</v>
      </c>
      <c r="B130" s="131" t="s">
        <v>418</v>
      </c>
      <c r="C130" s="141" t="s">
        <v>419</v>
      </c>
      <c r="D130" s="132" t="s">
        <v>165</v>
      </c>
      <c r="E130" s="133"/>
      <c r="F130" s="121"/>
      <c r="G130" s="134"/>
      <c r="H130" s="140"/>
      <c r="I130" s="139"/>
      <c r="J130" s="125"/>
      <c r="K130" s="125"/>
      <c r="L130" s="125"/>
      <c r="M130" s="125"/>
      <c r="N130" s="125"/>
      <c r="O130" s="125"/>
      <c r="P130" s="126"/>
      <c r="Q130" s="57"/>
      <c r="R130" s="56"/>
      <c r="S130" s="57"/>
      <c r="T130" s="57"/>
      <c r="U130" s="57"/>
      <c r="V130" s="129"/>
      <c r="W130" s="146"/>
      <c r="X130" s="57"/>
      <c r="Y130" s="57"/>
    </row>
    <row r="131" spans="1:25" ht="15.75" customHeight="1">
      <c r="A131" s="104" t="s">
        <v>420</v>
      </c>
      <c r="B131" s="104" t="s">
        <v>421</v>
      </c>
      <c r="C131" s="142" t="s">
        <v>422</v>
      </c>
      <c r="D131" s="104" t="s">
        <v>74</v>
      </c>
      <c r="E131" s="21"/>
      <c r="F131" s="21"/>
      <c r="G131" s="103"/>
      <c r="H131" s="66"/>
      <c r="I131" s="9"/>
      <c r="J131" s="24"/>
      <c r="K131" s="24"/>
      <c r="L131" s="24"/>
      <c r="M131" s="24"/>
      <c r="N131" s="24"/>
      <c r="O131" s="24"/>
      <c r="P131" s="58"/>
      <c r="Q131" s="57"/>
      <c r="R131" s="56"/>
      <c r="S131" s="57"/>
      <c r="T131" s="57"/>
      <c r="U131" s="57"/>
      <c r="V131" s="63"/>
      <c r="W131" s="146"/>
      <c r="X131" s="57"/>
      <c r="Y131" s="57"/>
    </row>
    <row r="132" spans="1:25" ht="15.75" customHeight="1">
      <c r="A132" s="68" t="s">
        <v>423</v>
      </c>
      <c r="B132" s="61" t="s">
        <v>424</v>
      </c>
      <c r="C132" s="148" t="s">
        <v>425</v>
      </c>
      <c r="D132" s="37" t="s">
        <v>122</v>
      </c>
      <c r="E132" s="21"/>
      <c r="F132" s="21"/>
      <c r="G132" s="103"/>
      <c r="H132" s="67"/>
      <c r="I132" s="9"/>
      <c r="J132" s="24"/>
      <c r="K132" s="24"/>
      <c r="L132" s="24"/>
      <c r="M132" s="24"/>
      <c r="N132" s="24"/>
      <c r="O132" s="24"/>
      <c r="P132" s="58"/>
      <c r="Q132" s="57"/>
      <c r="R132" s="56"/>
      <c r="S132" s="57"/>
      <c r="T132" s="57"/>
      <c r="U132" s="57"/>
      <c r="V132" s="63"/>
      <c r="W132" s="146"/>
      <c r="X132" s="57"/>
      <c r="Y132" s="57"/>
    </row>
    <row r="133" spans="1:25" ht="15.75" customHeight="1">
      <c r="A133" s="68"/>
      <c r="B133" s="61"/>
      <c r="C133" s="61"/>
      <c r="D133" s="37"/>
      <c r="E133" s="21"/>
      <c r="F133" s="21"/>
      <c r="G133" s="103"/>
      <c r="H133" s="67"/>
      <c r="I133" s="9"/>
      <c r="J133" s="24"/>
      <c r="K133" s="24"/>
      <c r="L133" s="24"/>
      <c r="M133" s="24"/>
      <c r="N133" s="24"/>
      <c r="O133" s="24"/>
      <c r="P133" s="58"/>
      <c r="Q133" s="57"/>
      <c r="R133" s="56"/>
      <c r="S133" s="57"/>
      <c r="T133" s="57"/>
      <c r="U133" s="57"/>
      <c r="V133" s="63"/>
      <c r="W133" s="146"/>
      <c r="X133" s="57"/>
      <c r="Y133" s="57"/>
    </row>
    <row r="134" spans="1:25" ht="15.75" customHeight="1">
      <c r="A134" s="68"/>
      <c r="B134" s="61"/>
      <c r="C134" s="61"/>
      <c r="D134" s="37"/>
      <c r="E134" s="21"/>
      <c r="F134" s="21"/>
      <c r="G134" s="103"/>
      <c r="H134" s="66"/>
      <c r="I134" s="9"/>
      <c r="J134" s="24"/>
      <c r="K134" s="24"/>
      <c r="L134" s="24"/>
      <c r="M134" s="24"/>
      <c r="N134" s="24"/>
      <c r="O134" s="24"/>
      <c r="P134" s="58"/>
      <c r="Q134" s="57"/>
      <c r="R134" s="56"/>
      <c r="S134" s="57"/>
      <c r="T134" s="57"/>
      <c r="U134" s="57"/>
      <c r="V134" s="63"/>
      <c r="W134" s="146"/>
      <c r="X134" s="57"/>
      <c r="Y134" s="57"/>
    </row>
    <row r="135" spans="1:25" ht="15.75" customHeight="1">
      <c r="A135" s="68"/>
      <c r="B135" s="61"/>
      <c r="C135" s="61"/>
      <c r="D135" s="37"/>
      <c r="E135" s="21"/>
      <c r="F135" s="21"/>
      <c r="G135" s="103"/>
      <c r="H135" s="66"/>
      <c r="I135" s="9"/>
      <c r="J135" s="24"/>
      <c r="K135" s="24"/>
      <c r="L135" s="24"/>
      <c r="M135" s="24"/>
      <c r="N135" s="24"/>
      <c r="O135" s="24"/>
      <c r="P135" s="58"/>
      <c r="Q135" s="57"/>
      <c r="R135" s="56"/>
      <c r="S135" s="57"/>
      <c r="T135" s="57"/>
      <c r="U135" s="57"/>
      <c r="V135" s="63"/>
      <c r="W135" s="146"/>
      <c r="X135" s="57"/>
      <c r="Y135" s="57"/>
    </row>
    <row r="136" spans="1:25" ht="15.75" customHeight="1">
      <c r="A136" s="68"/>
      <c r="B136" s="61"/>
      <c r="C136" s="61"/>
      <c r="D136" s="37"/>
      <c r="E136" s="21"/>
      <c r="F136" s="21"/>
      <c r="G136" s="103"/>
      <c r="H136" s="66"/>
      <c r="I136" s="9"/>
      <c r="J136" s="24"/>
      <c r="K136" s="24"/>
      <c r="L136" s="24"/>
      <c r="M136" s="24"/>
      <c r="N136" s="24"/>
      <c r="O136" s="24"/>
      <c r="P136" s="58"/>
      <c r="Q136" s="57"/>
      <c r="R136" s="56"/>
      <c r="S136" s="57"/>
      <c r="T136" s="57"/>
      <c r="U136" s="57"/>
      <c r="V136" s="63"/>
      <c r="W136" s="146"/>
      <c r="X136" s="57"/>
      <c r="Y136" s="57"/>
    </row>
    <row r="137" spans="1:25" ht="15.75" customHeight="1">
      <c r="A137" s="68"/>
      <c r="B137" s="61"/>
      <c r="C137" s="61"/>
      <c r="D137" s="37"/>
      <c r="E137" s="21"/>
      <c r="F137" s="21"/>
      <c r="G137" s="103"/>
      <c r="H137" s="66"/>
      <c r="I137" s="9"/>
      <c r="J137" s="24"/>
      <c r="K137" s="24"/>
      <c r="L137" s="24"/>
      <c r="M137" s="24"/>
      <c r="N137" s="24"/>
      <c r="O137" s="24"/>
      <c r="P137" s="58"/>
      <c r="Q137" s="57"/>
      <c r="R137" s="56"/>
      <c r="S137" s="57"/>
      <c r="T137" s="57"/>
      <c r="U137" s="57"/>
      <c r="V137" s="63"/>
      <c r="W137" s="146"/>
      <c r="X137" s="57"/>
      <c r="Y137" s="57"/>
    </row>
    <row r="138" spans="1:25" ht="15.75" customHeight="1">
      <c r="A138" s="68"/>
      <c r="B138" s="61"/>
      <c r="C138" s="61"/>
      <c r="D138" s="37"/>
      <c r="E138" s="21" t="str">
        <f>IFERROR(VLOOKUP(D138,'DATOS ASIGNACIÓN'!B:I,7,0),"")</f>
        <v/>
      </c>
      <c r="F138" s="21" t="str">
        <f>IFERROR(VLOOKUP(D138,'DATOS ASIGNACIÓN'!B:I,6,0),"")</f>
        <v/>
      </c>
      <c r="G138" s="103" t="str">
        <f>IFERROR(VLOOKUP(D138,'DATOS ASIGNACIÓN'!B:I,8,0),"")</f>
        <v/>
      </c>
      <c r="H138" s="66"/>
      <c r="I138" s="9"/>
      <c r="J138" s="24"/>
      <c r="K138" s="24"/>
      <c r="L138" s="24"/>
      <c r="M138" s="24"/>
      <c r="N138" s="24"/>
      <c r="O138" s="24"/>
      <c r="P138" s="58"/>
      <c r="Q138" s="57"/>
      <c r="R138" s="56"/>
      <c r="S138" s="57"/>
      <c r="T138" s="57"/>
      <c r="U138" s="57"/>
      <c r="V138" s="63"/>
      <c r="W138" s="146"/>
      <c r="X138" s="57"/>
      <c r="Y138" s="57"/>
    </row>
    <row r="139" spans="1:25" ht="15.75" customHeight="1">
      <c r="A139" s="68"/>
      <c r="B139" s="61"/>
      <c r="C139" s="61"/>
      <c r="D139" s="37"/>
      <c r="E139" s="21" t="str">
        <f>IFERROR(VLOOKUP(D139,'DATOS ASIGNACIÓN'!B:I,7,0),"")</f>
        <v/>
      </c>
      <c r="F139" s="21" t="str">
        <f>IFERROR(VLOOKUP(D139,'DATOS ASIGNACIÓN'!B:I,6,0),"")</f>
        <v/>
      </c>
      <c r="G139" s="103" t="str">
        <f>IFERROR(VLOOKUP(D139,'DATOS ASIGNACIÓN'!B:I,8,0),"")</f>
        <v/>
      </c>
      <c r="H139" s="66"/>
      <c r="I139" s="9"/>
      <c r="J139" s="24"/>
      <c r="K139" s="24"/>
      <c r="L139" s="24"/>
      <c r="M139" s="24"/>
      <c r="N139" s="24"/>
      <c r="O139" s="24"/>
      <c r="P139" s="58"/>
      <c r="Q139" s="57"/>
      <c r="R139" s="56"/>
      <c r="S139" s="57"/>
      <c r="T139" s="57"/>
      <c r="U139" s="57"/>
      <c r="V139" s="63"/>
      <c r="W139" s="146"/>
      <c r="X139" s="57"/>
      <c r="Y139" s="57"/>
    </row>
    <row r="140" spans="1:25" ht="15.75" customHeight="1">
      <c r="A140" s="68"/>
      <c r="B140" s="61"/>
      <c r="C140" s="61"/>
      <c r="D140" s="37"/>
      <c r="E140" s="21" t="str">
        <f>IFERROR(VLOOKUP(D140,'DATOS ASIGNACIÓN'!B:I,7,0),"")</f>
        <v/>
      </c>
      <c r="F140" s="21" t="str">
        <f>IFERROR(VLOOKUP(D140,'DATOS ASIGNACIÓN'!B:I,6,0),"")</f>
        <v/>
      </c>
      <c r="G140" s="103" t="str">
        <f>IFERROR(VLOOKUP(D140,'DATOS ASIGNACIÓN'!B:I,8,0),"")</f>
        <v/>
      </c>
      <c r="H140" s="66"/>
      <c r="I140" s="9"/>
      <c r="J140" s="24"/>
      <c r="K140" s="24"/>
      <c r="L140" s="24"/>
      <c r="M140" s="24"/>
      <c r="N140" s="24"/>
      <c r="O140" s="24"/>
      <c r="P140" s="58"/>
      <c r="Q140" s="57"/>
      <c r="R140" s="56"/>
      <c r="S140" s="57"/>
      <c r="T140" s="57"/>
      <c r="U140" s="57"/>
      <c r="V140" s="63"/>
      <c r="W140" s="57"/>
    </row>
    <row r="141" spans="1:25" ht="15.75" customHeight="1">
      <c r="A141" s="68"/>
      <c r="B141" s="61"/>
      <c r="C141" s="61"/>
      <c r="D141" s="37"/>
      <c r="E141" s="21" t="str">
        <f>IFERROR(VLOOKUP(D141,'DATOS ASIGNACIÓN'!B:I,7,0),"")</f>
        <v/>
      </c>
      <c r="F141" s="21" t="str">
        <f>IFERROR(VLOOKUP(D141,'DATOS ASIGNACIÓN'!B:I,6,0),"")</f>
        <v/>
      </c>
      <c r="G141" s="103" t="str">
        <f>IFERROR(VLOOKUP(D141,'DATOS ASIGNACIÓN'!B:I,8,0),"")</f>
        <v/>
      </c>
      <c r="H141" s="66"/>
      <c r="I141" s="9"/>
      <c r="J141" s="24"/>
      <c r="K141" s="24"/>
      <c r="L141" s="24"/>
      <c r="M141" s="24"/>
      <c r="N141" s="24"/>
      <c r="O141" s="24"/>
      <c r="P141" s="58"/>
      <c r="Q141" s="57"/>
      <c r="R141" s="56"/>
      <c r="S141" s="57"/>
      <c r="T141" s="57"/>
      <c r="U141" s="57"/>
      <c r="V141" s="63"/>
      <c r="W141" s="57"/>
    </row>
    <row r="142" spans="1:25" ht="15.75" customHeight="1">
      <c r="A142" s="68"/>
      <c r="B142" s="61"/>
      <c r="C142" s="61"/>
      <c r="D142" s="37"/>
      <c r="E142" s="21" t="str">
        <f>IFERROR(VLOOKUP(D142,'DATOS ASIGNACIÓN'!B:I,7,0),"")</f>
        <v/>
      </c>
      <c r="F142" s="21" t="str">
        <f>IFERROR(VLOOKUP(D142,'DATOS ASIGNACIÓN'!B:I,6,0),"")</f>
        <v/>
      </c>
      <c r="G142" s="103" t="str">
        <f>IFERROR(VLOOKUP(D142,'DATOS ASIGNACIÓN'!B:I,8,0),"")</f>
        <v/>
      </c>
      <c r="H142" s="66"/>
      <c r="I142" s="9"/>
      <c r="J142" s="24"/>
      <c r="K142" s="24"/>
      <c r="L142" s="24"/>
      <c r="M142" s="24"/>
      <c r="N142" s="24"/>
      <c r="O142" s="24"/>
      <c r="P142" s="58"/>
      <c r="Q142" s="57"/>
      <c r="R142" s="56"/>
      <c r="S142" s="57"/>
      <c r="T142" s="57"/>
      <c r="U142" s="57"/>
      <c r="V142" s="63"/>
      <c r="W142" s="57"/>
    </row>
    <row r="143" spans="1:25" ht="15.75" customHeight="1">
      <c r="A143" s="68"/>
      <c r="B143" s="61"/>
      <c r="C143" s="61"/>
      <c r="D143" s="37"/>
      <c r="E143" s="21" t="str">
        <f>IFERROR(VLOOKUP(D143,'DATOS ASIGNACIÓN'!B:I,7,0),"")</f>
        <v/>
      </c>
      <c r="F143" s="21" t="str">
        <f>IFERROR(VLOOKUP(D143,'DATOS ASIGNACIÓN'!B:I,6,0),"")</f>
        <v/>
      </c>
      <c r="G143" s="103" t="str">
        <f>IFERROR(VLOOKUP(D143,'DATOS ASIGNACIÓN'!B:I,8,0),"")</f>
        <v/>
      </c>
      <c r="H143" s="66"/>
      <c r="I143" s="9"/>
      <c r="J143" s="24"/>
      <c r="K143" s="24"/>
      <c r="L143" s="24"/>
      <c r="M143" s="24"/>
      <c r="N143" s="24"/>
      <c r="O143" s="24"/>
      <c r="P143" s="58"/>
      <c r="Q143" s="57"/>
      <c r="R143" s="56"/>
      <c r="S143" s="57"/>
      <c r="T143" s="57"/>
      <c r="U143" s="57"/>
      <c r="V143" s="63"/>
      <c r="W143" s="57"/>
    </row>
    <row r="144" spans="1:25" ht="15.75" customHeight="1">
      <c r="A144" s="68"/>
      <c r="B144" s="61"/>
      <c r="C144" s="61"/>
      <c r="D144" s="37"/>
      <c r="E144" s="21" t="str">
        <f>IFERROR(VLOOKUP(D144,'DATOS ASIGNACIÓN'!B:I,7,0),"")</f>
        <v/>
      </c>
      <c r="F144" s="21" t="str">
        <f>IFERROR(VLOOKUP(D144,'DATOS ASIGNACIÓN'!B:I,6,0),"")</f>
        <v/>
      </c>
      <c r="G144" s="103" t="str">
        <f>IFERROR(VLOOKUP(D144,'DATOS ASIGNACIÓN'!B:I,8,0),"")</f>
        <v/>
      </c>
      <c r="H144" s="66"/>
      <c r="I144" s="9"/>
      <c r="J144" s="24"/>
      <c r="K144" s="24"/>
      <c r="L144" s="24"/>
      <c r="M144" s="24"/>
      <c r="N144" s="24"/>
      <c r="O144" s="24"/>
      <c r="P144" s="58"/>
      <c r="Q144" s="57"/>
      <c r="R144" s="56"/>
      <c r="S144" s="57"/>
      <c r="T144" s="57"/>
      <c r="U144" s="57"/>
      <c r="V144" s="63"/>
      <c r="W144" s="57"/>
    </row>
    <row r="145" spans="1:23" ht="15.75" customHeight="1">
      <c r="A145" s="68"/>
      <c r="B145" s="61"/>
      <c r="C145" s="61"/>
      <c r="D145" s="37"/>
      <c r="E145" s="21" t="str">
        <f>IFERROR(VLOOKUP(D145,'DATOS ASIGNACIÓN'!B:I,7,0),"")</f>
        <v/>
      </c>
      <c r="F145" s="21" t="str">
        <f>IFERROR(VLOOKUP(D145,'DATOS ASIGNACIÓN'!B:I,6,0),"")</f>
        <v/>
      </c>
      <c r="G145" s="103" t="str">
        <f>IFERROR(VLOOKUP(D145,'DATOS ASIGNACIÓN'!B:I,8,0),"")</f>
        <v/>
      </c>
      <c r="H145" s="66"/>
      <c r="I145" s="9"/>
      <c r="J145" s="24"/>
      <c r="K145" s="24"/>
      <c r="L145" s="24"/>
      <c r="M145" s="24"/>
      <c r="N145" s="24"/>
      <c r="O145" s="24"/>
      <c r="P145" s="58"/>
      <c r="Q145" s="57"/>
      <c r="R145" s="56"/>
      <c r="S145" s="57"/>
      <c r="T145" s="57"/>
      <c r="U145" s="57"/>
      <c r="V145" s="63"/>
      <c r="W145" s="57"/>
    </row>
    <row r="146" spans="1:23" ht="15.75" customHeight="1">
      <c r="A146" s="68"/>
      <c r="B146" s="61"/>
      <c r="C146" s="61"/>
      <c r="D146" s="37"/>
      <c r="E146" s="21" t="str">
        <f>IFERROR(VLOOKUP(D146,'DATOS ASIGNACIÓN'!B:I,7,0),"")</f>
        <v/>
      </c>
      <c r="F146" s="21" t="str">
        <f>IFERROR(VLOOKUP(D146,'DATOS ASIGNACIÓN'!B:I,6,0),"")</f>
        <v/>
      </c>
      <c r="G146" s="103" t="str">
        <f>IFERROR(VLOOKUP(D146,'DATOS ASIGNACIÓN'!B:I,8,0),"")</f>
        <v/>
      </c>
      <c r="H146" s="66"/>
      <c r="I146" s="9"/>
      <c r="J146" s="24"/>
      <c r="K146" s="24"/>
      <c r="L146" s="24"/>
      <c r="M146" s="24"/>
      <c r="N146" s="24"/>
      <c r="O146" s="24"/>
      <c r="P146" s="58"/>
      <c r="Q146" s="57"/>
      <c r="R146" s="56"/>
      <c r="S146" s="57"/>
      <c r="T146" s="57"/>
      <c r="U146" s="57"/>
      <c r="V146" s="63"/>
      <c r="W146" s="57"/>
    </row>
    <row r="147" spans="1:23" ht="15.75" customHeight="1">
      <c r="A147" s="68"/>
      <c r="B147" s="61"/>
      <c r="C147" s="61"/>
      <c r="D147" s="37"/>
      <c r="E147" s="21" t="str">
        <f>IFERROR(VLOOKUP(D147,'DATOS ASIGNACIÓN'!B:I,7,0),"")</f>
        <v/>
      </c>
      <c r="F147" s="21" t="str">
        <f>IFERROR(VLOOKUP(D147,'DATOS ASIGNACIÓN'!B:I,6,0),"")</f>
        <v/>
      </c>
      <c r="G147" s="103" t="str">
        <f>IFERROR(VLOOKUP(D147,'DATOS ASIGNACIÓN'!B:I,8,0),"")</f>
        <v/>
      </c>
      <c r="H147" s="66"/>
      <c r="I147" s="9"/>
      <c r="J147" s="24"/>
      <c r="K147" s="24"/>
      <c r="L147" s="24"/>
      <c r="M147" s="24"/>
      <c r="N147" s="24"/>
      <c r="O147" s="24"/>
      <c r="P147" s="58"/>
      <c r="Q147" s="57"/>
      <c r="R147" s="56"/>
      <c r="S147" s="57"/>
      <c r="T147" s="57"/>
      <c r="U147" s="57"/>
      <c r="V147" s="63"/>
      <c r="W147" s="57"/>
    </row>
    <row r="148" spans="1:23" ht="15.75" customHeight="1">
      <c r="A148" s="68"/>
      <c r="B148" s="61"/>
      <c r="C148" s="61"/>
      <c r="D148" s="37"/>
      <c r="E148" s="21" t="str">
        <f>IFERROR(VLOOKUP(D148,'DATOS ASIGNACIÓN'!B:I,7,0),"")</f>
        <v/>
      </c>
      <c r="F148" s="21" t="str">
        <f>IFERROR(VLOOKUP(D148,'DATOS ASIGNACIÓN'!B:I,6,0),"")</f>
        <v/>
      </c>
      <c r="G148" s="103" t="str">
        <f>IFERROR(VLOOKUP(D148,'DATOS ASIGNACIÓN'!B:I,8,0),"")</f>
        <v/>
      </c>
      <c r="H148" s="66"/>
      <c r="I148" s="9"/>
      <c r="J148" s="24"/>
      <c r="K148" s="24"/>
      <c r="L148" s="24"/>
      <c r="M148" s="24"/>
      <c r="N148" s="24"/>
      <c r="O148" s="24"/>
      <c r="P148" s="58"/>
      <c r="Q148" s="57"/>
      <c r="R148" s="56"/>
      <c r="S148" s="57"/>
      <c r="T148" s="57"/>
      <c r="U148" s="57"/>
      <c r="V148" s="63"/>
      <c r="W148" s="57"/>
    </row>
    <row r="149" spans="1:23" ht="15.75" customHeight="1">
      <c r="A149" s="68"/>
      <c r="B149" s="61"/>
      <c r="C149" s="61"/>
      <c r="D149" s="37"/>
      <c r="E149" s="21" t="str">
        <f>IFERROR(VLOOKUP(D149,'DATOS ASIGNACIÓN'!B:I,7,0),"")</f>
        <v/>
      </c>
      <c r="F149" s="21" t="str">
        <f>IFERROR(VLOOKUP(D149,'DATOS ASIGNACIÓN'!B:I,6,0),"")</f>
        <v/>
      </c>
      <c r="G149" s="103" t="str">
        <f>IFERROR(VLOOKUP(D149,'DATOS ASIGNACIÓN'!B:I,8,0),"")</f>
        <v/>
      </c>
      <c r="H149" s="66"/>
      <c r="I149" s="9"/>
      <c r="J149" s="24"/>
      <c r="K149" s="24"/>
      <c r="L149" s="24"/>
      <c r="M149" s="24"/>
      <c r="N149" s="24"/>
      <c r="O149" s="24"/>
      <c r="P149" s="58"/>
      <c r="Q149" s="57"/>
      <c r="R149" s="56"/>
      <c r="S149" s="57"/>
      <c r="T149" s="57"/>
      <c r="U149" s="57"/>
      <c r="V149" s="63"/>
      <c r="W149" s="57"/>
    </row>
    <row r="150" spans="1:23" ht="15.75" customHeight="1">
      <c r="A150" s="68"/>
      <c r="B150" s="61"/>
      <c r="C150" s="61"/>
      <c r="D150" s="37"/>
      <c r="E150" s="21" t="str">
        <f>IFERROR(VLOOKUP(D150,'DATOS ASIGNACIÓN'!B:I,7,0),"")</f>
        <v/>
      </c>
      <c r="F150" s="21" t="str">
        <f>IFERROR(VLOOKUP(D150,'DATOS ASIGNACIÓN'!B:I,6,0),"")</f>
        <v/>
      </c>
      <c r="G150" s="103" t="str">
        <f>IFERROR(VLOOKUP(D150,'DATOS ASIGNACIÓN'!B:I,8,0),"")</f>
        <v/>
      </c>
      <c r="H150" s="66"/>
      <c r="I150" s="9"/>
      <c r="J150" s="24"/>
      <c r="K150" s="24"/>
      <c r="L150" s="24"/>
      <c r="M150" s="24"/>
      <c r="N150" s="24"/>
      <c r="O150" s="24"/>
      <c r="P150" s="58"/>
      <c r="Q150" s="57"/>
      <c r="R150" s="56"/>
      <c r="S150" s="57"/>
      <c r="T150" s="57"/>
      <c r="U150" s="57"/>
      <c r="V150" s="63"/>
      <c r="W150" s="57"/>
    </row>
    <row r="151" spans="1:23" ht="15.75" customHeight="1">
      <c r="A151" s="68"/>
      <c r="B151" s="61"/>
      <c r="C151" s="61"/>
      <c r="D151" s="37"/>
      <c r="E151" s="21" t="str">
        <f>IFERROR(VLOOKUP(D151,'DATOS ASIGNACIÓN'!B:I,7,0),"")</f>
        <v/>
      </c>
      <c r="F151" s="21" t="str">
        <f>IFERROR(VLOOKUP(D151,'DATOS ASIGNACIÓN'!B:I,6,0),"")</f>
        <v/>
      </c>
      <c r="G151" s="103" t="str">
        <f>IFERROR(VLOOKUP(D151,'DATOS ASIGNACIÓN'!B:I,8,0),"")</f>
        <v/>
      </c>
      <c r="H151" s="66"/>
      <c r="I151" s="9"/>
      <c r="J151" s="24"/>
      <c r="K151" s="24"/>
      <c r="L151" s="24"/>
      <c r="M151" s="24"/>
      <c r="N151" s="24"/>
      <c r="O151" s="24"/>
      <c r="P151" s="58"/>
      <c r="Q151" s="57"/>
      <c r="R151" s="56"/>
      <c r="S151" s="57"/>
      <c r="T151" s="57"/>
      <c r="U151" s="57"/>
      <c r="V151" s="63"/>
      <c r="W151" s="57"/>
    </row>
    <row r="152" spans="1:23" ht="15.75" customHeight="1">
      <c r="A152" s="68"/>
      <c r="B152" s="61"/>
      <c r="C152" s="61"/>
      <c r="D152" s="37"/>
      <c r="E152" s="21" t="str">
        <f>IFERROR(VLOOKUP(D152,'DATOS ASIGNACIÓN'!B:I,7,0),"")</f>
        <v/>
      </c>
      <c r="F152" s="21" t="str">
        <f>IFERROR(VLOOKUP(D152,'DATOS ASIGNACIÓN'!B:I,6,0),"")</f>
        <v/>
      </c>
      <c r="G152" s="103" t="str">
        <f>IFERROR(VLOOKUP(D152,'DATOS ASIGNACIÓN'!B:I,8,0),"")</f>
        <v/>
      </c>
      <c r="H152" s="66"/>
      <c r="I152" s="9"/>
      <c r="J152" s="24"/>
      <c r="K152" s="24"/>
      <c r="L152" s="24"/>
      <c r="M152" s="24"/>
      <c r="N152" s="24"/>
      <c r="O152" s="24"/>
      <c r="P152" s="58"/>
      <c r="Q152" s="57"/>
      <c r="R152" s="56"/>
      <c r="S152" s="57"/>
      <c r="T152" s="57"/>
      <c r="U152" s="57"/>
      <c r="V152" s="63"/>
      <c r="W152" s="57"/>
    </row>
    <row r="153" spans="1:23" ht="15.75" customHeight="1">
      <c r="A153" s="60"/>
      <c r="B153" s="61"/>
      <c r="C153" s="61"/>
      <c r="D153" s="37"/>
      <c r="E153" s="21" t="str">
        <f>IFERROR(VLOOKUP(D153,'DATOS ASIGNACIÓN'!B:I,7,0),"")</f>
        <v/>
      </c>
      <c r="F153" s="21" t="str">
        <f>IFERROR(VLOOKUP(D153,'DATOS ASIGNACIÓN'!B:I,6,0),"")</f>
        <v/>
      </c>
      <c r="G153" s="103" t="str">
        <f>IFERROR(VLOOKUP(D153,'DATOS ASIGNACIÓN'!B:I,8,0),"")</f>
        <v/>
      </c>
      <c r="H153" s="22"/>
      <c r="I153" s="22"/>
      <c r="J153" s="24"/>
      <c r="K153" s="24"/>
      <c r="L153" s="24"/>
      <c r="M153" s="23"/>
      <c r="N153" s="23"/>
      <c r="O153" s="24"/>
      <c r="P153" s="24"/>
      <c r="Q153" s="59"/>
      <c r="R153" s="59"/>
      <c r="S153" s="59"/>
      <c r="T153" s="59"/>
      <c r="U153" s="59"/>
      <c r="V153" s="63"/>
      <c r="W153" s="57"/>
    </row>
    <row r="154" spans="1:23" ht="15.75" customHeight="1">
      <c r="A154" s="60"/>
      <c r="B154" s="61"/>
      <c r="C154" s="61"/>
      <c r="D154" s="37"/>
      <c r="E154" s="21" t="str">
        <f>IFERROR(VLOOKUP(D154,'DATOS ASIGNACIÓN'!B:I,7,0),"")</f>
        <v/>
      </c>
      <c r="F154" s="21" t="str">
        <f>IFERROR(VLOOKUP(D154,'DATOS ASIGNACIÓN'!B:I,6,0),"")</f>
        <v/>
      </c>
      <c r="G154" s="103" t="str">
        <f>IFERROR(VLOOKUP(D154,'DATOS ASIGNACIÓN'!B:I,8,0),"")</f>
        <v/>
      </c>
      <c r="H154" s="9"/>
      <c r="I154" s="22"/>
      <c r="J154" s="24"/>
      <c r="K154" s="24"/>
      <c r="L154" s="24"/>
      <c r="M154" s="23"/>
      <c r="N154" s="23"/>
      <c r="O154" s="24"/>
      <c r="P154" s="24"/>
      <c r="Q154" s="24"/>
      <c r="R154" s="24"/>
      <c r="S154" s="24"/>
      <c r="T154" s="24"/>
      <c r="U154" s="24"/>
      <c r="V154" s="63"/>
      <c r="W154" s="57"/>
    </row>
    <row r="155" spans="1:23" ht="15.75" customHeight="1">
      <c r="A155" s="60"/>
      <c r="B155" s="61"/>
      <c r="C155" s="61"/>
      <c r="D155" s="37"/>
      <c r="E155" s="21" t="str">
        <f>IFERROR(VLOOKUP(D155,'DATOS ASIGNACIÓN'!B:I,7,0),"")</f>
        <v/>
      </c>
      <c r="F155" s="21" t="str">
        <f>IFERROR(VLOOKUP(D155,'DATOS ASIGNACIÓN'!B:I,6,0),"")</f>
        <v/>
      </c>
      <c r="G155" s="103" t="str">
        <f>IFERROR(VLOOKUP(D155,'DATOS ASIGNACIÓN'!B:I,8,0),"")</f>
        <v/>
      </c>
      <c r="H155" s="22"/>
      <c r="I155" s="64"/>
      <c r="J155" s="24"/>
      <c r="K155" s="9"/>
      <c r="L155" s="9"/>
      <c r="M155" s="65"/>
      <c r="N155" s="65"/>
      <c r="O155" s="24"/>
      <c r="P155" s="24"/>
      <c r="Q155" s="24"/>
      <c r="R155" s="24"/>
      <c r="S155" s="24"/>
      <c r="T155" s="24"/>
      <c r="U155" s="24"/>
      <c r="V155" s="63"/>
      <c r="W155" s="57"/>
    </row>
    <row r="156" spans="1:23" ht="15.75" customHeight="1">
      <c r="A156" s="69"/>
      <c r="B156" s="70"/>
      <c r="C156" s="70"/>
      <c r="D156" s="37"/>
      <c r="E156" s="21" t="str">
        <f>IFERROR(VLOOKUP(D156,'DATOS ASIGNACIÓN'!B:I,7,0),"")</f>
        <v/>
      </c>
      <c r="F156" s="21" t="str">
        <f>IFERROR(VLOOKUP(D156,'DATOS ASIGNACIÓN'!B:I,6,0),"")</f>
        <v/>
      </c>
      <c r="G156" s="103" t="str">
        <f>IFERROR(VLOOKUP(D156,'DATOS ASIGNACIÓN'!B:I,8,0),"")</f>
        <v/>
      </c>
      <c r="H156" s="22"/>
      <c r="I156" s="22"/>
      <c r="J156" s="24"/>
      <c r="K156" s="24"/>
      <c r="L156" s="24"/>
      <c r="M156" s="23"/>
      <c r="N156" s="23"/>
      <c r="O156" s="24"/>
      <c r="P156" s="24"/>
      <c r="Q156" s="24"/>
      <c r="R156" s="24"/>
      <c r="S156" s="24"/>
      <c r="T156" s="24"/>
      <c r="U156" s="24"/>
      <c r="V156" s="63"/>
      <c r="W156" s="57"/>
    </row>
    <row r="157" spans="1:23" ht="15.75" customHeight="1">
      <c r="A157" s="60"/>
      <c r="B157" s="61"/>
      <c r="C157" s="61"/>
      <c r="D157" s="37"/>
      <c r="E157" s="21" t="str">
        <f>IFERROR(VLOOKUP(D157,'DATOS ASIGNACIÓN'!B:I,7,0),"")</f>
        <v/>
      </c>
      <c r="F157" s="21" t="str">
        <f>IFERROR(VLOOKUP(D157,'DATOS ASIGNACIÓN'!B:I,6,0),"")</f>
        <v/>
      </c>
      <c r="G157" s="103" t="str">
        <f>IFERROR(VLOOKUP(D157,'DATOS ASIGNACIÓN'!B:I,8,0),"")</f>
        <v/>
      </c>
      <c r="H157" s="22"/>
      <c r="I157" s="22"/>
      <c r="J157" s="24"/>
      <c r="K157" s="24"/>
      <c r="L157" s="24"/>
      <c r="M157" s="23"/>
      <c r="N157" s="23"/>
      <c r="O157" s="24"/>
      <c r="P157" s="24"/>
      <c r="Q157" s="24"/>
      <c r="R157" s="24"/>
      <c r="S157" s="24"/>
      <c r="T157" s="24"/>
      <c r="U157" s="24"/>
      <c r="V157" s="63"/>
      <c r="W157" s="57"/>
    </row>
    <row r="158" spans="1:23" ht="15.75" customHeight="1">
      <c r="A158" s="54"/>
      <c r="B158" s="55"/>
      <c r="C158" s="55"/>
      <c r="D158" s="8"/>
      <c r="E158" s="21" t="str">
        <f>IFERROR(VLOOKUP(D158,'DATOS ASIGNACIÓN'!B:I,7,0),"")</f>
        <v/>
      </c>
      <c r="F158" s="21" t="str">
        <f>IFERROR(VLOOKUP(D158,'DATOS ASIGNACIÓN'!B:I,6,0),"")</f>
        <v/>
      </c>
      <c r="G158" s="103" t="str">
        <f>IFERROR(VLOOKUP(D158,'DATOS ASIGNACIÓN'!B:I,8,0),"")</f>
        <v/>
      </c>
      <c r="H158" s="22"/>
      <c r="I158" s="22"/>
      <c r="J158" s="24"/>
      <c r="K158" s="24"/>
      <c r="L158" s="24"/>
      <c r="M158" s="23"/>
      <c r="N158" s="23"/>
      <c r="O158" s="24"/>
      <c r="P158" s="24"/>
      <c r="Q158" s="24"/>
      <c r="R158" s="24"/>
      <c r="S158" s="24"/>
      <c r="T158" s="24"/>
      <c r="U158" s="24"/>
      <c r="V158" s="63"/>
      <c r="W158" s="57"/>
    </row>
    <row r="159" spans="1:23" ht="15.75" customHeight="1">
      <c r="A159" s="49"/>
      <c r="B159" s="39"/>
      <c r="C159" s="39"/>
      <c r="D159" s="8"/>
      <c r="E159" s="21" t="str">
        <f>IFERROR(VLOOKUP(D159,'DATOS ASIGNACIÓN'!B:I,7,0),"")</f>
        <v/>
      </c>
      <c r="F159" s="21" t="str">
        <f>IFERROR(VLOOKUP(D159,'DATOS ASIGNACIÓN'!B:I,6,0),"")</f>
        <v/>
      </c>
      <c r="G159" s="103" t="str">
        <f>IFERROR(VLOOKUP(D159,'DATOS ASIGNACIÓN'!B:I,8,0),"")</f>
        <v/>
      </c>
      <c r="H159" s="22"/>
      <c r="I159" s="22"/>
      <c r="J159" s="24"/>
      <c r="K159" s="24"/>
      <c r="L159" s="24"/>
      <c r="M159" s="23"/>
      <c r="N159" s="23"/>
      <c r="O159" s="24"/>
      <c r="P159" s="24"/>
      <c r="Q159" s="24"/>
      <c r="R159" s="24"/>
      <c r="S159" s="24"/>
      <c r="T159" s="24"/>
      <c r="U159" s="24"/>
      <c r="V159" s="63"/>
      <c r="W159" s="57"/>
    </row>
    <row r="160" spans="1:23" ht="15.75" customHeight="1">
      <c r="A160" s="49"/>
      <c r="B160" s="39"/>
      <c r="C160" s="39"/>
      <c r="D160" s="8"/>
      <c r="E160" s="21" t="str">
        <f>IFERROR(VLOOKUP(D160,'DATOS ASIGNACIÓN'!B:I,7,0),"")</f>
        <v/>
      </c>
      <c r="F160" s="21" t="str">
        <f>IFERROR(VLOOKUP(D160,'DATOS ASIGNACIÓN'!B:I,6,0),"")</f>
        <v/>
      </c>
      <c r="G160" s="103" t="str">
        <f>IFERROR(VLOOKUP(D160,'DATOS ASIGNACIÓN'!B:I,8,0),"")</f>
        <v/>
      </c>
      <c r="H160" s="22"/>
      <c r="I160" s="22"/>
      <c r="J160" s="24"/>
      <c r="K160" s="24"/>
      <c r="L160" s="24"/>
      <c r="M160" s="23"/>
      <c r="N160" s="23"/>
      <c r="O160" s="24"/>
      <c r="P160" s="24"/>
      <c r="Q160" s="24"/>
      <c r="R160" s="24"/>
      <c r="S160" s="24"/>
      <c r="T160" s="24"/>
      <c r="U160" s="24"/>
      <c r="V160" s="63"/>
      <c r="W160" s="57"/>
    </row>
    <row r="161" spans="1:23" ht="15.75" customHeight="1">
      <c r="A161" s="49"/>
      <c r="B161" s="39"/>
      <c r="C161" s="39"/>
      <c r="D161" s="8"/>
      <c r="E161" s="21" t="str">
        <f>IFERROR(VLOOKUP(D161,'DATOS ASIGNACIÓN'!B:I,7,0),"")</f>
        <v/>
      </c>
      <c r="F161" s="21" t="str">
        <f>IFERROR(VLOOKUP(D161,'DATOS ASIGNACIÓN'!B:I,6,0),"")</f>
        <v/>
      </c>
      <c r="G161" s="103" t="str">
        <f>IFERROR(VLOOKUP(D161,'DATOS ASIGNACIÓN'!B:I,8,0),"")</f>
        <v/>
      </c>
      <c r="H161" s="22"/>
      <c r="I161" s="22"/>
      <c r="J161" s="24"/>
      <c r="K161" s="24"/>
      <c r="L161" s="24"/>
      <c r="M161" s="23"/>
      <c r="N161" s="23"/>
      <c r="O161" s="24"/>
      <c r="P161" s="24"/>
      <c r="Q161" s="24"/>
      <c r="R161" s="24"/>
      <c r="S161" s="24"/>
      <c r="T161" s="24"/>
      <c r="U161" s="24"/>
      <c r="V161" s="63"/>
      <c r="W161" s="57"/>
    </row>
    <row r="162" spans="1:23" ht="15.75" customHeight="1">
      <c r="A162" s="49"/>
      <c r="B162" s="39"/>
      <c r="C162" s="39"/>
      <c r="D162" s="8"/>
      <c r="E162" s="21" t="str">
        <f>IFERROR(VLOOKUP(D162,'DATOS ASIGNACIÓN'!B:I,7,0),"")</f>
        <v/>
      </c>
      <c r="F162" s="21" t="str">
        <f>IFERROR(VLOOKUP(D162,'DATOS ASIGNACIÓN'!B:I,6,0),"")</f>
        <v/>
      </c>
      <c r="G162" s="103" t="str">
        <f>IFERROR(VLOOKUP(D162,'DATOS ASIGNACIÓN'!B:I,8,0),"")</f>
        <v/>
      </c>
      <c r="H162" s="22"/>
      <c r="I162" s="22"/>
      <c r="J162" s="24"/>
      <c r="K162" s="24"/>
      <c r="L162" s="24"/>
      <c r="M162" s="23"/>
      <c r="N162" s="23"/>
      <c r="O162" s="24"/>
      <c r="P162" s="24"/>
      <c r="Q162" s="24"/>
      <c r="R162" s="24"/>
      <c r="S162" s="24"/>
      <c r="T162" s="24"/>
      <c r="U162" s="24"/>
      <c r="V162" s="63"/>
      <c r="W162" s="57"/>
    </row>
    <row r="163" spans="1:23" ht="15.75" customHeight="1">
      <c r="A163" s="49"/>
      <c r="B163" s="39"/>
      <c r="C163" s="39"/>
      <c r="D163" s="8"/>
      <c r="E163" s="21" t="str">
        <f>IFERROR(VLOOKUP(D163,'DATOS ASIGNACIÓN'!B:I,7,0),"")</f>
        <v/>
      </c>
      <c r="F163" s="21" t="str">
        <f>IFERROR(VLOOKUP(D163,'DATOS ASIGNACIÓN'!B:I,6,0),"")</f>
        <v/>
      </c>
      <c r="G163" s="103" t="str">
        <f>IFERROR(VLOOKUP(D163,'DATOS ASIGNACIÓN'!B:I,8,0),"")</f>
        <v/>
      </c>
      <c r="H163" s="22"/>
      <c r="I163" s="22"/>
      <c r="J163" s="24"/>
      <c r="K163" s="24"/>
      <c r="L163" s="24"/>
      <c r="M163" s="23"/>
      <c r="N163" s="23"/>
      <c r="O163" s="24"/>
      <c r="P163" s="24"/>
      <c r="Q163" s="24"/>
      <c r="R163" s="24"/>
      <c r="S163" s="24"/>
      <c r="T163" s="24"/>
      <c r="U163" s="24"/>
      <c r="V163" s="63"/>
      <c r="W163" s="57"/>
    </row>
    <row r="164" spans="1:23" ht="15.75" customHeight="1">
      <c r="A164" s="49"/>
      <c r="B164" s="39"/>
      <c r="C164" s="39"/>
      <c r="D164" s="8"/>
      <c r="E164" s="21" t="str">
        <f>IFERROR(VLOOKUP(D164,'DATOS ASIGNACIÓN'!B:I,7,0),"")</f>
        <v/>
      </c>
      <c r="F164" s="21" t="str">
        <f>IFERROR(VLOOKUP(D164,'DATOS ASIGNACIÓN'!B:I,6,0),"")</f>
        <v/>
      </c>
      <c r="G164" s="103" t="str">
        <f>IFERROR(VLOOKUP(D164,'DATOS ASIGNACIÓN'!B:I,8,0),"")</f>
        <v/>
      </c>
      <c r="H164" s="22"/>
      <c r="I164" s="22"/>
      <c r="J164" s="24"/>
      <c r="K164" s="24"/>
      <c r="L164" s="24"/>
      <c r="M164" s="23"/>
      <c r="N164" s="23"/>
      <c r="O164" s="24"/>
      <c r="P164" s="24"/>
      <c r="Q164" s="24"/>
      <c r="R164" s="24"/>
      <c r="S164" s="24"/>
      <c r="T164" s="24"/>
      <c r="U164" s="24"/>
      <c r="V164" s="63"/>
      <c r="W164" s="57"/>
    </row>
    <row r="165" spans="1:23" ht="15.75" customHeight="1">
      <c r="A165" s="49"/>
      <c r="B165" s="39"/>
      <c r="C165" s="39"/>
      <c r="D165" s="8"/>
      <c r="E165" s="21" t="str">
        <f>IFERROR(VLOOKUP(D165,'DATOS ASIGNACIÓN'!B:I,7,0),"")</f>
        <v/>
      </c>
      <c r="F165" s="21" t="str">
        <f>IFERROR(VLOOKUP(D165,'DATOS ASIGNACIÓN'!B:I,6,0),"")</f>
        <v/>
      </c>
      <c r="G165" s="103" t="str">
        <f>IFERROR(VLOOKUP(D165,'DATOS ASIGNACIÓN'!B:I,8,0),"")</f>
        <v/>
      </c>
      <c r="H165" s="22"/>
      <c r="I165" s="22"/>
      <c r="J165" s="24"/>
      <c r="K165" s="24"/>
      <c r="L165" s="24"/>
      <c r="M165" s="23"/>
      <c r="N165" s="23"/>
      <c r="O165" s="24"/>
      <c r="P165" s="24"/>
      <c r="Q165" s="24"/>
      <c r="R165" s="24"/>
      <c r="S165" s="24"/>
      <c r="T165" s="24"/>
      <c r="U165" s="24"/>
      <c r="V165" s="63"/>
      <c r="W165" s="57"/>
    </row>
    <row r="166" spans="1:23" ht="15.75" customHeight="1">
      <c r="A166" s="49"/>
      <c r="B166" s="39"/>
      <c r="C166" s="39"/>
      <c r="D166" s="8"/>
      <c r="E166" s="21" t="str">
        <f>IFERROR(VLOOKUP(D166,'DATOS ASIGNACIÓN'!B:I,7,0),"")</f>
        <v/>
      </c>
      <c r="F166" s="21" t="str">
        <f>IFERROR(VLOOKUP(D166,'DATOS ASIGNACIÓN'!B:I,6,0),"")</f>
        <v/>
      </c>
      <c r="G166" s="103" t="str">
        <f>IFERROR(VLOOKUP(D166,'DATOS ASIGNACIÓN'!B:I,8,0),"")</f>
        <v/>
      </c>
      <c r="H166" s="22"/>
      <c r="I166" s="22"/>
      <c r="J166" s="24"/>
      <c r="K166" s="24"/>
      <c r="L166" s="24"/>
      <c r="M166" s="23"/>
      <c r="N166" s="23"/>
      <c r="O166" s="24"/>
      <c r="P166" s="24"/>
      <c r="Q166" s="24"/>
      <c r="R166" s="24"/>
      <c r="S166" s="24"/>
      <c r="T166" s="24"/>
      <c r="U166" s="24"/>
      <c r="V166" s="63"/>
      <c r="W166" s="57"/>
    </row>
    <row r="167" spans="1:23" ht="15.75" customHeight="1">
      <c r="A167" s="49"/>
      <c r="B167" s="39"/>
      <c r="C167" s="39"/>
      <c r="D167" s="8"/>
      <c r="E167" s="21" t="str">
        <f>IFERROR(VLOOKUP(D167,'DATOS ASIGNACIÓN'!B:I,7,0),"")</f>
        <v/>
      </c>
      <c r="F167" s="21" t="str">
        <f>IFERROR(VLOOKUP(D167,'DATOS ASIGNACIÓN'!B:I,6,0),"")</f>
        <v/>
      </c>
      <c r="G167" s="103" t="str">
        <f>IFERROR(VLOOKUP(D167,'DATOS ASIGNACIÓN'!B:I,8,0),"")</f>
        <v/>
      </c>
      <c r="H167" s="22"/>
      <c r="I167" s="22"/>
      <c r="J167" s="24"/>
      <c r="K167" s="24"/>
      <c r="L167" s="24"/>
      <c r="M167" s="23"/>
      <c r="N167" s="23"/>
      <c r="O167" s="24"/>
      <c r="P167" s="24"/>
      <c r="Q167" s="24"/>
      <c r="R167" s="24"/>
      <c r="S167" s="24"/>
      <c r="T167" s="24"/>
      <c r="U167" s="24"/>
      <c r="V167" s="63"/>
      <c r="W167" s="57"/>
    </row>
    <row r="168" spans="1:23" ht="15.75" customHeight="1">
      <c r="A168" s="49"/>
      <c r="B168" s="39"/>
      <c r="C168" s="39"/>
      <c r="D168" s="8"/>
      <c r="E168" s="21" t="str">
        <f>IFERROR(VLOOKUP(D168,'DATOS ASIGNACIÓN'!B:I,7,0),"")</f>
        <v/>
      </c>
      <c r="F168" s="21" t="str">
        <f>IFERROR(VLOOKUP(D168,'DATOS ASIGNACIÓN'!B:I,6,0),"")</f>
        <v/>
      </c>
      <c r="G168" s="103" t="str">
        <f>IFERROR(VLOOKUP(D168,'DATOS ASIGNACIÓN'!B:I,8,0),"")</f>
        <v/>
      </c>
      <c r="H168" s="22"/>
      <c r="I168" s="22"/>
      <c r="J168" s="24"/>
      <c r="K168" s="24"/>
      <c r="L168" s="24"/>
      <c r="M168" s="23"/>
      <c r="N168" s="23"/>
      <c r="O168" s="24"/>
      <c r="P168" s="24"/>
      <c r="Q168" s="24"/>
      <c r="R168" s="24"/>
      <c r="S168" s="24"/>
      <c r="T168" s="24"/>
      <c r="U168" s="24"/>
      <c r="V168" s="63"/>
      <c r="W168" s="57"/>
    </row>
    <row r="169" spans="1:23" ht="15.75" customHeight="1">
      <c r="A169" s="49"/>
      <c r="B169" s="39"/>
      <c r="C169" s="39"/>
      <c r="D169" s="8"/>
      <c r="E169" s="21" t="str">
        <f>IFERROR(VLOOKUP(D169,'DATOS ASIGNACIÓN'!B:I,7,0),"")</f>
        <v/>
      </c>
      <c r="F169" s="21" t="str">
        <f>IFERROR(VLOOKUP(D169,'DATOS ASIGNACIÓN'!B:I,6,0),"")</f>
        <v/>
      </c>
      <c r="G169" s="103" t="str">
        <f>IFERROR(VLOOKUP(D169,'DATOS ASIGNACIÓN'!B:I,8,0),"")</f>
        <v/>
      </c>
      <c r="H169" s="22"/>
      <c r="I169" s="22"/>
      <c r="J169" s="24"/>
      <c r="K169" s="24"/>
      <c r="L169" s="24"/>
      <c r="M169" s="23"/>
      <c r="N169" s="23"/>
      <c r="O169" s="24"/>
      <c r="P169" s="24"/>
      <c r="Q169" s="24"/>
      <c r="R169" s="24"/>
      <c r="S169" s="24"/>
      <c r="T169" s="24"/>
      <c r="U169" s="24"/>
      <c r="V169" s="63"/>
      <c r="W169" s="57"/>
    </row>
    <row r="170" spans="1:23" ht="15.75" customHeight="1">
      <c r="A170" s="49"/>
      <c r="B170" s="39"/>
      <c r="C170" s="39"/>
      <c r="D170" s="8"/>
      <c r="E170" s="21" t="str">
        <f>IFERROR(VLOOKUP(D170,'DATOS ASIGNACIÓN'!B:I,7,0),"")</f>
        <v/>
      </c>
      <c r="F170" s="21" t="str">
        <f>IFERROR(VLOOKUP(D170,'DATOS ASIGNACIÓN'!B:I,6,0),"")</f>
        <v/>
      </c>
      <c r="G170" s="103" t="str">
        <f>IFERROR(VLOOKUP(D170,'DATOS ASIGNACIÓN'!B:I,8,0),"")</f>
        <v/>
      </c>
      <c r="H170" s="22"/>
      <c r="I170" s="22"/>
      <c r="J170" s="24"/>
      <c r="K170" s="24"/>
      <c r="L170" s="24"/>
      <c r="M170" s="23"/>
      <c r="N170" s="23"/>
      <c r="O170" s="24"/>
      <c r="P170" s="24"/>
      <c r="Q170" s="24"/>
      <c r="R170" s="24"/>
      <c r="S170" s="24"/>
      <c r="T170" s="24"/>
      <c r="U170" s="24"/>
      <c r="V170" s="63"/>
      <c r="W170" s="57"/>
    </row>
    <row r="171" spans="1:23" ht="15.75" customHeight="1">
      <c r="A171" s="49"/>
      <c r="B171" s="39"/>
      <c r="C171" s="39"/>
      <c r="D171" s="8"/>
      <c r="E171" s="21" t="str">
        <f>IFERROR(VLOOKUP(D171,'DATOS ASIGNACIÓN'!B:I,7,0),"")</f>
        <v/>
      </c>
      <c r="F171" s="21" t="str">
        <f>IFERROR(VLOOKUP(D171,'DATOS ASIGNACIÓN'!B:I,6,0),"")</f>
        <v/>
      </c>
      <c r="G171" s="103" t="str">
        <f>IFERROR(VLOOKUP(D171,'DATOS ASIGNACIÓN'!B:I,8,0),"")</f>
        <v/>
      </c>
      <c r="H171" s="22"/>
      <c r="I171" s="22"/>
      <c r="J171" s="24"/>
      <c r="K171" s="24"/>
      <c r="L171" s="24"/>
      <c r="M171" s="23"/>
      <c r="N171" s="23"/>
      <c r="O171" s="24"/>
      <c r="P171" s="24"/>
      <c r="Q171" s="24"/>
      <c r="R171" s="24"/>
      <c r="S171" s="24"/>
      <c r="T171" s="24"/>
      <c r="U171" s="24"/>
      <c r="V171" s="63"/>
      <c r="W171" s="57"/>
    </row>
    <row r="172" spans="1:23" ht="15.75" customHeight="1">
      <c r="A172" s="49"/>
      <c r="B172" s="39"/>
      <c r="C172" s="39"/>
      <c r="D172" s="8"/>
      <c r="E172" s="21" t="str">
        <f>IFERROR(VLOOKUP(D172,'DATOS ASIGNACIÓN'!B:I,7,0),"")</f>
        <v/>
      </c>
      <c r="F172" s="21" t="str">
        <f>IFERROR(VLOOKUP(D172,'DATOS ASIGNACIÓN'!B:I,6,0),"")</f>
        <v/>
      </c>
      <c r="G172" s="103" t="str">
        <f>IFERROR(VLOOKUP(D172,'DATOS ASIGNACIÓN'!B:I,8,0),"")</f>
        <v/>
      </c>
      <c r="H172" s="22"/>
      <c r="I172" s="22"/>
      <c r="J172" s="24"/>
      <c r="K172" s="24"/>
      <c r="L172" s="24"/>
      <c r="M172" s="23"/>
      <c r="N172" s="23"/>
      <c r="O172" s="24"/>
      <c r="P172" s="24"/>
      <c r="Q172" s="24"/>
      <c r="R172" s="24"/>
      <c r="S172" s="24"/>
      <c r="T172" s="24"/>
      <c r="U172" s="24"/>
      <c r="V172" s="63"/>
      <c r="W172" s="57"/>
    </row>
    <row r="173" spans="1:23" ht="15.75" customHeight="1">
      <c r="A173" s="49"/>
      <c r="B173" s="39"/>
      <c r="C173" s="39"/>
      <c r="D173" s="8"/>
      <c r="E173" s="21" t="str">
        <f>IFERROR(VLOOKUP(D173,'DATOS ASIGNACIÓN'!B:I,7,0),"")</f>
        <v/>
      </c>
      <c r="F173" s="21" t="str">
        <f>IFERROR(VLOOKUP(D173,'DATOS ASIGNACIÓN'!B:I,6,0),"")</f>
        <v/>
      </c>
      <c r="G173" s="103" t="str">
        <f>IFERROR(VLOOKUP(D173,'DATOS ASIGNACIÓN'!B:I,8,0),"")</f>
        <v/>
      </c>
      <c r="H173" s="22"/>
      <c r="I173" s="22"/>
      <c r="J173" s="24"/>
      <c r="K173" s="24"/>
      <c r="L173" s="24"/>
      <c r="M173" s="23"/>
      <c r="N173" s="23"/>
      <c r="O173" s="24"/>
      <c r="P173" s="24"/>
      <c r="Q173" s="24"/>
      <c r="R173" s="24"/>
      <c r="S173" s="24"/>
      <c r="T173" s="24"/>
      <c r="U173" s="24"/>
      <c r="V173" s="63"/>
      <c r="W173" s="57"/>
    </row>
    <row r="174" spans="1:23" ht="15.75" customHeight="1">
      <c r="A174" s="49"/>
      <c r="B174" s="39"/>
      <c r="C174" s="39"/>
      <c r="D174" s="8"/>
      <c r="E174" s="21" t="str">
        <f>IFERROR(VLOOKUP(D174,'DATOS ASIGNACIÓN'!B:I,7,0),"")</f>
        <v/>
      </c>
      <c r="F174" s="21" t="str">
        <f>IFERROR(VLOOKUP(D174,'DATOS ASIGNACIÓN'!B:I,6,0),"")</f>
        <v/>
      </c>
      <c r="G174" s="103" t="str">
        <f>IFERROR(VLOOKUP(D174,'DATOS ASIGNACIÓN'!B:I,8,0),"")</f>
        <v/>
      </c>
      <c r="H174" s="22"/>
      <c r="I174" s="22"/>
      <c r="J174" s="24"/>
      <c r="K174" s="24"/>
      <c r="L174" s="24"/>
      <c r="M174" s="23"/>
      <c r="N174" s="23"/>
      <c r="O174" s="24"/>
      <c r="P174" s="24"/>
      <c r="Q174" s="24"/>
      <c r="R174" s="24"/>
      <c r="S174" s="24"/>
      <c r="T174" s="24"/>
      <c r="U174" s="24"/>
      <c r="V174" s="63"/>
      <c r="W174" s="57"/>
    </row>
    <row r="175" spans="1:23" ht="15.75" customHeight="1">
      <c r="A175" s="49"/>
      <c r="B175" s="39"/>
      <c r="C175" s="39"/>
      <c r="D175" s="8"/>
      <c r="E175" s="21" t="str">
        <f>IFERROR(VLOOKUP(D175,'DATOS ASIGNACIÓN'!B:I,7,0),"")</f>
        <v/>
      </c>
      <c r="F175" s="21" t="str">
        <f>IFERROR(VLOOKUP(D175,'DATOS ASIGNACIÓN'!B:I,6,0),"")</f>
        <v/>
      </c>
      <c r="G175" s="103" t="str">
        <f>IFERROR(VLOOKUP(D175,'DATOS ASIGNACIÓN'!B:I,8,0),"")</f>
        <v/>
      </c>
      <c r="H175" s="22"/>
      <c r="I175" s="22"/>
      <c r="J175" s="24"/>
      <c r="K175" s="24"/>
      <c r="L175" s="24"/>
      <c r="M175" s="23"/>
      <c r="N175" s="23"/>
      <c r="O175" s="24"/>
      <c r="P175" s="24"/>
      <c r="Q175" s="24"/>
      <c r="R175" s="24"/>
      <c r="S175" s="24"/>
      <c r="T175" s="24"/>
      <c r="U175" s="24"/>
      <c r="V175" s="63"/>
      <c r="W175" s="57"/>
    </row>
    <row r="176" spans="1:23" ht="15.75" customHeight="1">
      <c r="A176" s="49"/>
      <c r="B176" s="39"/>
      <c r="C176" s="39"/>
      <c r="D176" s="8"/>
      <c r="E176" s="21" t="str">
        <f>IFERROR(VLOOKUP(D176,'DATOS ASIGNACIÓN'!B:I,7,0),"")</f>
        <v/>
      </c>
      <c r="F176" s="21" t="str">
        <f>IFERROR(VLOOKUP(D176,'DATOS ASIGNACIÓN'!B:I,6,0),"")</f>
        <v/>
      </c>
      <c r="G176" s="103" t="str">
        <f>IFERROR(VLOOKUP(D176,'DATOS ASIGNACIÓN'!B:I,8,0),"")</f>
        <v/>
      </c>
      <c r="H176" s="22"/>
      <c r="I176" s="22"/>
      <c r="J176" s="24"/>
      <c r="K176" s="24"/>
      <c r="L176" s="24"/>
      <c r="M176" s="23"/>
      <c r="N176" s="23"/>
      <c r="O176" s="24"/>
      <c r="P176" s="24"/>
      <c r="Q176" s="24"/>
      <c r="R176" s="24"/>
      <c r="S176" s="24"/>
      <c r="T176" s="24"/>
      <c r="U176" s="24"/>
      <c r="V176" s="63"/>
      <c r="W176" s="57"/>
    </row>
    <row r="177" spans="1:23" ht="15.75" customHeight="1">
      <c r="A177" s="49"/>
      <c r="B177" s="39"/>
      <c r="C177" s="39"/>
      <c r="D177" s="8"/>
      <c r="E177" s="21" t="str">
        <f>IFERROR(VLOOKUP(D177,'DATOS ASIGNACIÓN'!B:I,7,0),"")</f>
        <v/>
      </c>
      <c r="F177" s="21" t="str">
        <f>IFERROR(VLOOKUP(D177,'DATOS ASIGNACIÓN'!B:I,6,0),"")</f>
        <v/>
      </c>
      <c r="G177" s="103" t="str">
        <f>IFERROR(VLOOKUP(D177,'DATOS ASIGNACIÓN'!B:I,8,0),"")</f>
        <v/>
      </c>
      <c r="H177" s="22"/>
      <c r="I177" s="22"/>
      <c r="J177" s="24"/>
      <c r="K177" s="24"/>
      <c r="L177" s="24"/>
      <c r="M177" s="23"/>
      <c r="N177" s="23"/>
      <c r="O177" s="24"/>
      <c r="P177" s="24"/>
      <c r="Q177" s="24"/>
      <c r="R177" s="24"/>
      <c r="S177" s="24"/>
      <c r="T177" s="24"/>
      <c r="U177" s="24"/>
      <c r="V177" s="63"/>
      <c r="W177" s="57"/>
    </row>
    <row r="178" spans="1:23" ht="15.75" customHeight="1">
      <c r="A178" s="49"/>
      <c r="B178" s="39"/>
      <c r="C178" s="39"/>
      <c r="D178" s="8"/>
      <c r="E178" s="21" t="str">
        <f>IFERROR(VLOOKUP(D178,'DATOS ASIGNACIÓN'!B:I,7,0),"")</f>
        <v/>
      </c>
      <c r="F178" s="21" t="str">
        <f>IFERROR(VLOOKUP(D178,'DATOS ASIGNACIÓN'!B:I,6,0),"")</f>
        <v/>
      </c>
      <c r="G178" s="103" t="str">
        <f>IFERROR(VLOOKUP(D178,'DATOS ASIGNACIÓN'!B:I,8,0),"")</f>
        <v/>
      </c>
      <c r="H178" s="22"/>
      <c r="I178" s="22"/>
      <c r="J178" s="24"/>
      <c r="K178" s="24"/>
      <c r="L178" s="24"/>
      <c r="M178" s="23"/>
      <c r="N178" s="23"/>
      <c r="O178" s="24"/>
      <c r="P178" s="24"/>
      <c r="Q178" s="24"/>
      <c r="R178" s="24"/>
      <c r="S178" s="24"/>
      <c r="T178" s="24"/>
      <c r="U178" s="24"/>
      <c r="V178" s="63"/>
      <c r="W178" s="57"/>
    </row>
    <row r="179" spans="1:23" ht="15.75" customHeight="1">
      <c r="A179" s="49"/>
      <c r="B179" s="39"/>
      <c r="C179" s="39"/>
      <c r="D179" s="8"/>
      <c r="E179" s="21" t="str">
        <f>IFERROR(VLOOKUP(D179,'DATOS ASIGNACIÓN'!B:I,7,0),"")</f>
        <v/>
      </c>
      <c r="F179" s="21" t="str">
        <f>IFERROR(VLOOKUP(D179,'DATOS ASIGNACIÓN'!B:I,6,0),"")</f>
        <v/>
      </c>
      <c r="G179" s="103" t="str">
        <f>IFERROR(VLOOKUP(D179,'DATOS ASIGNACIÓN'!B:I,8,0),"")</f>
        <v/>
      </c>
      <c r="H179" s="22"/>
      <c r="I179" s="22"/>
      <c r="J179" s="24"/>
      <c r="K179" s="24"/>
      <c r="L179" s="24"/>
      <c r="M179" s="23"/>
      <c r="N179" s="23"/>
      <c r="O179" s="24"/>
      <c r="P179" s="24"/>
      <c r="Q179" s="24"/>
      <c r="R179" s="24"/>
      <c r="S179" s="24"/>
      <c r="T179" s="24"/>
      <c r="U179" s="24"/>
      <c r="V179" s="63"/>
      <c r="W179" s="57"/>
    </row>
    <row r="180" spans="1:23" ht="15.75" customHeight="1">
      <c r="A180" s="49"/>
      <c r="B180" s="39"/>
      <c r="C180" s="39"/>
      <c r="D180" s="8"/>
      <c r="E180" s="21" t="str">
        <f>IFERROR(VLOOKUP(D180,'DATOS ASIGNACIÓN'!B:I,7,0),"")</f>
        <v/>
      </c>
      <c r="F180" s="21" t="str">
        <f>IFERROR(VLOOKUP(D180,'DATOS ASIGNACIÓN'!B:I,6,0),"")</f>
        <v/>
      </c>
      <c r="G180" s="103" t="str">
        <f>IFERROR(VLOOKUP(D180,'DATOS ASIGNACIÓN'!B:I,8,0),"")</f>
        <v/>
      </c>
      <c r="H180" s="22"/>
      <c r="I180" s="22"/>
      <c r="J180" s="24"/>
      <c r="K180" s="24"/>
      <c r="L180" s="24"/>
      <c r="M180" s="23"/>
      <c r="N180" s="23"/>
      <c r="O180" s="24"/>
      <c r="P180" s="24"/>
      <c r="Q180" s="24"/>
      <c r="R180" s="24"/>
      <c r="S180" s="24"/>
      <c r="T180" s="24"/>
      <c r="U180" s="24"/>
      <c r="V180" s="63"/>
      <c r="W180" s="57"/>
    </row>
    <row r="181" spans="1:23" ht="15.75" customHeight="1">
      <c r="A181" s="49"/>
      <c r="B181" s="39"/>
      <c r="C181" s="39"/>
      <c r="D181" s="8"/>
      <c r="E181" s="21" t="str">
        <f>IFERROR(VLOOKUP(D181,'DATOS ASIGNACIÓN'!B:I,7,0),"")</f>
        <v/>
      </c>
      <c r="F181" s="21" t="str">
        <f>IFERROR(VLOOKUP(D181,'DATOS ASIGNACIÓN'!B:I,6,0),"")</f>
        <v/>
      </c>
      <c r="G181" s="103" t="str">
        <f>IFERROR(VLOOKUP(D181,'DATOS ASIGNACIÓN'!B:I,8,0),"")</f>
        <v/>
      </c>
      <c r="H181" s="22"/>
      <c r="I181" s="22"/>
      <c r="J181" s="24"/>
      <c r="K181" s="24"/>
      <c r="L181" s="24"/>
      <c r="M181" s="23"/>
      <c r="N181" s="23"/>
      <c r="O181" s="24"/>
      <c r="P181" s="24"/>
      <c r="Q181" s="24"/>
      <c r="R181" s="24"/>
      <c r="S181" s="24"/>
      <c r="T181" s="24"/>
      <c r="U181" s="24"/>
      <c r="V181" s="63"/>
      <c r="W181" s="57"/>
    </row>
    <row r="182" spans="1:23" ht="15.75" customHeight="1">
      <c r="A182" s="49"/>
      <c r="B182" s="39"/>
      <c r="C182" s="39"/>
      <c r="D182" s="8"/>
      <c r="E182" s="21" t="str">
        <f>IFERROR(VLOOKUP(D182,'DATOS ASIGNACIÓN'!B:I,7,0),"")</f>
        <v/>
      </c>
      <c r="F182" s="21" t="str">
        <f>IFERROR(VLOOKUP(D182,'DATOS ASIGNACIÓN'!B:I,6,0),"")</f>
        <v/>
      </c>
      <c r="G182" s="103" t="str">
        <f>IFERROR(VLOOKUP(D182,'DATOS ASIGNACIÓN'!B:I,8,0),"")</f>
        <v/>
      </c>
      <c r="H182" s="22"/>
      <c r="I182" s="22"/>
      <c r="J182" s="24"/>
      <c r="K182" s="24"/>
      <c r="L182" s="24"/>
      <c r="M182" s="23"/>
      <c r="N182" s="23"/>
      <c r="O182" s="24"/>
      <c r="P182" s="24"/>
      <c r="Q182" s="24"/>
      <c r="R182" s="24"/>
      <c r="S182" s="24"/>
      <c r="T182" s="24"/>
      <c r="U182" s="24"/>
      <c r="V182" s="63"/>
      <c r="W182" s="57"/>
    </row>
    <row r="183" spans="1:23" ht="15.75" customHeight="1">
      <c r="A183" s="49"/>
      <c r="B183" s="39"/>
      <c r="C183" s="39"/>
      <c r="D183" s="8"/>
      <c r="E183" s="21" t="str">
        <f>IFERROR(VLOOKUP(D183,'DATOS ASIGNACIÓN'!B:I,7,0),"")</f>
        <v/>
      </c>
      <c r="F183" s="21" t="str">
        <f>IFERROR(VLOOKUP(D183,'DATOS ASIGNACIÓN'!B:I,6,0),"")</f>
        <v/>
      </c>
      <c r="G183" s="103" t="str">
        <f>IFERROR(VLOOKUP(D183,'DATOS ASIGNACIÓN'!B:I,8,0),"")</f>
        <v/>
      </c>
      <c r="H183" s="22"/>
      <c r="I183" s="22"/>
      <c r="J183" s="24"/>
      <c r="K183" s="24"/>
      <c r="L183" s="24"/>
      <c r="M183" s="23"/>
      <c r="N183" s="23"/>
      <c r="O183" s="24"/>
      <c r="P183" s="24"/>
      <c r="Q183" s="24"/>
      <c r="R183" s="24"/>
      <c r="S183" s="24"/>
      <c r="T183" s="24"/>
      <c r="U183" s="24"/>
      <c r="V183" s="63"/>
      <c r="W183" s="57"/>
    </row>
    <row r="184" spans="1:23" ht="15.75" customHeight="1">
      <c r="A184" s="49"/>
      <c r="B184" s="39"/>
      <c r="C184" s="39"/>
      <c r="D184" s="8"/>
      <c r="E184" s="21" t="str">
        <f>IFERROR(VLOOKUP(D184,'DATOS ASIGNACIÓN'!B:I,7,0),"")</f>
        <v/>
      </c>
      <c r="F184" s="21" t="str">
        <f>IFERROR(VLOOKUP(D184,'DATOS ASIGNACIÓN'!B:I,6,0),"")</f>
        <v/>
      </c>
      <c r="G184" s="103" t="str">
        <f>IFERROR(VLOOKUP(D184,'DATOS ASIGNACIÓN'!B:I,8,0),"")</f>
        <v/>
      </c>
      <c r="H184" s="22"/>
      <c r="I184" s="22"/>
      <c r="J184" s="24"/>
      <c r="K184" s="24"/>
      <c r="L184" s="24"/>
      <c r="M184" s="23"/>
      <c r="N184" s="23"/>
      <c r="O184" s="24"/>
      <c r="P184" s="24"/>
      <c r="Q184" s="24"/>
      <c r="R184" s="24"/>
      <c r="S184" s="24"/>
      <c r="T184" s="24"/>
      <c r="U184" s="24"/>
      <c r="V184" s="63"/>
      <c r="W184" s="57"/>
    </row>
    <row r="185" spans="1:23" ht="15.75" customHeight="1">
      <c r="A185" s="49"/>
      <c r="B185" s="39"/>
      <c r="C185" s="39"/>
      <c r="D185" s="8"/>
      <c r="E185" s="21" t="str">
        <f>IFERROR(VLOOKUP(D185,'DATOS ASIGNACIÓN'!B:I,7,0),"")</f>
        <v/>
      </c>
      <c r="F185" s="21" t="str">
        <f>IFERROR(VLOOKUP(D185,'DATOS ASIGNACIÓN'!B:I,6,0),"")</f>
        <v/>
      </c>
      <c r="G185" s="103" t="str">
        <f>IFERROR(VLOOKUP(D185,'DATOS ASIGNACIÓN'!B:I,8,0),"")</f>
        <v/>
      </c>
      <c r="H185" s="22"/>
      <c r="I185" s="22"/>
      <c r="J185" s="24"/>
      <c r="K185" s="24"/>
      <c r="L185" s="24"/>
      <c r="M185" s="23"/>
      <c r="N185" s="23"/>
      <c r="O185" s="24"/>
      <c r="P185" s="24"/>
      <c r="Q185" s="24"/>
      <c r="R185" s="24"/>
      <c r="S185" s="24"/>
      <c r="T185" s="24"/>
      <c r="U185" s="24"/>
      <c r="V185" s="63"/>
      <c r="W185" s="57"/>
    </row>
    <row r="186" spans="1:23" ht="15.75" customHeight="1">
      <c r="A186" s="49"/>
      <c r="B186" s="39"/>
      <c r="C186" s="39"/>
      <c r="D186" s="8"/>
      <c r="E186" s="21" t="str">
        <f>IFERROR(VLOOKUP(D186,'DATOS ASIGNACIÓN'!B:I,7,0),"")</f>
        <v/>
      </c>
      <c r="F186" s="21" t="str">
        <f>IFERROR(VLOOKUP(D186,'DATOS ASIGNACIÓN'!B:I,6,0),"")</f>
        <v/>
      </c>
      <c r="G186" s="103" t="str">
        <f>IFERROR(VLOOKUP(D186,'DATOS ASIGNACIÓN'!B:I,8,0),"")</f>
        <v/>
      </c>
      <c r="H186" s="22"/>
      <c r="I186" s="22"/>
      <c r="J186" s="24"/>
      <c r="K186" s="24"/>
      <c r="L186" s="24"/>
      <c r="M186" s="23"/>
      <c r="N186" s="23"/>
      <c r="O186" s="24"/>
      <c r="P186" s="24"/>
      <c r="Q186" s="24"/>
      <c r="R186" s="24"/>
      <c r="S186" s="24"/>
      <c r="T186" s="24"/>
      <c r="U186" s="24"/>
      <c r="V186" s="63"/>
      <c r="W186" s="57"/>
    </row>
    <row r="187" spans="1:23" ht="15.75" customHeight="1">
      <c r="A187" s="49"/>
      <c r="B187" s="39"/>
      <c r="C187" s="39"/>
      <c r="D187" s="8"/>
      <c r="E187" s="21" t="str">
        <f>IFERROR(VLOOKUP(D187,'DATOS ASIGNACIÓN'!B:I,7,0),"")</f>
        <v/>
      </c>
      <c r="F187" s="21" t="str">
        <f>IFERROR(VLOOKUP(D187,'DATOS ASIGNACIÓN'!B:I,6,0),"")</f>
        <v/>
      </c>
      <c r="G187" s="103" t="str">
        <f>IFERROR(VLOOKUP(D187,'DATOS ASIGNACIÓN'!B:I,8,0),"")</f>
        <v/>
      </c>
      <c r="H187" s="22"/>
      <c r="I187" s="22"/>
      <c r="J187" s="24"/>
      <c r="K187" s="24"/>
      <c r="L187" s="24"/>
      <c r="M187" s="23"/>
      <c r="N187" s="23"/>
      <c r="O187" s="24"/>
      <c r="P187" s="24"/>
      <c r="Q187" s="24"/>
      <c r="R187" s="24"/>
      <c r="S187" s="24"/>
      <c r="T187" s="24"/>
      <c r="U187" s="24"/>
      <c r="V187" s="63"/>
      <c r="W187" s="57"/>
    </row>
    <row r="188" spans="1:23" ht="15.75" customHeight="1">
      <c r="A188" s="49"/>
      <c r="B188" s="39"/>
      <c r="C188" s="39"/>
      <c r="D188" s="8"/>
      <c r="E188" s="21" t="str">
        <f>IFERROR(VLOOKUP(D188,'DATOS ASIGNACIÓN'!B:I,7,0),"")</f>
        <v/>
      </c>
      <c r="F188" s="21" t="str">
        <f>IFERROR(VLOOKUP(D188,'DATOS ASIGNACIÓN'!B:I,6,0),"")</f>
        <v/>
      </c>
      <c r="G188" s="103" t="str">
        <f>IFERROR(VLOOKUP(D188,'DATOS ASIGNACIÓN'!B:I,8,0),"")</f>
        <v/>
      </c>
      <c r="H188" s="22"/>
      <c r="I188" s="22"/>
      <c r="J188" s="24"/>
      <c r="K188" s="24"/>
      <c r="L188" s="24"/>
      <c r="M188" s="23"/>
      <c r="N188" s="23"/>
      <c r="O188" s="24"/>
      <c r="P188" s="24"/>
      <c r="Q188" s="24"/>
      <c r="R188" s="24"/>
      <c r="S188" s="24"/>
      <c r="T188" s="24"/>
      <c r="U188" s="24"/>
      <c r="V188" s="63"/>
      <c r="W188" s="57"/>
    </row>
    <row r="189" spans="1:23" ht="15.75" customHeight="1">
      <c r="A189" s="49"/>
      <c r="B189" s="39"/>
      <c r="C189" s="39"/>
      <c r="D189" s="8"/>
      <c r="E189" s="21" t="str">
        <f>IFERROR(VLOOKUP(D189,'DATOS ASIGNACIÓN'!B:I,7,0),"")</f>
        <v/>
      </c>
      <c r="F189" s="21" t="str">
        <f>IFERROR(VLOOKUP(D189,'DATOS ASIGNACIÓN'!B:I,6,0),"")</f>
        <v/>
      </c>
      <c r="G189" s="103" t="str">
        <f>IFERROR(VLOOKUP(D189,'DATOS ASIGNACIÓN'!B:I,8,0),"")</f>
        <v/>
      </c>
      <c r="H189" s="22"/>
      <c r="I189" s="22"/>
      <c r="J189" s="24"/>
      <c r="K189" s="24"/>
      <c r="L189" s="24"/>
      <c r="M189" s="23"/>
      <c r="N189" s="23"/>
      <c r="O189" s="24"/>
      <c r="P189" s="24"/>
      <c r="Q189" s="24"/>
      <c r="R189" s="24"/>
      <c r="S189" s="24"/>
      <c r="T189" s="24"/>
      <c r="U189" s="24"/>
      <c r="V189" s="63"/>
      <c r="W189" s="57"/>
    </row>
    <row r="190" spans="1:23" ht="15.75" customHeight="1">
      <c r="A190" s="49"/>
      <c r="B190" s="39"/>
      <c r="C190" s="39"/>
      <c r="D190" s="8"/>
      <c r="E190" s="21" t="str">
        <f>IFERROR(VLOOKUP(D190,'DATOS ASIGNACIÓN'!B:I,7,0),"")</f>
        <v/>
      </c>
      <c r="F190" s="21" t="str">
        <f>IFERROR(VLOOKUP(D190,'DATOS ASIGNACIÓN'!B:I,6,0),"")</f>
        <v/>
      </c>
      <c r="G190" s="103" t="str">
        <f>IFERROR(VLOOKUP(D190,'DATOS ASIGNACIÓN'!B:I,8,0),"")</f>
        <v/>
      </c>
      <c r="H190" s="22"/>
      <c r="I190" s="22"/>
      <c r="J190" s="24"/>
      <c r="K190" s="24"/>
      <c r="L190" s="24"/>
      <c r="M190" s="23"/>
      <c r="N190" s="23"/>
      <c r="O190" s="24"/>
      <c r="P190" s="24"/>
      <c r="Q190" s="24"/>
      <c r="R190" s="24"/>
      <c r="S190" s="24"/>
      <c r="T190" s="24"/>
      <c r="U190" s="24"/>
      <c r="V190" s="63"/>
      <c r="W190" s="57"/>
    </row>
    <row r="191" spans="1:23" ht="15.75" customHeight="1">
      <c r="A191" s="49"/>
      <c r="B191" s="39"/>
      <c r="C191" s="39"/>
      <c r="D191" s="8"/>
      <c r="E191" s="21" t="str">
        <f>IFERROR(VLOOKUP(D191,'DATOS ASIGNACIÓN'!B:I,7,0),"")</f>
        <v/>
      </c>
      <c r="F191" s="21" t="str">
        <f>IFERROR(VLOOKUP(D191,'DATOS ASIGNACIÓN'!B:I,6,0),"")</f>
        <v/>
      </c>
      <c r="G191" s="103" t="str">
        <f>IFERROR(VLOOKUP(D191,'DATOS ASIGNACIÓN'!B:I,8,0),"")</f>
        <v/>
      </c>
      <c r="H191" s="22"/>
      <c r="I191" s="22"/>
      <c r="J191" s="24"/>
      <c r="K191" s="24"/>
      <c r="L191" s="24"/>
      <c r="M191" s="23"/>
      <c r="N191" s="23"/>
      <c r="O191" s="24"/>
      <c r="P191" s="24"/>
      <c r="Q191" s="24"/>
      <c r="R191" s="24"/>
      <c r="S191" s="24"/>
      <c r="T191" s="24"/>
      <c r="U191" s="24"/>
      <c r="V191" s="63"/>
      <c r="W191" s="57"/>
    </row>
    <row r="192" spans="1:23" ht="15.75" customHeight="1">
      <c r="A192" s="49"/>
      <c r="B192" s="39"/>
      <c r="C192" s="39"/>
      <c r="D192" s="8"/>
      <c r="E192" s="21" t="str">
        <f>IFERROR(VLOOKUP(D192,'DATOS ASIGNACIÓN'!B:I,7,0),"")</f>
        <v/>
      </c>
      <c r="F192" s="21" t="str">
        <f>IFERROR(VLOOKUP(D192,'DATOS ASIGNACIÓN'!B:I,6,0),"")</f>
        <v/>
      </c>
      <c r="G192" s="103" t="str">
        <f>IFERROR(VLOOKUP(D192,'DATOS ASIGNACIÓN'!B:I,8,0),"")</f>
        <v/>
      </c>
      <c r="H192" s="22"/>
      <c r="I192" s="22"/>
      <c r="J192" s="24"/>
      <c r="K192" s="24"/>
      <c r="L192" s="24"/>
      <c r="M192" s="25"/>
      <c r="N192" s="11"/>
      <c r="O192" s="24"/>
      <c r="P192" s="24"/>
      <c r="Q192" s="24"/>
      <c r="R192" s="24"/>
      <c r="S192" s="24"/>
      <c r="T192" s="24"/>
      <c r="U192" s="24"/>
      <c r="V192" s="63"/>
      <c r="W192" s="57"/>
    </row>
    <row r="193" spans="1:30" ht="15.75" customHeight="1">
      <c r="A193" s="49"/>
      <c r="B193" s="39"/>
      <c r="C193" s="39"/>
      <c r="D193" s="8"/>
      <c r="E193" s="21" t="str">
        <f>IFERROR(VLOOKUP(D193,'DATOS ASIGNACIÓN'!B:I,7,0),"")</f>
        <v/>
      </c>
      <c r="F193" s="21" t="str">
        <f>IFERROR(VLOOKUP(D193,'DATOS ASIGNACIÓN'!B:I,6,0),"")</f>
        <v/>
      </c>
      <c r="G193" s="103" t="str">
        <f>IFERROR(VLOOKUP(D193,'DATOS ASIGNACIÓN'!B:I,8,0),"")</f>
        <v/>
      </c>
      <c r="H193" s="22"/>
      <c r="I193" s="22"/>
      <c r="J193" s="24"/>
      <c r="K193" s="24"/>
      <c r="L193" s="24"/>
      <c r="M193" s="23"/>
      <c r="N193" s="23"/>
      <c r="O193" s="24"/>
      <c r="P193" s="24"/>
      <c r="Q193" s="24"/>
      <c r="R193" s="24"/>
      <c r="S193" s="24"/>
      <c r="T193" s="24"/>
      <c r="U193" s="24"/>
      <c r="V193" s="63"/>
      <c r="W193" s="57"/>
    </row>
    <row r="194" spans="1:30" ht="15.75" customHeight="1">
      <c r="A194" s="49"/>
      <c r="B194" s="39"/>
      <c r="C194" s="39"/>
      <c r="D194" s="8"/>
      <c r="E194" s="21" t="str">
        <f>IFERROR(VLOOKUP(D194,'DATOS ASIGNACIÓN'!B:I,7,0),"")</f>
        <v/>
      </c>
      <c r="F194" s="21" t="str">
        <f>IFERROR(VLOOKUP(D194,'DATOS ASIGNACIÓN'!B:I,6,0),"")</f>
        <v/>
      </c>
      <c r="G194" s="103" t="str">
        <f>IFERROR(VLOOKUP(D194,'DATOS ASIGNACIÓN'!B:I,8,0),"")</f>
        <v/>
      </c>
      <c r="H194" s="22"/>
      <c r="I194" s="22"/>
      <c r="J194" s="24"/>
      <c r="K194" s="24"/>
      <c r="L194" s="24"/>
      <c r="M194" s="23"/>
      <c r="N194" s="23"/>
      <c r="O194" s="24"/>
      <c r="P194" s="24"/>
      <c r="Q194" s="24"/>
      <c r="R194" s="24"/>
      <c r="S194" s="24"/>
      <c r="T194" s="24"/>
      <c r="U194" s="24"/>
      <c r="V194" s="63"/>
      <c r="W194" s="57"/>
    </row>
    <row r="195" spans="1:30" ht="15.75" customHeight="1">
      <c r="A195" s="49"/>
      <c r="B195" s="39"/>
      <c r="C195" s="39"/>
      <c r="D195" s="8"/>
      <c r="E195" s="21" t="str">
        <f>IFERROR(VLOOKUP(D195,'DATOS ASIGNACIÓN'!B:I,7,0),"")</f>
        <v/>
      </c>
      <c r="F195" s="21" t="str">
        <f>IFERROR(VLOOKUP(D195,'DATOS ASIGNACIÓN'!B:I,6,0),"")</f>
        <v/>
      </c>
      <c r="G195" s="103" t="str">
        <f>IFERROR(VLOOKUP(D195,'DATOS ASIGNACIÓN'!B:I,8,0),"")</f>
        <v/>
      </c>
      <c r="H195" s="22"/>
      <c r="I195" s="22"/>
      <c r="J195" s="24"/>
      <c r="K195" s="24"/>
      <c r="L195" s="24"/>
      <c r="M195" s="23"/>
      <c r="N195" s="23"/>
      <c r="O195" s="24"/>
      <c r="P195" s="24"/>
      <c r="Q195" s="24"/>
      <c r="R195" s="24"/>
      <c r="S195" s="24"/>
      <c r="T195" s="24"/>
      <c r="U195" s="24"/>
      <c r="V195" s="63"/>
      <c r="W195" s="57"/>
    </row>
    <row r="196" spans="1:30" ht="15.75" customHeight="1">
      <c r="A196" s="49"/>
      <c r="B196" s="39"/>
      <c r="C196" s="39"/>
      <c r="D196" s="8"/>
      <c r="E196" s="21" t="str">
        <f>IFERROR(VLOOKUP(D196,'DATOS ASIGNACIÓN'!B:I,7,0),"")</f>
        <v/>
      </c>
      <c r="F196" s="21" t="str">
        <f>IFERROR(VLOOKUP(D196,'DATOS ASIGNACIÓN'!B:I,6,0),"")</f>
        <v/>
      </c>
      <c r="G196" s="103" t="str">
        <f>IFERROR(VLOOKUP(D196,'DATOS ASIGNACIÓN'!B:I,8,0),"")</f>
        <v/>
      </c>
      <c r="H196" s="22"/>
      <c r="I196" s="22"/>
      <c r="J196" s="24"/>
      <c r="K196" s="24"/>
      <c r="L196" s="24"/>
      <c r="M196" s="23"/>
      <c r="N196" s="23"/>
      <c r="O196" s="24"/>
      <c r="P196" s="24"/>
      <c r="Q196" s="24"/>
      <c r="R196" s="24"/>
      <c r="S196" s="24"/>
      <c r="T196" s="24"/>
      <c r="U196" s="24"/>
      <c r="V196" s="63"/>
      <c r="W196" s="57"/>
    </row>
    <row r="197" spans="1:30" ht="15.75" customHeight="1">
      <c r="A197" s="49"/>
      <c r="B197" s="39"/>
      <c r="C197" s="39"/>
      <c r="D197" s="8"/>
      <c r="E197" s="21" t="str">
        <f>IFERROR(VLOOKUP(D197,'DATOS ASIGNACIÓN'!B:I,7,0),"")</f>
        <v/>
      </c>
      <c r="F197" s="21" t="str">
        <f>IFERROR(VLOOKUP(D197,'DATOS ASIGNACIÓN'!B:I,6,0),"")</f>
        <v/>
      </c>
      <c r="G197" s="103" t="str">
        <f>IFERROR(VLOOKUP(D197,'DATOS ASIGNACIÓN'!B:I,8,0),"")</f>
        <v/>
      </c>
      <c r="H197" s="22"/>
      <c r="I197" s="22"/>
      <c r="J197" s="24"/>
      <c r="K197" s="24"/>
      <c r="L197" s="24"/>
      <c r="M197" s="23"/>
      <c r="N197" s="23"/>
      <c r="O197" s="24"/>
      <c r="P197" s="24"/>
      <c r="Q197" s="24"/>
      <c r="R197" s="24"/>
      <c r="S197" s="24"/>
      <c r="T197" s="24"/>
      <c r="U197" s="24"/>
      <c r="V197" s="63"/>
      <c r="W197" s="57"/>
    </row>
    <row r="198" spans="1:30" ht="15.75" customHeight="1">
      <c r="A198" s="49"/>
      <c r="B198" s="39"/>
      <c r="C198" s="39"/>
      <c r="D198" s="8"/>
      <c r="E198" s="21" t="str">
        <f>IFERROR(VLOOKUP(D198,'DATOS ASIGNACIÓN'!B:I,7,0),"")</f>
        <v/>
      </c>
      <c r="F198" s="21" t="str">
        <f>IFERROR(VLOOKUP(D198,'DATOS ASIGNACIÓN'!B:I,6,0),"")</f>
        <v/>
      </c>
      <c r="G198" s="103" t="str">
        <f>IFERROR(VLOOKUP(D198,'DATOS ASIGNACIÓN'!B:I,8,0),"")</f>
        <v/>
      </c>
      <c r="H198" s="22"/>
      <c r="I198" s="22"/>
      <c r="J198" s="24"/>
      <c r="K198" s="24"/>
      <c r="L198" s="24"/>
      <c r="M198" s="23"/>
      <c r="N198" s="23"/>
      <c r="O198" s="24"/>
      <c r="P198" s="24"/>
      <c r="Q198" s="24"/>
      <c r="R198" s="24"/>
      <c r="S198" s="24"/>
      <c r="T198" s="24"/>
      <c r="U198" s="24"/>
      <c r="V198" s="63"/>
      <c r="W198" s="57"/>
    </row>
    <row r="199" spans="1:30" ht="15.75" customHeight="1">
      <c r="A199" s="49"/>
      <c r="B199" s="39"/>
      <c r="C199" s="39"/>
      <c r="D199" s="8"/>
      <c r="E199" s="21" t="str">
        <f>IFERROR(VLOOKUP(D199,'DATOS ASIGNACIÓN'!B:I,7,0),"")</f>
        <v/>
      </c>
      <c r="F199" s="21" t="str">
        <f>IFERROR(VLOOKUP(D199,'DATOS ASIGNACIÓN'!B:I,6,0),"")</f>
        <v/>
      </c>
      <c r="G199" s="103" t="str">
        <f>IFERROR(VLOOKUP(D199,'DATOS ASIGNACIÓN'!B:I,8,0),"")</f>
        <v/>
      </c>
      <c r="H199" s="22"/>
      <c r="I199" s="22"/>
      <c r="J199" s="24"/>
      <c r="K199" s="24"/>
      <c r="L199" s="24"/>
      <c r="M199" s="23"/>
      <c r="N199" s="23"/>
      <c r="O199" s="24"/>
      <c r="P199" s="24"/>
      <c r="Q199" s="24"/>
      <c r="R199" s="24"/>
      <c r="S199" s="24"/>
      <c r="T199" s="24"/>
      <c r="U199" s="24"/>
      <c r="V199" s="63"/>
      <c r="W199" s="57"/>
    </row>
    <row r="200" spans="1:30" ht="15.75" customHeight="1">
      <c r="A200" s="49"/>
      <c r="B200" s="39"/>
      <c r="C200" s="39"/>
      <c r="D200" s="8"/>
      <c r="E200" s="21" t="str">
        <f>IFERROR(VLOOKUP(D200,'DATOS ASIGNACIÓN'!B:I,7,0),"")</f>
        <v/>
      </c>
      <c r="F200" s="21" t="str">
        <f>IFERROR(VLOOKUP(D200,'DATOS ASIGNACIÓN'!B:I,6,0),"")</f>
        <v/>
      </c>
      <c r="G200" s="103" t="str">
        <f>IFERROR(VLOOKUP(D200,'DATOS ASIGNACIÓN'!B:I,8,0),"")</f>
        <v/>
      </c>
      <c r="H200" s="22"/>
      <c r="I200" s="22"/>
      <c r="J200" s="24"/>
      <c r="K200" s="24"/>
      <c r="L200" s="24"/>
      <c r="M200" s="23"/>
      <c r="N200" s="23"/>
      <c r="O200" s="24"/>
      <c r="P200" s="24"/>
      <c r="Q200" s="24"/>
      <c r="R200" s="24"/>
      <c r="S200" s="24"/>
      <c r="T200" s="24"/>
      <c r="U200" s="24"/>
      <c r="V200" s="63"/>
      <c r="W200" s="57"/>
    </row>
    <row r="201" spans="1:30" ht="15.75" customHeight="1">
      <c r="A201" s="49"/>
      <c r="B201" s="39"/>
      <c r="C201" s="39"/>
      <c r="D201" s="8"/>
      <c r="E201" s="21" t="str">
        <f>IFERROR(VLOOKUP(D201,'DATOS ASIGNACIÓN'!B:I,7,0),"")</f>
        <v/>
      </c>
      <c r="F201" s="21" t="str">
        <f>IFERROR(VLOOKUP(D201,'DATOS ASIGNACIÓN'!B:I,6,0),"")</f>
        <v/>
      </c>
      <c r="G201" s="103" t="str">
        <f>IFERROR(VLOOKUP(D201,'DATOS ASIGNACIÓN'!B:I,8,0),"")</f>
        <v/>
      </c>
      <c r="H201" s="22"/>
      <c r="I201" s="22"/>
      <c r="J201" s="24"/>
      <c r="K201" s="24"/>
      <c r="L201" s="24"/>
      <c r="M201" s="23"/>
      <c r="N201" s="23"/>
      <c r="O201" s="24"/>
      <c r="P201" s="24"/>
      <c r="Q201" s="24"/>
      <c r="R201" s="24"/>
      <c r="S201" s="24"/>
      <c r="T201" s="24"/>
      <c r="U201" s="24"/>
      <c r="V201" s="63"/>
      <c r="W201" s="57"/>
    </row>
    <row r="202" spans="1:30" ht="15.75" customHeight="1">
      <c r="A202" s="49"/>
      <c r="B202" s="39"/>
      <c r="C202" s="39"/>
      <c r="D202" s="8"/>
      <c r="E202" s="21" t="str">
        <f>IFERROR(VLOOKUP(D202,'DATOS ASIGNACIÓN'!B:I,7,0),"")</f>
        <v/>
      </c>
      <c r="F202" s="21" t="str">
        <f>IFERROR(VLOOKUP(D202,'DATOS ASIGNACIÓN'!B:I,6,0),"")</f>
        <v/>
      </c>
      <c r="G202" s="103" t="str">
        <f>IFERROR(VLOOKUP(D202,'DATOS ASIGNACIÓN'!B:I,8,0),"")</f>
        <v/>
      </c>
      <c r="H202" s="22"/>
      <c r="I202" s="22"/>
      <c r="J202" s="24"/>
      <c r="K202" s="24"/>
      <c r="L202" s="24"/>
      <c r="M202" s="25"/>
      <c r="N202" s="11"/>
      <c r="O202" s="24"/>
      <c r="P202" s="24"/>
      <c r="Q202" s="24"/>
      <c r="R202" s="24"/>
      <c r="S202" s="24"/>
      <c r="T202" s="24"/>
      <c r="U202" s="24"/>
      <c r="V202" s="63"/>
      <c r="W202" s="57"/>
    </row>
    <row r="203" spans="1:30" ht="15.75" customHeight="1">
      <c r="A203" s="50"/>
      <c r="B203" s="40"/>
      <c r="C203" s="40"/>
      <c r="D203" s="12"/>
      <c r="E203" s="21" t="str">
        <f>IFERROR(VLOOKUP(D203,'DATOS ASIGNACIÓN'!B:I,7,0),"")</f>
        <v/>
      </c>
      <c r="F203" s="21" t="str">
        <f>IFERROR(VLOOKUP(D203,'DATOS ASIGNACIÓN'!B:I,6,0),"")</f>
        <v/>
      </c>
      <c r="G203" s="27"/>
      <c r="H203" s="27"/>
      <c r="I203" s="27"/>
      <c r="J203" s="26"/>
      <c r="K203" s="26"/>
      <c r="L203" s="26"/>
      <c r="M203" s="28"/>
      <c r="N203" s="28"/>
      <c r="O203" s="29"/>
      <c r="P203" s="29"/>
      <c r="Q203" s="29"/>
      <c r="R203" s="29"/>
      <c r="S203" s="29"/>
      <c r="T203" s="29"/>
      <c r="U203" s="29"/>
      <c r="V203" s="63"/>
      <c r="W203" s="57"/>
      <c r="X203" s="10"/>
      <c r="Y203" s="10"/>
      <c r="Z203" s="10"/>
      <c r="AA203" s="10"/>
      <c r="AB203" s="10"/>
      <c r="AC203" s="10"/>
      <c r="AD203" s="10"/>
    </row>
    <row r="204" spans="1:30" ht="15.75" customHeight="1">
      <c r="A204" s="50"/>
      <c r="B204" s="40"/>
      <c r="C204" s="40"/>
      <c r="D204" s="13"/>
      <c r="E204" s="21" t="str">
        <f>IFERROR(VLOOKUP(D204,'DATOS ASIGNACIÓN'!B:I,7,0),"")</f>
        <v/>
      </c>
      <c r="F204" s="21" t="str">
        <f>IFERROR(VLOOKUP(D204,'DATOS ASIGNACIÓN'!B:I,6,0),"")</f>
        <v/>
      </c>
      <c r="G204" s="27"/>
      <c r="H204" s="27"/>
      <c r="I204" s="27"/>
      <c r="J204" s="26"/>
      <c r="K204" s="26"/>
      <c r="L204" s="26"/>
      <c r="M204" s="28"/>
      <c r="N204" s="28"/>
      <c r="O204" s="29"/>
      <c r="P204" s="29"/>
      <c r="Q204" s="29"/>
      <c r="R204" s="29"/>
      <c r="S204" s="29"/>
      <c r="T204" s="29"/>
      <c r="U204" s="29"/>
      <c r="V204" s="63"/>
      <c r="W204" s="57"/>
      <c r="X204" s="10"/>
      <c r="Y204" s="10"/>
      <c r="Z204" s="10"/>
      <c r="AA204" s="10"/>
      <c r="AB204" s="10"/>
      <c r="AC204" s="10"/>
      <c r="AD204" s="10"/>
    </row>
    <row r="205" spans="1:30" ht="15.75" customHeight="1">
      <c r="A205" s="50"/>
      <c r="B205" s="40"/>
      <c r="C205" s="40"/>
      <c r="D205" s="12"/>
      <c r="E205" s="21" t="str">
        <f>IFERROR(VLOOKUP(D205,'DATOS ASIGNACIÓN'!B:I,7,0),"")</f>
        <v/>
      </c>
      <c r="F205" s="21" t="str">
        <f>IFERROR(VLOOKUP(D205,'DATOS ASIGNACIÓN'!B:I,6,0),"")</f>
        <v/>
      </c>
      <c r="G205" s="27"/>
      <c r="H205" s="27"/>
      <c r="I205" s="27"/>
      <c r="J205" s="26"/>
      <c r="K205" s="26"/>
      <c r="L205" s="26"/>
      <c r="M205" s="28"/>
      <c r="N205" s="28"/>
      <c r="O205" s="29"/>
      <c r="P205" s="29"/>
      <c r="Q205" s="29"/>
      <c r="R205" s="29"/>
      <c r="S205" s="29"/>
      <c r="T205" s="29"/>
      <c r="U205" s="29"/>
      <c r="V205" s="10"/>
      <c r="W205" s="10"/>
      <c r="X205" s="10"/>
      <c r="Y205" s="10"/>
      <c r="Z205" s="10"/>
      <c r="AA205" s="10"/>
      <c r="AB205" s="10"/>
      <c r="AC205" s="10"/>
      <c r="AD205" s="10"/>
    </row>
    <row r="206" spans="1:30" ht="15.75" customHeight="1">
      <c r="A206" s="50"/>
      <c r="B206" s="40"/>
      <c r="C206" s="40"/>
      <c r="D206" s="12"/>
      <c r="E206" s="21" t="str">
        <f>IFERROR(VLOOKUP(D206,'DATOS ASIGNACIÓN'!B:I,7,0),"")</f>
        <v/>
      </c>
      <c r="F206" s="21" t="str">
        <f>IFERROR(VLOOKUP(D206,'DATOS ASIGNACIÓN'!B:I,6,0),"")</f>
        <v/>
      </c>
      <c r="G206" s="27"/>
      <c r="H206" s="27"/>
      <c r="I206" s="27"/>
      <c r="J206" s="26"/>
      <c r="K206" s="26"/>
      <c r="L206" s="26"/>
      <c r="M206" s="28"/>
      <c r="N206" s="28"/>
      <c r="O206" s="29"/>
      <c r="P206" s="29"/>
      <c r="Q206" s="29"/>
      <c r="R206" s="29"/>
      <c r="S206" s="29"/>
      <c r="T206" s="29"/>
      <c r="U206" s="29"/>
      <c r="V206" s="10"/>
      <c r="W206" s="10"/>
      <c r="X206" s="10"/>
      <c r="Y206" s="10"/>
      <c r="Z206" s="10"/>
      <c r="AA206" s="10"/>
      <c r="AB206" s="10"/>
      <c r="AC206" s="10"/>
      <c r="AD206" s="10"/>
    </row>
    <row r="207" spans="1:30" ht="15.75" customHeight="1">
      <c r="A207" s="50"/>
      <c r="B207" s="40"/>
      <c r="C207" s="40"/>
      <c r="D207" s="12"/>
      <c r="E207" s="21" t="str">
        <f>IFERROR(VLOOKUP(D207,'DATOS ASIGNACIÓN'!B:I,7,0),"")</f>
        <v/>
      </c>
      <c r="F207" s="21" t="str">
        <f>IFERROR(VLOOKUP(D207,'DATOS ASIGNACIÓN'!B:I,6,0),"")</f>
        <v/>
      </c>
      <c r="G207" s="27"/>
      <c r="H207" s="27"/>
      <c r="I207" s="27"/>
      <c r="J207" s="26"/>
      <c r="K207" s="26"/>
      <c r="L207" s="26"/>
      <c r="M207" s="28"/>
      <c r="N207" s="28"/>
      <c r="O207" s="29"/>
      <c r="P207" s="29"/>
      <c r="Q207" s="29"/>
      <c r="R207" s="29"/>
      <c r="S207" s="29"/>
      <c r="T207" s="29"/>
      <c r="U207" s="29"/>
      <c r="V207" s="10"/>
      <c r="W207" s="10"/>
      <c r="X207" s="10"/>
      <c r="Y207" s="10"/>
      <c r="Z207" s="10"/>
      <c r="AA207" s="10"/>
      <c r="AB207" s="10"/>
      <c r="AC207" s="10"/>
      <c r="AD207" s="10"/>
    </row>
    <row r="208" spans="1:30" ht="15.75" customHeight="1">
      <c r="A208" s="50"/>
      <c r="B208" s="40"/>
      <c r="C208" s="40"/>
      <c r="D208" s="12"/>
      <c r="E208" s="21" t="str">
        <f>IFERROR(VLOOKUP(D208,'DATOS ASIGNACIÓN'!B:I,7,0),"")</f>
        <v/>
      </c>
      <c r="F208" s="21" t="str">
        <f>IFERROR(VLOOKUP(D208,'DATOS ASIGNACIÓN'!B:I,6,0),"")</f>
        <v/>
      </c>
      <c r="G208" s="27"/>
      <c r="H208" s="27"/>
      <c r="I208" s="27"/>
      <c r="J208" s="26"/>
      <c r="K208" s="26"/>
      <c r="L208" s="26"/>
      <c r="M208" s="28"/>
      <c r="N208" s="28"/>
      <c r="O208" s="29"/>
      <c r="P208" s="29"/>
      <c r="Q208" s="29"/>
      <c r="R208" s="29"/>
      <c r="S208" s="29"/>
      <c r="T208" s="29"/>
      <c r="U208" s="29"/>
      <c r="V208" s="10"/>
      <c r="W208" s="10"/>
      <c r="X208" s="10"/>
      <c r="Y208" s="10"/>
      <c r="Z208" s="10"/>
      <c r="AA208" s="10"/>
      <c r="AB208" s="10"/>
      <c r="AC208" s="10"/>
      <c r="AD208" s="10"/>
    </row>
    <row r="209" spans="1:30" ht="15.75" customHeight="1">
      <c r="A209" s="50"/>
      <c r="B209" s="40"/>
      <c r="C209" s="40"/>
      <c r="D209" s="12"/>
      <c r="E209" s="21" t="str">
        <f>IFERROR(VLOOKUP(D209,'DATOS ASIGNACIÓN'!B:I,7,0),"")</f>
        <v/>
      </c>
      <c r="F209" s="21" t="str">
        <f>IFERROR(VLOOKUP(D209,'DATOS ASIGNACIÓN'!B:I,6,0),"")</f>
        <v/>
      </c>
      <c r="G209" s="27"/>
      <c r="H209" s="27"/>
      <c r="I209" s="27"/>
      <c r="J209" s="26"/>
      <c r="K209" s="26"/>
      <c r="L209" s="26"/>
      <c r="M209" s="28"/>
      <c r="N209" s="28"/>
      <c r="O209" s="29"/>
      <c r="P209" s="29"/>
      <c r="Q209" s="29"/>
      <c r="R209" s="29"/>
      <c r="S209" s="29"/>
      <c r="T209" s="29"/>
      <c r="U209" s="29"/>
      <c r="V209" s="10"/>
      <c r="W209" s="10"/>
      <c r="X209" s="10"/>
      <c r="Y209" s="10"/>
      <c r="Z209" s="10"/>
      <c r="AA209" s="10"/>
      <c r="AB209" s="10"/>
      <c r="AC209" s="10"/>
      <c r="AD209" s="10"/>
    </row>
    <row r="210" spans="1:30" ht="15.75" customHeight="1">
      <c r="A210" s="50"/>
      <c r="B210" s="40"/>
      <c r="C210" s="40"/>
      <c r="D210" s="13"/>
      <c r="E210" s="21" t="str">
        <f>IFERROR(VLOOKUP(D210,'DATOS ASIGNACIÓN'!B:I,7,0),"")</f>
        <v/>
      </c>
      <c r="F210" s="21" t="str">
        <f>IFERROR(VLOOKUP(D210,'DATOS ASIGNACIÓN'!B:I,6,0),"")</f>
        <v/>
      </c>
      <c r="G210" s="27"/>
      <c r="H210" s="27"/>
      <c r="I210" s="27"/>
      <c r="J210" s="26"/>
      <c r="K210" s="26"/>
      <c r="L210" s="26"/>
      <c r="M210" s="28"/>
      <c r="N210" s="28"/>
      <c r="O210" s="29"/>
      <c r="P210" s="29"/>
      <c r="Q210" s="29"/>
      <c r="R210" s="29"/>
      <c r="S210" s="29"/>
      <c r="T210" s="29"/>
      <c r="U210" s="29"/>
      <c r="V210" s="10"/>
      <c r="W210" s="10"/>
      <c r="X210" s="10"/>
      <c r="Y210" s="10"/>
      <c r="Z210" s="10"/>
      <c r="AA210" s="10"/>
      <c r="AB210" s="10"/>
      <c r="AC210" s="10"/>
      <c r="AD210" s="10"/>
    </row>
    <row r="211" spans="1:30" ht="15.75" customHeight="1">
      <c r="A211" s="50"/>
      <c r="B211" s="40"/>
      <c r="C211" s="40"/>
      <c r="D211" s="12"/>
      <c r="E211" s="21" t="str">
        <f>IFERROR(VLOOKUP(D211,'DATOS ASIGNACIÓN'!B:I,7,0),"")</f>
        <v/>
      </c>
      <c r="F211" s="21" t="str">
        <f>IFERROR(VLOOKUP(D211,'DATOS ASIGNACIÓN'!B:I,6,0),"")</f>
        <v/>
      </c>
      <c r="G211" s="27"/>
      <c r="H211" s="27"/>
      <c r="I211" s="27"/>
      <c r="J211" s="26"/>
      <c r="K211" s="26"/>
      <c r="L211" s="26"/>
      <c r="M211" s="28"/>
      <c r="N211" s="28"/>
      <c r="O211" s="29"/>
      <c r="P211" s="29"/>
      <c r="Q211" s="29"/>
      <c r="R211" s="29"/>
      <c r="S211" s="29"/>
      <c r="T211" s="29"/>
      <c r="U211" s="29"/>
      <c r="V211" s="10"/>
      <c r="W211" s="10"/>
      <c r="X211" s="10"/>
      <c r="Y211" s="10"/>
      <c r="Z211" s="10"/>
      <c r="AA211" s="10"/>
      <c r="AB211" s="10"/>
      <c r="AC211" s="10"/>
      <c r="AD211" s="10"/>
    </row>
    <row r="212" spans="1:30" ht="15.75" customHeight="1">
      <c r="A212" s="50"/>
      <c r="B212" s="40"/>
      <c r="C212" s="40"/>
      <c r="D212" s="13"/>
      <c r="E212" s="21" t="str">
        <f>IFERROR(VLOOKUP(D212,'DATOS ASIGNACIÓN'!B:I,7,0),"")</f>
        <v/>
      </c>
      <c r="F212" s="21" t="str">
        <f>IFERROR(VLOOKUP(D212,'DATOS ASIGNACIÓN'!B:I,6,0),"")</f>
        <v/>
      </c>
      <c r="G212" s="27"/>
      <c r="H212" s="27"/>
      <c r="I212" s="27"/>
      <c r="J212" s="26"/>
      <c r="K212" s="26"/>
      <c r="L212" s="26"/>
      <c r="M212" s="28"/>
      <c r="N212" s="28"/>
      <c r="O212" s="29"/>
      <c r="P212" s="29"/>
      <c r="Q212" s="29"/>
      <c r="R212" s="29"/>
      <c r="S212" s="29"/>
      <c r="T212" s="29"/>
      <c r="U212" s="29"/>
      <c r="V212" s="10"/>
      <c r="W212" s="10"/>
      <c r="X212" s="10"/>
      <c r="Y212" s="10"/>
      <c r="Z212" s="10"/>
      <c r="AA212" s="10"/>
      <c r="AB212" s="10"/>
      <c r="AC212" s="10"/>
      <c r="AD212" s="10"/>
    </row>
    <row r="213" spans="1:30" ht="15.75" customHeight="1">
      <c r="A213" s="50"/>
      <c r="B213" s="40"/>
      <c r="C213" s="40"/>
      <c r="D213" s="12"/>
      <c r="E213" s="21" t="str">
        <f>IFERROR(VLOOKUP(D213,'DATOS ASIGNACIÓN'!B:I,7,0),"")</f>
        <v/>
      </c>
      <c r="F213" s="21" t="str">
        <f>IFERROR(VLOOKUP(D213,'DATOS ASIGNACIÓN'!B:I,6,0),"")</f>
        <v/>
      </c>
      <c r="G213" s="27"/>
      <c r="H213" s="27"/>
      <c r="I213" s="27"/>
      <c r="J213" s="26"/>
      <c r="K213" s="26"/>
      <c r="L213" s="26"/>
      <c r="M213" s="28"/>
      <c r="N213" s="28"/>
      <c r="O213" s="29"/>
      <c r="P213" s="29"/>
      <c r="Q213" s="29"/>
      <c r="R213" s="29"/>
      <c r="S213" s="29"/>
      <c r="T213" s="29"/>
      <c r="U213" s="29"/>
      <c r="V213" s="10"/>
      <c r="W213" s="10"/>
      <c r="X213" s="10"/>
      <c r="Y213" s="10"/>
      <c r="Z213" s="10"/>
      <c r="AA213" s="10"/>
      <c r="AB213" s="10"/>
      <c r="AC213" s="10"/>
      <c r="AD213" s="10"/>
    </row>
    <row r="214" spans="1:30" ht="15.75" customHeight="1">
      <c r="A214" s="50"/>
      <c r="B214" s="40"/>
      <c r="C214" s="40"/>
      <c r="D214" s="13"/>
      <c r="E214" s="21" t="str">
        <f>IFERROR(VLOOKUP(D214,'DATOS ASIGNACIÓN'!B:I,7,0),"")</f>
        <v/>
      </c>
      <c r="F214" s="21" t="str">
        <f>IFERROR(VLOOKUP(D214,'DATOS ASIGNACIÓN'!B:I,6,0),"")</f>
        <v/>
      </c>
      <c r="G214" s="27"/>
      <c r="H214" s="27"/>
      <c r="I214" s="27"/>
      <c r="J214" s="26"/>
      <c r="K214" s="26"/>
      <c r="L214" s="26"/>
      <c r="M214" s="28"/>
      <c r="N214" s="28"/>
      <c r="O214" s="29"/>
      <c r="P214" s="29"/>
      <c r="Q214" s="29"/>
      <c r="R214" s="29"/>
      <c r="S214" s="29"/>
      <c r="T214" s="29"/>
      <c r="U214" s="29"/>
      <c r="V214" s="10"/>
      <c r="W214" s="10"/>
      <c r="X214" s="10"/>
      <c r="Y214" s="10"/>
      <c r="Z214" s="10"/>
      <c r="AA214" s="10"/>
      <c r="AB214" s="10"/>
      <c r="AC214" s="10"/>
      <c r="AD214" s="10"/>
    </row>
    <row r="215" spans="1:30" ht="15.75" customHeight="1">
      <c r="A215" s="50"/>
      <c r="B215" s="40"/>
      <c r="C215" s="40"/>
      <c r="D215" s="12"/>
      <c r="E215" s="21" t="str">
        <f>IFERROR(VLOOKUP(D215,'DATOS ASIGNACIÓN'!B:I,7,0),"")</f>
        <v/>
      </c>
      <c r="F215" s="21" t="str">
        <f>IFERROR(VLOOKUP(D215,'DATOS ASIGNACIÓN'!B:I,6,0),"")</f>
        <v/>
      </c>
      <c r="G215" s="27"/>
      <c r="H215" s="27"/>
      <c r="I215" s="27"/>
      <c r="J215" s="26"/>
      <c r="K215" s="26"/>
      <c r="L215" s="26"/>
      <c r="M215" s="28"/>
      <c r="N215" s="28"/>
      <c r="O215" s="29"/>
      <c r="P215" s="29"/>
      <c r="Q215" s="29"/>
      <c r="R215" s="29"/>
      <c r="S215" s="29"/>
      <c r="T215" s="29"/>
      <c r="U215" s="29"/>
      <c r="V215" s="10"/>
      <c r="W215" s="10"/>
      <c r="X215" s="10"/>
      <c r="Y215" s="10"/>
      <c r="Z215" s="10"/>
      <c r="AA215" s="10"/>
      <c r="AB215" s="10"/>
      <c r="AC215" s="10"/>
      <c r="AD215" s="10"/>
    </row>
    <row r="216" spans="1:30" ht="15.75" customHeight="1">
      <c r="A216" s="50"/>
      <c r="B216" s="40"/>
      <c r="C216" s="40"/>
      <c r="D216" s="13"/>
      <c r="E216" s="21" t="str">
        <f>IFERROR(VLOOKUP(D216,'DATOS ASIGNACIÓN'!B:I,7,0),"")</f>
        <v/>
      </c>
      <c r="F216" s="21" t="str">
        <f>IFERROR(VLOOKUP(D216,'DATOS ASIGNACIÓN'!B:I,6,0),"")</f>
        <v/>
      </c>
      <c r="G216" s="27"/>
      <c r="H216" s="27"/>
      <c r="I216" s="27"/>
      <c r="J216" s="26"/>
      <c r="K216" s="26"/>
      <c r="L216" s="26"/>
      <c r="M216" s="28"/>
      <c r="N216" s="28"/>
      <c r="O216" s="29"/>
      <c r="P216" s="29"/>
      <c r="Q216" s="29"/>
      <c r="R216" s="29"/>
      <c r="S216" s="29"/>
      <c r="T216" s="29"/>
      <c r="U216" s="29"/>
      <c r="V216" s="10"/>
      <c r="W216" s="10"/>
      <c r="X216" s="10"/>
      <c r="Y216" s="10"/>
      <c r="Z216" s="10"/>
      <c r="AA216" s="10"/>
      <c r="AB216" s="10"/>
      <c r="AC216" s="10"/>
      <c r="AD216" s="10"/>
    </row>
    <row r="217" spans="1:30" ht="15.75" customHeight="1">
      <c r="A217" s="50"/>
      <c r="B217" s="40"/>
      <c r="C217" s="40"/>
      <c r="D217" s="12"/>
      <c r="E217" s="21" t="str">
        <f>IFERROR(VLOOKUP(D217,'DATOS ASIGNACIÓN'!B:I,7,0),"")</f>
        <v/>
      </c>
      <c r="F217" s="21" t="str">
        <f>IFERROR(VLOOKUP(D217,'DATOS ASIGNACIÓN'!B:I,6,0),"")</f>
        <v/>
      </c>
      <c r="G217" s="27"/>
      <c r="H217" s="27"/>
      <c r="I217" s="27"/>
      <c r="J217" s="26"/>
      <c r="K217" s="26"/>
      <c r="L217" s="26"/>
      <c r="M217" s="28"/>
      <c r="N217" s="28"/>
      <c r="O217" s="29"/>
      <c r="P217" s="29"/>
      <c r="Q217" s="29"/>
      <c r="R217" s="29"/>
      <c r="S217" s="29"/>
      <c r="T217" s="29"/>
      <c r="U217" s="29"/>
      <c r="V217" s="10"/>
      <c r="W217" s="10"/>
      <c r="X217" s="10"/>
      <c r="Y217" s="10"/>
      <c r="Z217" s="10"/>
      <c r="AA217" s="10"/>
      <c r="AB217" s="10"/>
      <c r="AC217" s="10"/>
      <c r="AD217" s="10"/>
    </row>
    <row r="218" spans="1:30" ht="15.75" customHeight="1">
      <c r="A218" s="50"/>
      <c r="B218" s="40"/>
      <c r="C218" s="40"/>
      <c r="D218" s="13"/>
      <c r="E218" s="21" t="str">
        <f>IFERROR(VLOOKUP(D218,'DATOS ASIGNACIÓN'!B:I,7,0),"")</f>
        <v/>
      </c>
      <c r="F218" s="21" t="str">
        <f>IFERROR(VLOOKUP(D218,'DATOS ASIGNACIÓN'!B:I,6,0),"")</f>
        <v/>
      </c>
      <c r="G218" s="27"/>
      <c r="H218" s="27"/>
      <c r="I218" s="27"/>
      <c r="J218" s="26"/>
      <c r="K218" s="26"/>
      <c r="L218" s="26"/>
      <c r="M218" s="28"/>
      <c r="N218" s="28"/>
      <c r="O218" s="29"/>
      <c r="P218" s="29"/>
      <c r="Q218" s="29"/>
      <c r="R218" s="29"/>
      <c r="S218" s="29"/>
      <c r="T218" s="29"/>
      <c r="U218" s="29"/>
      <c r="V218" s="10"/>
      <c r="W218" s="10"/>
      <c r="X218" s="10"/>
      <c r="Y218" s="10"/>
      <c r="Z218" s="10"/>
      <c r="AA218" s="10"/>
      <c r="AB218" s="10"/>
      <c r="AC218" s="10"/>
      <c r="AD218" s="10"/>
    </row>
    <row r="219" spans="1:30" ht="15.75" customHeight="1">
      <c r="A219" s="50"/>
      <c r="B219" s="40"/>
      <c r="C219" s="40"/>
      <c r="D219" s="13"/>
      <c r="E219" s="21" t="str">
        <f>IFERROR(VLOOKUP(D219,'DATOS ASIGNACIÓN'!B:I,7,0),"")</f>
        <v/>
      </c>
      <c r="F219" s="21" t="str">
        <f>IFERROR(VLOOKUP(D219,'DATOS ASIGNACIÓN'!B:I,6,0),"")</f>
        <v/>
      </c>
      <c r="G219" s="27"/>
      <c r="H219" s="27"/>
      <c r="I219" s="27"/>
      <c r="J219" s="26"/>
      <c r="K219" s="26"/>
      <c r="L219" s="26"/>
      <c r="M219" s="28"/>
      <c r="N219" s="28"/>
      <c r="O219" s="29"/>
      <c r="P219" s="29"/>
      <c r="Q219" s="29"/>
      <c r="R219" s="29"/>
      <c r="S219" s="29"/>
      <c r="T219" s="29"/>
      <c r="U219" s="29"/>
      <c r="V219" s="10"/>
      <c r="W219" s="10"/>
      <c r="X219" s="10"/>
      <c r="Y219" s="10"/>
      <c r="Z219" s="10"/>
      <c r="AA219" s="10"/>
      <c r="AB219" s="10"/>
      <c r="AC219" s="10"/>
      <c r="AD219" s="10"/>
    </row>
    <row r="220" spans="1:30" ht="15.75" customHeight="1">
      <c r="A220" s="50"/>
      <c r="B220" s="40"/>
      <c r="C220" s="40"/>
      <c r="D220" s="12"/>
      <c r="E220" s="21" t="str">
        <f>IFERROR(VLOOKUP(D220,'DATOS ASIGNACIÓN'!B:I,7,0),"")</f>
        <v/>
      </c>
      <c r="F220" s="21" t="str">
        <f>IFERROR(VLOOKUP(D220,'DATOS ASIGNACIÓN'!B:I,6,0),"")</f>
        <v/>
      </c>
      <c r="G220" s="27"/>
      <c r="H220" s="27"/>
      <c r="I220" s="27"/>
      <c r="J220" s="26"/>
      <c r="K220" s="26"/>
      <c r="L220" s="26"/>
      <c r="M220" s="28"/>
      <c r="N220" s="28"/>
      <c r="O220" s="29"/>
      <c r="P220" s="29"/>
      <c r="Q220" s="29"/>
      <c r="R220" s="29"/>
      <c r="S220" s="29"/>
      <c r="T220" s="29"/>
      <c r="U220" s="29"/>
      <c r="V220" s="10"/>
      <c r="W220" s="10"/>
      <c r="X220" s="10"/>
      <c r="Y220" s="10"/>
      <c r="Z220" s="10"/>
      <c r="AA220" s="10"/>
      <c r="AB220" s="10"/>
      <c r="AC220" s="10"/>
      <c r="AD220" s="10"/>
    </row>
    <row r="221" spans="1:30" ht="15.75" customHeight="1">
      <c r="A221" s="50"/>
      <c r="B221" s="40"/>
      <c r="C221" s="40"/>
      <c r="D221" s="12"/>
      <c r="E221" s="21" t="str">
        <f>IFERROR(VLOOKUP(D221,'DATOS ASIGNACIÓN'!B:I,7,0),"")</f>
        <v/>
      </c>
      <c r="F221" s="21" t="str">
        <f>IFERROR(VLOOKUP(D221,'DATOS ASIGNACIÓN'!B:I,6,0),"")</f>
        <v/>
      </c>
      <c r="G221" s="27"/>
      <c r="H221" s="27"/>
      <c r="I221" s="27"/>
      <c r="J221" s="26"/>
      <c r="K221" s="26"/>
      <c r="L221" s="26"/>
      <c r="M221" s="28"/>
      <c r="N221" s="28"/>
      <c r="O221" s="29"/>
      <c r="P221" s="29"/>
      <c r="Q221" s="29"/>
      <c r="R221" s="29"/>
      <c r="S221" s="29"/>
      <c r="T221" s="29"/>
      <c r="U221" s="29"/>
      <c r="V221" s="10"/>
      <c r="W221" s="10"/>
      <c r="X221" s="10"/>
      <c r="Y221" s="10"/>
      <c r="Z221" s="10"/>
      <c r="AA221" s="10"/>
      <c r="AB221" s="10"/>
      <c r="AC221" s="10"/>
      <c r="AD221" s="10"/>
    </row>
    <row r="222" spans="1:30" ht="15.75" customHeight="1">
      <c r="A222" s="50"/>
      <c r="B222" s="40"/>
      <c r="C222" s="40"/>
      <c r="D222" s="12"/>
      <c r="E222" s="21" t="str">
        <f>IFERROR(VLOOKUP(D222,'DATOS ASIGNACIÓN'!B:I,7,0),"")</f>
        <v/>
      </c>
      <c r="F222" s="21" t="str">
        <f>IFERROR(VLOOKUP(D222,'DATOS ASIGNACIÓN'!B:I,6,0),"")</f>
        <v/>
      </c>
      <c r="G222" s="27"/>
      <c r="H222" s="27"/>
      <c r="I222" s="27"/>
      <c r="J222" s="26"/>
      <c r="K222" s="26"/>
      <c r="L222" s="26"/>
      <c r="M222" s="28"/>
      <c r="N222" s="28"/>
      <c r="O222" s="29"/>
      <c r="P222" s="29"/>
      <c r="Q222" s="29"/>
      <c r="R222" s="29"/>
      <c r="S222" s="29"/>
      <c r="T222" s="29"/>
      <c r="U222" s="29"/>
      <c r="V222" s="10"/>
      <c r="W222" s="10"/>
      <c r="X222" s="10"/>
      <c r="Y222" s="10"/>
      <c r="Z222" s="10"/>
      <c r="AA222" s="10"/>
      <c r="AB222" s="10"/>
      <c r="AC222" s="10"/>
      <c r="AD222" s="10"/>
    </row>
    <row r="223" spans="1:30" ht="15.75" customHeight="1">
      <c r="A223" s="50"/>
      <c r="B223" s="40"/>
      <c r="C223" s="40"/>
      <c r="D223" s="12"/>
      <c r="E223" s="21" t="str">
        <f>IFERROR(VLOOKUP(D223,'DATOS ASIGNACIÓN'!B:I,7,0),"")</f>
        <v/>
      </c>
      <c r="F223" s="21" t="str">
        <f>IFERROR(VLOOKUP(D223,'DATOS ASIGNACIÓN'!B:I,6,0),"")</f>
        <v/>
      </c>
      <c r="G223" s="27"/>
      <c r="H223" s="27"/>
      <c r="I223" s="27"/>
      <c r="J223" s="26"/>
      <c r="K223" s="26"/>
      <c r="L223" s="26"/>
      <c r="M223" s="28"/>
      <c r="N223" s="28"/>
      <c r="O223" s="29"/>
      <c r="P223" s="29"/>
      <c r="Q223" s="29"/>
      <c r="R223" s="29"/>
      <c r="S223" s="29"/>
      <c r="T223" s="29"/>
      <c r="U223" s="29"/>
      <c r="V223" s="10"/>
      <c r="W223" s="10"/>
      <c r="X223" s="10"/>
      <c r="Y223" s="10"/>
      <c r="Z223" s="10"/>
      <c r="AA223" s="10"/>
      <c r="AB223" s="10"/>
      <c r="AC223" s="10"/>
      <c r="AD223" s="10"/>
    </row>
    <row r="224" spans="1:30" ht="15.75" customHeight="1">
      <c r="A224" s="50"/>
      <c r="B224" s="40"/>
      <c r="C224" s="40"/>
      <c r="D224" s="13"/>
      <c r="E224" s="21" t="str">
        <f>IFERROR(VLOOKUP(D224,'DATOS ASIGNACIÓN'!B:I,7,0),"")</f>
        <v/>
      </c>
      <c r="F224" s="21" t="str">
        <f>IFERROR(VLOOKUP(D224,'DATOS ASIGNACIÓN'!B:I,6,0),"")</f>
        <v/>
      </c>
      <c r="G224" s="27"/>
      <c r="H224" s="27"/>
      <c r="I224" s="27"/>
      <c r="J224" s="26"/>
      <c r="K224" s="26"/>
      <c r="L224" s="26"/>
      <c r="M224" s="28"/>
      <c r="N224" s="28"/>
      <c r="O224" s="29"/>
      <c r="P224" s="29"/>
      <c r="Q224" s="29"/>
      <c r="R224" s="29"/>
      <c r="S224" s="29"/>
      <c r="T224" s="29"/>
      <c r="U224" s="29"/>
      <c r="V224" s="10"/>
      <c r="W224" s="10"/>
      <c r="X224" s="10"/>
      <c r="Y224" s="10"/>
      <c r="Z224" s="10"/>
      <c r="AA224" s="10"/>
      <c r="AB224" s="10"/>
      <c r="AC224" s="10"/>
      <c r="AD224" s="10"/>
    </row>
    <row r="225" spans="1:30" ht="15.75" customHeight="1">
      <c r="A225" s="50"/>
      <c r="B225" s="40"/>
      <c r="C225" s="40"/>
      <c r="D225" s="12"/>
      <c r="E225" s="21" t="str">
        <f>IFERROR(VLOOKUP(D225,'DATOS ASIGNACIÓN'!B:I,7,0),"")</f>
        <v/>
      </c>
      <c r="F225" s="21" t="str">
        <f>IFERROR(VLOOKUP(D225,'DATOS ASIGNACIÓN'!B:I,6,0),"")</f>
        <v/>
      </c>
      <c r="G225" s="27"/>
      <c r="H225" s="27"/>
      <c r="I225" s="27"/>
      <c r="J225" s="26"/>
      <c r="K225" s="26"/>
      <c r="L225" s="26"/>
      <c r="M225" s="28"/>
      <c r="N225" s="28"/>
      <c r="O225" s="29"/>
      <c r="P225" s="29"/>
      <c r="Q225" s="29"/>
      <c r="R225" s="29"/>
      <c r="S225" s="29"/>
      <c r="T225" s="29"/>
      <c r="U225" s="29"/>
      <c r="V225" s="10"/>
      <c r="W225" s="10"/>
      <c r="X225" s="10"/>
      <c r="Y225" s="10"/>
      <c r="Z225" s="10"/>
      <c r="AA225" s="10"/>
      <c r="AB225" s="10"/>
      <c r="AC225" s="10"/>
      <c r="AD225" s="10"/>
    </row>
    <row r="226" spans="1:30" ht="15.75" customHeight="1">
      <c r="A226" s="50"/>
      <c r="B226" s="40"/>
      <c r="C226" s="40"/>
      <c r="D226" s="13"/>
      <c r="E226" s="21" t="str">
        <f>IFERROR(VLOOKUP(D226,'DATOS ASIGNACIÓN'!B:I,7,0),"")</f>
        <v/>
      </c>
      <c r="F226" s="21" t="str">
        <f>IFERROR(VLOOKUP(D226,'DATOS ASIGNACIÓN'!B:I,6,0),"")</f>
        <v/>
      </c>
      <c r="G226" s="27"/>
      <c r="H226" s="27"/>
      <c r="I226" s="27"/>
      <c r="J226" s="26"/>
      <c r="K226" s="26"/>
      <c r="L226" s="26"/>
      <c r="M226" s="28"/>
      <c r="N226" s="28"/>
      <c r="O226" s="29"/>
      <c r="P226" s="29"/>
      <c r="Q226" s="29"/>
      <c r="R226" s="29"/>
      <c r="S226" s="29"/>
      <c r="T226" s="29"/>
      <c r="U226" s="29"/>
      <c r="V226" s="10"/>
      <c r="W226" s="10"/>
      <c r="X226" s="10"/>
      <c r="Y226" s="10"/>
      <c r="Z226" s="10"/>
      <c r="AA226" s="10"/>
      <c r="AB226" s="10"/>
      <c r="AC226" s="10"/>
      <c r="AD226" s="10"/>
    </row>
    <row r="227" spans="1:30" ht="15.75" customHeight="1">
      <c r="A227" s="50"/>
      <c r="B227" s="40"/>
      <c r="C227" s="40"/>
      <c r="D227" s="12"/>
      <c r="E227" s="21" t="str">
        <f>IFERROR(VLOOKUP(D227,'DATOS ASIGNACIÓN'!B:I,7,0),"")</f>
        <v/>
      </c>
      <c r="F227" s="21" t="str">
        <f>IFERROR(VLOOKUP(D227,'DATOS ASIGNACIÓN'!B:I,6,0),"")</f>
        <v/>
      </c>
      <c r="G227" s="27"/>
      <c r="H227" s="27"/>
      <c r="I227" s="27"/>
      <c r="J227" s="26"/>
      <c r="K227" s="26"/>
      <c r="L227" s="26"/>
      <c r="M227" s="28"/>
      <c r="N227" s="28"/>
      <c r="O227" s="29"/>
      <c r="P227" s="29"/>
      <c r="Q227" s="29"/>
      <c r="R227" s="29"/>
      <c r="S227" s="29"/>
      <c r="T227" s="29"/>
      <c r="U227" s="29"/>
      <c r="V227" s="10"/>
      <c r="W227" s="10"/>
      <c r="X227" s="10"/>
      <c r="Y227" s="10"/>
      <c r="Z227" s="10"/>
      <c r="AA227" s="10"/>
      <c r="AB227" s="10"/>
      <c r="AC227" s="10"/>
      <c r="AD227" s="10"/>
    </row>
    <row r="228" spans="1:30" ht="15.75" customHeight="1">
      <c r="A228" s="50"/>
      <c r="B228" s="40"/>
      <c r="C228" s="40"/>
      <c r="D228" s="13"/>
      <c r="E228" s="21" t="str">
        <f>IFERROR(VLOOKUP(D228,'DATOS ASIGNACIÓN'!B:I,7,0),"")</f>
        <v/>
      </c>
      <c r="F228" s="21" t="str">
        <f>IFERROR(VLOOKUP(D228,'DATOS ASIGNACIÓN'!B:I,6,0),"")</f>
        <v/>
      </c>
      <c r="G228" s="27"/>
      <c r="H228" s="27"/>
      <c r="I228" s="27"/>
      <c r="J228" s="26"/>
      <c r="K228" s="26"/>
      <c r="L228" s="26"/>
      <c r="M228" s="28"/>
      <c r="N228" s="28"/>
      <c r="O228" s="29"/>
      <c r="P228" s="29"/>
      <c r="Q228" s="29"/>
      <c r="R228" s="29"/>
      <c r="S228" s="29"/>
      <c r="T228" s="29"/>
      <c r="U228" s="29"/>
      <c r="V228" s="10"/>
      <c r="W228" s="10"/>
      <c r="X228" s="10"/>
      <c r="Y228" s="10"/>
      <c r="Z228" s="10"/>
      <c r="AA228" s="10"/>
      <c r="AB228" s="10"/>
      <c r="AC228" s="10"/>
      <c r="AD228" s="10"/>
    </row>
    <row r="229" spans="1:30" ht="15.75" customHeight="1">
      <c r="A229" s="51"/>
      <c r="B229" s="41"/>
      <c r="C229" s="102"/>
      <c r="D229" s="26"/>
      <c r="E229" s="21" t="str">
        <f>IFERROR(VLOOKUP(D229,'DATOS ASIGNACIÓN'!B:I,7,0),"")</f>
        <v/>
      </c>
      <c r="F229" s="21" t="str">
        <f>IFERROR(VLOOKUP(D229,'DATOS ASIGNACIÓN'!B:I,6,0),"")</f>
        <v/>
      </c>
      <c r="G229" s="27"/>
      <c r="H229" s="27"/>
      <c r="I229" s="27"/>
      <c r="J229" s="26"/>
      <c r="K229" s="26"/>
      <c r="L229" s="26"/>
      <c r="M229" s="28"/>
      <c r="N229" s="28"/>
      <c r="O229" s="29"/>
      <c r="P229" s="29"/>
      <c r="Q229" s="29"/>
      <c r="R229" s="29"/>
      <c r="S229" s="29"/>
      <c r="T229" s="29"/>
      <c r="U229" s="29"/>
      <c r="V229" s="10"/>
      <c r="W229" s="10"/>
      <c r="X229" s="10"/>
      <c r="Y229" s="10"/>
      <c r="Z229" s="10"/>
      <c r="AA229" s="10"/>
      <c r="AB229" s="10"/>
      <c r="AC229" s="10"/>
      <c r="AD229" s="10"/>
    </row>
    <row r="230" spans="1:30" ht="15.75" customHeight="1">
      <c r="A230" s="51"/>
      <c r="B230" s="41"/>
      <c r="C230" s="102"/>
      <c r="D230" s="26"/>
      <c r="E230" s="21" t="str">
        <f>IFERROR(VLOOKUP(D230,'DATOS ASIGNACIÓN'!B:I,7,0),"")</f>
        <v/>
      </c>
      <c r="F230" s="21" t="str">
        <f>IFERROR(VLOOKUP(D230,'DATOS ASIGNACIÓN'!B:I,6,0),"")</f>
        <v/>
      </c>
      <c r="G230" s="27"/>
      <c r="H230" s="27"/>
      <c r="I230" s="27"/>
      <c r="J230" s="26"/>
      <c r="K230" s="26"/>
      <c r="L230" s="26"/>
      <c r="M230" s="28"/>
      <c r="N230" s="28"/>
      <c r="O230" s="29"/>
      <c r="P230" s="29"/>
      <c r="Q230" s="29"/>
      <c r="R230" s="29"/>
      <c r="S230" s="29"/>
      <c r="T230" s="29"/>
      <c r="U230" s="29"/>
      <c r="V230" s="10"/>
      <c r="W230" s="10"/>
      <c r="X230" s="10"/>
      <c r="Y230" s="10"/>
      <c r="Z230" s="10"/>
      <c r="AA230" s="10"/>
      <c r="AB230" s="10"/>
      <c r="AC230" s="10"/>
      <c r="AD230" s="10"/>
    </row>
    <row r="231" spans="1:30" ht="15.75" customHeight="1">
      <c r="A231" s="51"/>
      <c r="B231" s="41"/>
      <c r="C231" s="102"/>
      <c r="D231" s="26"/>
      <c r="E231" s="21" t="str">
        <f>IFERROR(VLOOKUP(D231,'DATOS ASIGNACIÓN'!B:I,7,0),"")</f>
        <v/>
      </c>
      <c r="F231" s="21" t="str">
        <f>IFERROR(VLOOKUP(D231,'DATOS ASIGNACIÓN'!B:I,6,0),"")</f>
        <v/>
      </c>
      <c r="G231" s="27"/>
      <c r="H231" s="27"/>
      <c r="I231" s="27"/>
      <c r="J231" s="26"/>
      <c r="K231" s="26"/>
      <c r="L231" s="26"/>
      <c r="M231" s="28"/>
      <c r="N231" s="28"/>
      <c r="O231" s="29"/>
      <c r="P231" s="29"/>
      <c r="Q231" s="29"/>
      <c r="R231" s="29"/>
      <c r="S231" s="29"/>
      <c r="T231" s="29"/>
      <c r="U231" s="29"/>
      <c r="V231" s="10"/>
      <c r="W231" s="10"/>
      <c r="X231" s="10"/>
      <c r="Y231" s="10"/>
      <c r="Z231" s="10"/>
      <c r="AA231" s="10"/>
      <c r="AB231" s="10"/>
      <c r="AC231" s="10"/>
      <c r="AD231" s="10"/>
    </row>
    <row r="232" spans="1:30" ht="15.75" customHeight="1">
      <c r="A232" s="51"/>
      <c r="B232" s="41"/>
      <c r="C232" s="102"/>
      <c r="D232" s="26"/>
      <c r="E232" s="21" t="str">
        <f>IFERROR(VLOOKUP(D232,'DATOS ASIGNACIÓN'!B:I,7,0),"")</f>
        <v/>
      </c>
      <c r="F232" s="21" t="str">
        <f>IFERROR(VLOOKUP(D232,'DATOS ASIGNACIÓN'!B:I,6,0),"")</f>
        <v/>
      </c>
      <c r="G232" s="27"/>
      <c r="H232" s="27"/>
      <c r="I232" s="27"/>
      <c r="J232" s="26"/>
      <c r="K232" s="26"/>
      <c r="L232" s="26"/>
      <c r="M232" s="28"/>
      <c r="N232" s="28"/>
      <c r="O232" s="29"/>
      <c r="P232" s="29"/>
      <c r="Q232" s="29"/>
      <c r="R232" s="29"/>
      <c r="S232" s="29"/>
      <c r="T232" s="29"/>
      <c r="U232" s="29"/>
      <c r="V232" s="10"/>
      <c r="W232" s="10"/>
      <c r="X232" s="10"/>
      <c r="Y232" s="10"/>
      <c r="Z232" s="10"/>
      <c r="AA232" s="10"/>
      <c r="AB232" s="10"/>
      <c r="AC232" s="10"/>
      <c r="AD232" s="10"/>
    </row>
    <row r="233" spans="1:30" ht="15.75" customHeight="1">
      <c r="A233" s="51"/>
      <c r="B233" s="41"/>
      <c r="C233" s="102"/>
      <c r="D233" s="26"/>
      <c r="E233" s="21" t="str">
        <f>IFERROR(VLOOKUP(D233,'DATOS ASIGNACIÓN'!B:I,7,0),"")</f>
        <v/>
      </c>
      <c r="F233" s="21" t="str">
        <f>IFERROR(VLOOKUP(D233,'DATOS ASIGNACIÓN'!B:I,6,0),"")</f>
        <v/>
      </c>
      <c r="G233" s="27"/>
      <c r="H233" s="27"/>
      <c r="I233" s="27"/>
      <c r="J233" s="26"/>
      <c r="K233" s="26"/>
      <c r="L233" s="26"/>
      <c r="M233" s="28"/>
      <c r="N233" s="28"/>
      <c r="O233" s="29"/>
      <c r="P233" s="29"/>
      <c r="Q233" s="29"/>
      <c r="R233" s="29"/>
      <c r="S233" s="29"/>
      <c r="T233" s="29"/>
      <c r="U233" s="29"/>
      <c r="V233" s="10"/>
      <c r="W233" s="10"/>
      <c r="X233" s="10"/>
      <c r="Y233" s="10"/>
      <c r="Z233" s="10"/>
      <c r="AA233" s="10"/>
      <c r="AB233" s="10"/>
      <c r="AC233" s="10"/>
      <c r="AD233" s="10"/>
    </row>
    <row r="234" spans="1:30" ht="15.75" customHeight="1">
      <c r="A234" s="51"/>
      <c r="B234" s="41"/>
      <c r="C234" s="102"/>
      <c r="D234" s="26"/>
      <c r="E234" s="21" t="str">
        <f>IFERROR(VLOOKUP(D234,'DATOS ASIGNACIÓN'!B:I,7,0),"")</f>
        <v/>
      </c>
      <c r="F234" s="21" t="str">
        <f>IFERROR(VLOOKUP(D234,'DATOS ASIGNACIÓN'!B:I,6,0),"")</f>
        <v/>
      </c>
      <c r="G234" s="27"/>
      <c r="H234" s="27"/>
      <c r="I234" s="27"/>
      <c r="J234" s="26"/>
      <c r="K234" s="26"/>
      <c r="L234" s="26"/>
      <c r="M234" s="28"/>
      <c r="N234" s="28"/>
      <c r="O234" s="29"/>
      <c r="P234" s="29"/>
      <c r="Q234" s="29"/>
      <c r="R234" s="29"/>
      <c r="S234" s="29"/>
      <c r="T234" s="29"/>
      <c r="U234" s="29"/>
      <c r="V234" s="10"/>
      <c r="W234" s="10"/>
      <c r="X234" s="10"/>
      <c r="Y234" s="10"/>
      <c r="Z234" s="10"/>
      <c r="AA234" s="10"/>
      <c r="AB234" s="10"/>
      <c r="AC234" s="10"/>
      <c r="AD234" s="10"/>
    </row>
    <row r="235" spans="1:30" ht="15.75" customHeight="1">
      <c r="A235" s="51"/>
      <c r="B235" s="41"/>
      <c r="C235" s="102"/>
      <c r="D235" s="26"/>
      <c r="E235" s="21" t="str">
        <f>IFERROR(VLOOKUP(D235,'DATOS ASIGNACIÓN'!B:I,7,0),"")</f>
        <v/>
      </c>
      <c r="F235" s="21" t="str">
        <f>IFERROR(VLOOKUP(D235,'DATOS ASIGNACIÓN'!B:I,6,0),"")</f>
        <v/>
      </c>
      <c r="G235" s="27"/>
      <c r="H235" s="27"/>
      <c r="I235" s="27"/>
      <c r="J235" s="26"/>
      <c r="K235" s="26"/>
      <c r="L235" s="26"/>
      <c r="M235" s="28"/>
      <c r="N235" s="28"/>
      <c r="O235" s="29"/>
      <c r="P235" s="29"/>
      <c r="Q235" s="29"/>
      <c r="R235" s="29"/>
      <c r="S235" s="29"/>
      <c r="T235" s="29"/>
      <c r="U235" s="29"/>
      <c r="V235" s="10"/>
      <c r="W235" s="10"/>
      <c r="X235" s="10"/>
      <c r="Y235" s="10"/>
      <c r="Z235" s="10"/>
      <c r="AA235" s="10"/>
      <c r="AB235" s="10"/>
      <c r="AC235" s="10"/>
      <c r="AD235" s="10"/>
    </row>
    <row r="236" spans="1:30" ht="15.75" customHeight="1">
      <c r="A236" s="51"/>
      <c r="B236" s="41"/>
      <c r="C236" s="102"/>
      <c r="D236" s="26"/>
      <c r="E236" s="21" t="str">
        <f>IFERROR(VLOOKUP(D236,'DATOS ASIGNACIÓN'!B:I,7,0),"")</f>
        <v/>
      </c>
      <c r="F236" s="21" t="str">
        <f>IFERROR(VLOOKUP(D236,'DATOS ASIGNACIÓN'!B:I,6,0),"")</f>
        <v/>
      </c>
      <c r="G236" s="27"/>
      <c r="H236" s="27"/>
      <c r="I236" s="27"/>
      <c r="J236" s="26"/>
      <c r="K236" s="26"/>
      <c r="L236" s="26"/>
      <c r="M236" s="28"/>
      <c r="N236" s="28"/>
      <c r="O236" s="29"/>
      <c r="P236" s="29"/>
      <c r="Q236" s="29"/>
      <c r="R236" s="29"/>
      <c r="S236" s="29"/>
      <c r="T236" s="29"/>
      <c r="U236" s="29"/>
      <c r="V236" s="10"/>
      <c r="W236" s="10"/>
      <c r="X236" s="10"/>
      <c r="Y236" s="10"/>
      <c r="Z236" s="10"/>
      <c r="AA236" s="10"/>
      <c r="AB236" s="10"/>
      <c r="AC236" s="10"/>
      <c r="AD236" s="10"/>
    </row>
    <row r="237" spans="1:30" ht="15.75" customHeight="1">
      <c r="A237" s="51"/>
      <c r="B237" s="41"/>
      <c r="C237" s="102"/>
      <c r="D237" s="26"/>
      <c r="E237" s="21" t="str">
        <f>IFERROR(VLOOKUP(D237,'DATOS ASIGNACIÓN'!B:I,7,0),"")</f>
        <v/>
      </c>
      <c r="F237" s="21" t="str">
        <f>IFERROR(VLOOKUP(D237,'DATOS ASIGNACIÓN'!B:I,6,0),"")</f>
        <v/>
      </c>
      <c r="G237" s="27"/>
      <c r="H237" s="27"/>
      <c r="I237" s="27"/>
      <c r="J237" s="26"/>
      <c r="K237" s="26"/>
      <c r="L237" s="26"/>
      <c r="M237" s="28"/>
      <c r="N237" s="28"/>
      <c r="O237" s="29"/>
      <c r="P237" s="29"/>
      <c r="Q237" s="29"/>
      <c r="R237" s="29"/>
      <c r="S237" s="29"/>
      <c r="T237" s="29"/>
      <c r="U237" s="29"/>
      <c r="V237" s="10"/>
      <c r="W237" s="10"/>
      <c r="X237" s="10"/>
      <c r="Y237" s="10"/>
      <c r="Z237" s="10"/>
      <c r="AA237" s="10"/>
      <c r="AB237" s="10"/>
      <c r="AC237" s="10"/>
      <c r="AD237" s="10"/>
    </row>
    <row r="238" spans="1:30" ht="15.75" customHeight="1">
      <c r="A238" s="51"/>
      <c r="B238" s="41"/>
      <c r="C238" s="102"/>
      <c r="D238" s="26"/>
      <c r="E238" s="21" t="str">
        <f>IFERROR(VLOOKUP(D238,'DATOS ASIGNACIÓN'!B:I,7,0),"")</f>
        <v/>
      </c>
      <c r="F238" s="21" t="str">
        <f>IFERROR(VLOOKUP(D238,'DATOS ASIGNACIÓN'!B:I,6,0),"")</f>
        <v/>
      </c>
      <c r="G238" s="27"/>
      <c r="H238" s="27"/>
      <c r="I238" s="27"/>
      <c r="J238" s="26"/>
      <c r="K238" s="26"/>
      <c r="L238" s="26"/>
      <c r="M238" s="28"/>
      <c r="N238" s="28"/>
      <c r="O238" s="29"/>
      <c r="P238" s="29"/>
      <c r="Q238" s="29"/>
      <c r="R238" s="29"/>
      <c r="S238" s="29"/>
      <c r="T238" s="29"/>
      <c r="U238" s="29"/>
      <c r="V238" s="10"/>
      <c r="W238" s="10"/>
      <c r="X238" s="10"/>
      <c r="Y238" s="10"/>
      <c r="Z238" s="10"/>
      <c r="AA238" s="10"/>
      <c r="AB238" s="10"/>
      <c r="AC238" s="10"/>
      <c r="AD238" s="10"/>
    </row>
    <row r="239" spans="1:30" ht="15.75" customHeight="1">
      <c r="A239" s="51"/>
      <c r="B239" s="41"/>
      <c r="C239" s="102"/>
      <c r="D239" s="26"/>
      <c r="E239" s="21" t="str">
        <f>IFERROR(VLOOKUP(D239,'DATOS ASIGNACIÓN'!B:I,7,0),"")</f>
        <v/>
      </c>
      <c r="F239" s="21" t="str">
        <f>IFERROR(VLOOKUP(D239,'DATOS ASIGNACIÓN'!B:I,6,0),"")</f>
        <v/>
      </c>
      <c r="G239" s="27"/>
      <c r="H239" s="27"/>
      <c r="I239" s="27"/>
      <c r="J239" s="26"/>
      <c r="K239" s="26"/>
      <c r="L239" s="26"/>
      <c r="M239" s="28"/>
      <c r="N239" s="28"/>
      <c r="O239" s="29"/>
      <c r="P239" s="29"/>
      <c r="Q239" s="29"/>
      <c r="R239" s="29"/>
      <c r="S239" s="29"/>
      <c r="T239" s="29"/>
      <c r="U239" s="29"/>
      <c r="V239" s="10"/>
      <c r="W239" s="10"/>
      <c r="X239" s="10"/>
      <c r="Y239" s="10"/>
      <c r="Z239" s="10"/>
      <c r="AA239" s="10"/>
      <c r="AB239" s="10"/>
      <c r="AC239" s="10"/>
      <c r="AD239" s="10"/>
    </row>
    <row r="240" spans="1:30" ht="15.75" customHeight="1">
      <c r="A240" s="51"/>
      <c r="B240" s="41"/>
      <c r="C240" s="102"/>
      <c r="D240" s="26"/>
      <c r="E240" s="21" t="str">
        <f>IFERROR(VLOOKUP(D240,'DATOS ASIGNACIÓN'!B:I,7,0),"")</f>
        <v/>
      </c>
      <c r="F240" s="21" t="str">
        <f>IFERROR(VLOOKUP(D240,'DATOS ASIGNACIÓN'!B:I,6,0),"")</f>
        <v/>
      </c>
      <c r="G240" s="27"/>
      <c r="H240" s="27"/>
      <c r="I240" s="27"/>
      <c r="J240" s="26"/>
      <c r="K240" s="26"/>
      <c r="L240" s="26"/>
      <c r="M240" s="28"/>
      <c r="N240" s="28"/>
      <c r="O240" s="29"/>
      <c r="P240" s="29"/>
      <c r="Q240" s="29"/>
      <c r="R240" s="29"/>
      <c r="S240" s="29"/>
      <c r="T240" s="29"/>
      <c r="U240" s="29"/>
      <c r="V240" s="10"/>
      <c r="W240" s="10"/>
      <c r="X240" s="10"/>
      <c r="Y240" s="10"/>
      <c r="Z240" s="10"/>
      <c r="AA240" s="10"/>
      <c r="AB240" s="10"/>
      <c r="AC240" s="10"/>
      <c r="AD240" s="10"/>
    </row>
    <row r="241" spans="1:30" ht="15.75" customHeight="1">
      <c r="A241" s="51"/>
      <c r="B241" s="41"/>
      <c r="C241" s="102"/>
      <c r="D241" s="26"/>
      <c r="E241" s="21" t="str">
        <f>IFERROR(VLOOKUP(D241,'DATOS ASIGNACIÓN'!B:I,7,0),"")</f>
        <v/>
      </c>
      <c r="F241" s="21" t="str">
        <f>IFERROR(VLOOKUP(D241,'DATOS ASIGNACIÓN'!B:I,6,0),"")</f>
        <v/>
      </c>
      <c r="G241" s="27"/>
      <c r="H241" s="27"/>
      <c r="I241" s="27"/>
      <c r="J241" s="26"/>
      <c r="K241" s="26"/>
      <c r="L241" s="26"/>
      <c r="M241" s="28"/>
      <c r="N241" s="28"/>
      <c r="O241" s="29"/>
      <c r="P241" s="29"/>
      <c r="Q241" s="29"/>
      <c r="R241" s="29"/>
      <c r="S241" s="29"/>
      <c r="T241" s="29"/>
      <c r="U241" s="29"/>
      <c r="V241" s="10"/>
      <c r="W241" s="10"/>
      <c r="X241" s="10"/>
      <c r="Y241" s="10"/>
      <c r="Z241" s="10"/>
      <c r="AA241" s="10"/>
      <c r="AB241" s="10"/>
      <c r="AC241" s="10"/>
      <c r="AD241" s="10"/>
    </row>
    <row r="242" spans="1:30" ht="15.75" customHeight="1">
      <c r="A242" s="51"/>
      <c r="B242" s="41"/>
      <c r="C242" s="102"/>
      <c r="D242" s="26"/>
      <c r="E242" s="21" t="str">
        <f>IFERROR(VLOOKUP(D242,'DATOS ASIGNACIÓN'!B:I,7,0),"")</f>
        <v/>
      </c>
      <c r="F242" s="21" t="str">
        <f>IFERROR(VLOOKUP(D242,'DATOS ASIGNACIÓN'!B:I,6,0),"")</f>
        <v/>
      </c>
      <c r="G242" s="27"/>
      <c r="H242" s="27"/>
      <c r="I242" s="27"/>
      <c r="J242" s="26"/>
      <c r="K242" s="26"/>
      <c r="L242" s="26"/>
      <c r="M242" s="28"/>
      <c r="N242" s="28"/>
      <c r="O242" s="29"/>
      <c r="P242" s="29"/>
      <c r="Q242" s="29"/>
      <c r="R242" s="29"/>
      <c r="S242" s="29"/>
      <c r="T242" s="29"/>
      <c r="U242" s="29"/>
      <c r="V242" s="10"/>
      <c r="W242" s="10"/>
      <c r="X242" s="10"/>
      <c r="Y242" s="10"/>
      <c r="Z242" s="10"/>
      <c r="AA242" s="10"/>
      <c r="AB242" s="10"/>
      <c r="AC242" s="10"/>
      <c r="AD242" s="10"/>
    </row>
    <row r="243" spans="1:30" ht="15.75" customHeight="1">
      <c r="A243" s="51"/>
      <c r="B243" s="41"/>
      <c r="C243" s="102"/>
      <c r="D243" s="26"/>
      <c r="E243" s="21" t="str">
        <f>IFERROR(VLOOKUP(D243,'DATOS ASIGNACIÓN'!B:I,7,0),"")</f>
        <v/>
      </c>
      <c r="F243" s="21" t="str">
        <f>IFERROR(VLOOKUP(D243,'DATOS ASIGNACIÓN'!B:I,6,0),"")</f>
        <v/>
      </c>
      <c r="G243" s="27"/>
      <c r="H243" s="27"/>
      <c r="I243" s="27"/>
      <c r="J243" s="26"/>
      <c r="K243" s="26"/>
      <c r="L243" s="26"/>
      <c r="M243" s="28"/>
      <c r="N243" s="28"/>
      <c r="O243" s="29"/>
      <c r="P243" s="29"/>
      <c r="Q243" s="29"/>
      <c r="R243" s="29"/>
      <c r="S243" s="29"/>
      <c r="T243" s="29"/>
      <c r="U243" s="29"/>
      <c r="V243" s="10"/>
      <c r="W243" s="10"/>
      <c r="X243" s="10"/>
      <c r="Y243" s="10"/>
      <c r="Z243" s="10"/>
      <c r="AA243" s="10"/>
      <c r="AB243" s="10"/>
      <c r="AC243" s="10"/>
      <c r="AD243" s="10"/>
    </row>
    <row r="244" spans="1:30" ht="15.75" customHeight="1">
      <c r="A244" s="51"/>
      <c r="B244" s="41"/>
      <c r="C244" s="102"/>
      <c r="D244" s="26"/>
      <c r="E244" s="21" t="str">
        <f>IFERROR(VLOOKUP(D244,'DATOS ASIGNACIÓN'!B:I,7,0),"")</f>
        <v/>
      </c>
      <c r="F244" s="21" t="str">
        <f>IFERROR(VLOOKUP(D244,'DATOS ASIGNACIÓN'!B:I,6,0),"")</f>
        <v/>
      </c>
      <c r="G244" s="27"/>
      <c r="H244" s="27"/>
      <c r="I244" s="27"/>
      <c r="J244" s="26"/>
      <c r="K244" s="26"/>
      <c r="L244" s="26"/>
      <c r="M244" s="28"/>
      <c r="N244" s="28"/>
      <c r="O244" s="29"/>
      <c r="P244" s="29"/>
      <c r="Q244" s="29"/>
      <c r="R244" s="29"/>
      <c r="S244" s="29"/>
      <c r="T244" s="29"/>
      <c r="U244" s="29"/>
      <c r="V244" s="10"/>
      <c r="W244" s="10"/>
      <c r="X244" s="10"/>
      <c r="Y244" s="10"/>
      <c r="Z244" s="10"/>
      <c r="AA244" s="10"/>
      <c r="AB244" s="10"/>
      <c r="AC244" s="10"/>
      <c r="AD244" s="10"/>
    </row>
    <row r="245" spans="1:30" ht="15.75" customHeight="1">
      <c r="A245" s="51"/>
      <c r="B245" s="41"/>
      <c r="C245" s="102"/>
      <c r="D245" s="26"/>
      <c r="E245" s="21" t="str">
        <f>IFERROR(VLOOKUP(D245,'DATOS ASIGNACIÓN'!B:I,7,0),"")</f>
        <v/>
      </c>
      <c r="F245" s="21" t="str">
        <f>IFERROR(VLOOKUP(D245,'DATOS ASIGNACIÓN'!B:I,6,0),"")</f>
        <v/>
      </c>
      <c r="G245" s="27"/>
      <c r="H245" s="27"/>
      <c r="I245" s="27"/>
      <c r="J245" s="26"/>
      <c r="K245" s="26"/>
      <c r="L245" s="26"/>
      <c r="M245" s="28"/>
      <c r="N245" s="28"/>
      <c r="O245" s="29"/>
      <c r="P245" s="29"/>
      <c r="Q245" s="29"/>
      <c r="R245" s="29"/>
      <c r="S245" s="29"/>
      <c r="T245" s="29"/>
      <c r="U245" s="29"/>
      <c r="V245" s="10"/>
      <c r="W245" s="10"/>
      <c r="X245" s="10"/>
      <c r="Y245" s="10"/>
      <c r="Z245" s="10"/>
      <c r="AA245" s="10"/>
      <c r="AB245" s="10"/>
      <c r="AC245" s="10"/>
      <c r="AD245" s="10"/>
    </row>
    <row r="246" spans="1:30" ht="15.75" customHeight="1">
      <c r="A246" s="51"/>
      <c r="B246" s="41"/>
      <c r="C246" s="102"/>
      <c r="D246" s="26"/>
      <c r="E246" s="21" t="str">
        <f>IFERROR(VLOOKUP(D246,'DATOS ASIGNACIÓN'!B:I,7,0),"")</f>
        <v/>
      </c>
      <c r="F246" s="21" t="str">
        <f>IFERROR(VLOOKUP(D246,'DATOS ASIGNACIÓN'!B:I,6,0),"")</f>
        <v/>
      </c>
      <c r="G246" s="27"/>
      <c r="H246" s="27"/>
      <c r="I246" s="27"/>
      <c r="J246" s="26"/>
      <c r="K246" s="26"/>
      <c r="L246" s="26"/>
      <c r="M246" s="28"/>
      <c r="N246" s="28"/>
      <c r="O246" s="29"/>
      <c r="P246" s="29"/>
      <c r="Q246" s="29"/>
      <c r="R246" s="29"/>
      <c r="S246" s="29"/>
      <c r="T246" s="29"/>
      <c r="U246" s="29"/>
      <c r="V246" s="10"/>
      <c r="W246" s="10"/>
      <c r="X246" s="10"/>
      <c r="Y246" s="10"/>
      <c r="Z246" s="10"/>
      <c r="AA246" s="10"/>
      <c r="AB246" s="10"/>
      <c r="AC246" s="10"/>
      <c r="AD246" s="10"/>
    </row>
    <row r="247" spans="1:30" ht="15.75" customHeight="1">
      <c r="A247" s="51"/>
      <c r="B247" s="41"/>
      <c r="C247" s="102"/>
      <c r="D247" s="26"/>
      <c r="E247" s="21" t="str">
        <f>IFERROR(VLOOKUP(D247,'DATOS ASIGNACIÓN'!B:I,7,0),"")</f>
        <v/>
      </c>
      <c r="F247" s="21" t="str">
        <f>IFERROR(VLOOKUP(D247,'DATOS ASIGNACIÓN'!B:I,6,0),"")</f>
        <v/>
      </c>
      <c r="G247" s="27"/>
      <c r="H247" s="27"/>
      <c r="I247" s="27"/>
      <c r="J247" s="26"/>
      <c r="K247" s="26"/>
      <c r="L247" s="26"/>
      <c r="M247" s="28"/>
      <c r="N247" s="28"/>
      <c r="O247" s="29"/>
      <c r="P247" s="29"/>
      <c r="Q247" s="29"/>
      <c r="R247" s="29"/>
      <c r="S247" s="29"/>
      <c r="T247" s="29"/>
      <c r="U247" s="29"/>
      <c r="V247" s="10"/>
      <c r="W247" s="10"/>
      <c r="X247" s="10"/>
      <c r="Y247" s="10"/>
      <c r="Z247" s="10"/>
      <c r="AA247" s="10"/>
      <c r="AB247" s="10"/>
      <c r="AC247" s="10"/>
      <c r="AD247" s="10"/>
    </row>
    <row r="248" spans="1:30" ht="15.75" customHeight="1">
      <c r="A248" s="51"/>
      <c r="B248" s="41"/>
      <c r="C248" s="102"/>
      <c r="D248" s="26"/>
      <c r="E248" s="21" t="str">
        <f>IFERROR(VLOOKUP(D248,'DATOS ASIGNACIÓN'!B:I,7,0),"")</f>
        <v/>
      </c>
      <c r="F248" s="21" t="str">
        <f>IFERROR(VLOOKUP(D248,'DATOS ASIGNACIÓN'!B:I,6,0),"")</f>
        <v/>
      </c>
      <c r="G248" s="27"/>
      <c r="H248" s="27"/>
      <c r="I248" s="27"/>
      <c r="J248" s="26"/>
      <c r="K248" s="26"/>
      <c r="L248" s="26"/>
      <c r="M248" s="28"/>
      <c r="N248" s="28"/>
      <c r="O248" s="29"/>
      <c r="P248" s="29"/>
      <c r="Q248" s="29"/>
      <c r="R248" s="29"/>
      <c r="S248" s="29"/>
      <c r="T248" s="29"/>
      <c r="U248" s="29"/>
      <c r="V248" s="10"/>
      <c r="W248" s="10"/>
      <c r="X248" s="10"/>
      <c r="Y248" s="10"/>
      <c r="Z248" s="10"/>
      <c r="AA248" s="10"/>
      <c r="AB248" s="10"/>
      <c r="AC248" s="10"/>
      <c r="AD248" s="10"/>
    </row>
    <row r="249" spans="1:30" ht="15.75" customHeight="1">
      <c r="A249" s="51"/>
      <c r="B249" s="41"/>
      <c r="C249" s="102"/>
      <c r="D249" s="26"/>
      <c r="E249" s="21" t="str">
        <f>IFERROR(VLOOKUP(D249,'DATOS ASIGNACIÓN'!B:I,7,0),"")</f>
        <v/>
      </c>
      <c r="F249" s="21" t="str">
        <f>IFERROR(VLOOKUP(D249,'DATOS ASIGNACIÓN'!B:I,6,0),"")</f>
        <v/>
      </c>
      <c r="G249" s="27"/>
      <c r="H249" s="27"/>
      <c r="I249" s="27"/>
      <c r="J249" s="26"/>
      <c r="K249" s="26"/>
      <c r="L249" s="26"/>
      <c r="M249" s="28"/>
      <c r="N249" s="28"/>
      <c r="O249" s="29"/>
      <c r="P249" s="29"/>
      <c r="Q249" s="29"/>
      <c r="R249" s="29"/>
      <c r="S249" s="29"/>
      <c r="T249" s="29"/>
      <c r="U249" s="29"/>
      <c r="V249" s="10"/>
      <c r="W249" s="10"/>
      <c r="X249" s="10"/>
      <c r="Y249" s="10"/>
      <c r="Z249" s="10"/>
      <c r="AA249" s="10"/>
      <c r="AB249" s="10"/>
      <c r="AC249" s="10"/>
      <c r="AD249" s="10"/>
    </row>
    <row r="250" spans="1:30" ht="15.75" customHeight="1">
      <c r="A250" s="51"/>
      <c r="B250" s="41"/>
      <c r="C250" s="102"/>
      <c r="D250" s="26"/>
      <c r="E250" s="21" t="str">
        <f>IFERROR(VLOOKUP(D250,'DATOS ASIGNACIÓN'!B:I,7,0),"")</f>
        <v/>
      </c>
      <c r="F250" s="21" t="str">
        <f>IFERROR(VLOOKUP(D250,'DATOS ASIGNACIÓN'!B:I,6,0),"")</f>
        <v/>
      </c>
      <c r="G250" s="27"/>
      <c r="H250" s="27"/>
      <c r="I250" s="27"/>
      <c r="J250" s="26"/>
      <c r="K250" s="26"/>
      <c r="L250" s="26"/>
      <c r="M250" s="28"/>
      <c r="N250" s="28"/>
      <c r="O250" s="29"/>
      <c r="P250" s="29"/>
      <c r="Q250" s="29"/>
      <c r="R250" s="29"/>
      <c r="S250" s="29"/>
      <c r="T250" s="29"/>
      <c r="U250" s="29"/>
      <c r="V250" s="10"/>
      <c r="W250" s="10"/>
      <c r="X250" s="10"/>
      <c r="Y250" s="10"/>
      <c r="Z250" s="10"/>
      <c r="AA250" s="10"/>
      <c r="AB250" s="10"/>
      <c r="AC250" s="10"/>
      <c r="AD250" s="10"/>
    </row>
    <row r="251" spans="1:30" ht="15.75" customHeight="1">
      <c r="A251" s="51"/>
      <c r="B251" s="41"/>
      <c r="C251" s="102"/>
      <c r="D251" s="26"/>
      <c r="E251" s="21" t="str">
        <f>IFERROR(VLOOKUP(D251,'DATOS ASIGNACIÓN'!B:I,7,0),"")</f>
        <v/>
      </c>
      <c r="F251" s="21" t="str">
        <f>IFERROR(VLOOKUP(D251,'DATOS ASIGNACIÓN'!B:I,6,0),"")</f>
        <v/>
      </c>
      <c r="G251" s="27"/>
      <c r="H251" s="27"/>
      <c r="I251" s="27"/>
      <c r="J251" s="26"/>
      <c r="K251" s="26"/>
      <c r="L251" s="26"/>
      <c r="M251" s="28"/>
      <c r="N251" s="28"/>
      <c r="O251" s="29"/>
      <c r="P251" s="29"/>
      <c r="Q251" s="29"/>
      <c r="R251" s="29"/>
      <c r="S251" s="29"/>
      <c r="T251" s="29"/>
      <c r="U251" s="29"/>
      <c r="V251" s="10"/>
      <c r="W251" s="10"/>
      <c r="X251" s="10"/>
      <c r="Y251" s="10"/>
      <c r="Z251" s="10"/>
      <c r="AA251" s="10"/>
      <c r="AB251" s="10"/>
      <c r="AC251" s="10"/>
      <c r="AD251" s="10"/>
    </row>
    <row r="252" spans="1:30" ht="15.75" customHeight="1">
      <c r="A252" s="51"/>
      <c r="B252" s="41"/>
      <c r="C252" s="102"/>
      <c r="D252" s="26"/>
      <c r="E252" s="21" t="str">
        <f>IFERROR(VLOOKUP(D252,'DATOS ASIGNACIÓN'!B:I,7,0),"")</f>
        <v/>
      </c>
      <c r="F252" s="21" t="str">
        <f>IFERROR(VLOOKUP(D252,'DATOS ASIGNACIÓN'!B:I,6,0),"")</f>
        <v/>
      </c>
      <c r="G252" s="27"/>
      <c r="H252" s="27"/>
      <c r="I252" s="27"/>
      <c r="J252" s="26"/>
      <c r="K252" s="26"/>
      <c r="L252" s="26"/>
      <c r="M252" s="28"/>
      <c r="N252" s="28"/>
      <c r="O252" s="29"/>
      <c r="P252" s="29"/>
      <c r="Q252" s="29"/>
      <c r="R252" s="29"/>
      <c r="S252" s="29"/>
      <c r="T252" s="29"/>
      <c r="U252" s="29"/>
      <c r="V252" s="10"/>
      <c r="W252" s="10"/>
      <c r="X252" s="10"/>
      <c r="Y252" s="10"/>
      <c r="Z252" s="10"/>
      <c r="AA252" s="10"/>
      <c r="AB252" s="10"/>
      <c r="AC252" s="10"/>
      <c r="AD252" s="10"/>
    </row>
    <row r="253" spans="1:30" ht="15.75" customHeight="1">
      <c r="A253" s="51"/>
      <c r="B253" s="41"/>
      <c r="C253" s="102"/>
      <c r="D253" s="26"/>
      <c r="E253" s="21" t="str">
        <f>IFERROR(VLOOKUP(D253,'DATOS ASIGNACIÓN'!B:I,7,0),"")</f>
        <v/>
      </c>
      <c r="F253" s="21" t="str">
        <f>IFERROR(VLOOKUP(D253,'DATOS ASIGNACIÓN'!B:I,6,0),"")</f>
        <v/>
      </c>
      <c r="G253" s="27"/>
      <c r="H253" s="27"/>
      <c r="I253" s="27"/>
      <c r="J253" s="26"/>
      <c r="K253" s="26"/>
      <c r="L253" s="26"/>
      <c r="M253" s="28"/>
      <c r="N253" s="28"/>
      <c r="O253" s="29"/>
      <c r="P253" s="29"/>
      <c r="Q253" s="29"/>
      <c r="R253" s="29"/>
      <c r="S253" s="29"/>
      <c r="T253" s="29"/>
      <c r="U253" s="29"/>
      <c r="V253" s="10"/>
      <c r="W253" s="10"/>
      <c r="X253" s="10"/>
      <c r="Y253" s="10"/>
      <c r="Z253" s="10"/>
      <c r="AA253" s="10"/>
      <c r="AB253" s="10"/>
      <c r="AC253" s="10"/>
      <c r="AD253" s="10"/>
    </row>
    <row r="254" spans="1:30" ht="15.75" customHeight="1">
      <c r="A254" s="51"/>
      <c r="B254" s="41"/>
      <c r="C254" s="102"/>
      <c r="D254" s="26"/>
      <c r="E254" s="21" t="str">
        <f>IFERROR(VLOOKUP(D254,'DATOS ASIGNACIÓN'!B:I,7,0),"")</f>
        <v/>
      </c>
      <c r="F254" s="21" t="str">
        <f>IFERROR(VLOOKUP(D254,'DATOS ASIGNACIÓN'!B:I,6,0),"")</f>
        <v/>
      </c>
      <c r="G254" s="27"/>
      <c r="H254" s="27"/>
      <c r="I254" s="27"/>
      <c r="J254" s="26"/>
      <c r="K254" s="26"/>
      <c r="L254" s="26"/>
      <c r="M254" s="28"/>
      <c r="N254" s="28"/>
      <c r="O254" s="29"/>
      <c r="P254" s="29"/>
      <c r="Q254" s="29"/>
      <c r="R254" s="29"/>
      <c r="S254" s="29"/>
      <c r="T254" s="29"/>
      <c r="U254" s="29"/>
      <c r="V254" s="10"/>
      <c r="W254" s="10"/>
      <c r="X254" s="10"/>
      <c r="Y254" s="10"/>
      <c r="Z254" s="10"/>
      <c r="AA254" s="10"/>
      <c r="AB254" s="10"/>
      <c r="AC254" s="10"/>
      <c r="AD254" s="10"/>
    </row>
    <row r="255" spans="1:30" ht="15.75" customHeight="1">
      <c r="A255" s="51"/>
      <c r="B255" s="41"/>
      <c r="C255" s="102"/>
      <c r="D255" s="26"/>
      <c r="E255" s="21" t="str">
        <f>IFERROR(VLOOKUP(D255,'DATOS ASIGNACIÓN'!B:I,7,0),"")</f>
        <v/>
      </c>
      <c r="F255" s="21" t="str">
        <f>IFERROR(VLOOKUP(D255,'DATOS ASIGNACIÓN'!B:I,6,0),"")</f>
        <v/>
      </c>
      <c r="G255" s="27"/>
      <c r="H255" s="27"/>
      <c r="I255" s="27"/>
      <c r="J255" s="26"/>
      <c r="K255" s="26"/>
      <c r="L255" s="26"/>
      <c r="M255" s="28"/>
      <c r="N255" s="28"/>
      <c r="O255" s="29"/>
      <c r="P255" s="29"/>
      <c r="Q255" s="29"/>
      <c r="R255" s="29"/>
      <c r="S255" s="29"/>
      <c r="T255" s="29"/>
      <c r="U255" s="29"/>
      <c r="V255" s="10"/>
      <c r="W255" s="10"/>
      <c r="X255" s="10"/>
      <c r="Y255" s="10"/>
      <c r="Z255" s="10"/>
      <c r="AA255" s="10"/>
      <c r="AB255" s="10"/>
      <c r="AC255" s="10"/>
      <c r="AD255" s="10"/>
    </row>
    <row r="256" spans="1:30" ht="15.75" customHeight="1">
      <c r="A256" s="51"/>
      <c r="B256" s="41"/>
      <c r="C256" s="102"/>
      <c r="D256" s="26"/>
      <c r="E256" s="21" t="str">
        <f>IFERROR(VLOOKUP(D256,'DATOS ASIGNACIÓN'!B:I,7,0),"")</f>
        <v/>
      </c>
      <c r="F256" s="21" t="str">
        <f>IFERROR(VLOOKUP(D256,'DATOS ASIGNACIÓN'!B:I,6,0),"")</f>
        <v/>
      </c>
      <c r="G256" s="27"/>
      <c r="H256" s="27"/>
      <c r="I256" s="27"/>
      <c r="J256" s="26"/>
      <c r="K256" s="26"/>
      <c r="L256" s="26"/>
      <c r="M256" s="28"/>
      <c r="N256" s="28"/>
      <c r="O256" s="29"/>
      <c r="P256" s="29"/>
      <c r="Q256" s="29"/>
      <c r="R256" s="29"/>
      <c r="S256" s="29"/>
      <c r="T256" s="29"/>
      <c r="U256" s="29"/>
      <c r="V256" s="10"/>
      <c r="W256" s="10"/>
      <c r="X256" s="10"/>
      <c r="Y256" s="10"/>
      <c r="Z256" s="10"/>
      <c r="AA256" s="10"/>
      <c r="AB256" s="10"/>
      <c r="AC256" s="10"/>
      <c r="AD256" s="10"/>
    </row>
    <row r="257" spans="1:30" ht="15.75" customHeight="1">
      <c r="A257" s="51"/>
      <c r="B257" s="41"/>
      <c r="C257" s="102"/>
      <c r="D257" s="26"/>
      <c r="E257" s="21" t="str">
        <f>IFERROR(VLOOKUP(D257,'DATOS ASIGNACIÓN'!B:I,7,0),"")</f>
        <v/>
      </c>
      <c r="F257" s="21" t="str">
        <f>IFERROR(VLOOKUP(D257,'DATOS ASIGNACIÓN'!B:I,6,0),"")</f>
        <v/>
      </c>
      <c r="G257" s="27"/>
      <c r="H257" s="27"/>
      <c r="I257" s="27"/>
      <c r="J257" s="26"/>
      <c r="K257" s="26"/>
      <c r="L257" s="26"/>
      <c r="M257" s="28"/>
      <c r="N257" s="28"/>
      <c r="O257" s="29"/>
      <c r="P257" s="29"/>
      <c r="Q257" s="29"/>
      <c r="R257" s="29"/>
      <c r="S257" s="29"/>
      <c r="T257" s="29"/>
      <c r="U257" s="29"/>
      <c r="V257" s="10"/>
      <c r="W257" s="10"/>
      <c r="X257" s="10"/>
      <c r="Y257" s="10"/>
      <c r="Z257" s="10"/>
      <c r="AA257" s="10"/>
      <c r="AB257" s="10"/>
      <c r="AC257" s="10"/>
      <c r="AD257" s="10"/>
    </row>
    <row r="258" spans="1:30" ht="15.75" customHeight="1">
      <c r="A258" s="51"/>
      <c r="B258" s="41"/>
      <c r="C258" s="102"/>
      <c r="D258" s="26"/>
      <c r="E258" s="21" t="str">
        <f>IFERROR(VLOOKUP(D258,'DATOS ASIGNACIÓN'!B:I,7,0),"")</f>
        <v/>
      </c>
      <c r="F258" s="21" t="str">
        <f>IFERROR(VLOOKUP(D258,'DATOS ASIGNACIÓN'!B:I,6,0),"")</f>
        <v/>
      </c>
      <c r="G258" s="27"/>
      <c r="H258" s="27"/>
      <c r="I258" s="27"/>
      <c r="J258" s="26"/>
      <c r="K258" s="26"/>
      <c r="L258" s="26"/>
      <c r="M258" s="28"/>
      <c r="N258" s="28"/>
      <c r="O258" s="29"/>
      <c r="P258" s="29"/>
      <c r="Q258" s="29"/>
      <c r="R258" s="29"/>
      <c r="S258" s="29"/>
      <c r="T258" s="29"/>
      <c r="U258" s="29"/>
      <c r="V258" s="10"/>
      <c r="W258" s="10"/>
      <c r="X258" s="10"/>
      <c r="Y258" s="10"/>
      <c r="Z258" s="10"/>
      <c r="AA258" s="10"/>
      <c r="AB258" s="10"/>
      <c r="AC258" s="10"/>
      <c r="AD258" s="10"/>
    </row>
    <row r="259" spans="1:30" ht="15.75" customHeight="1">
      <c r="A259" s="51"/>
      <c r="B259" s="41"/>
      <c r="C259" s="102"/>
      <c r="D259" s="26"/>
      <c r="E259" s="21" t="str">
        <f>IFERROR(VLOOKUP(D259,'DATOS ASIGNACIÓN'!B:I,7,0),"")</f>
        <v/>
      </c>
      <c r="F259" s="21" t="str">
        <f>IFERROR(VLOOKUP(D259,'DATOS ASIGNACIÓN'!B:I,6,0),"")</f>
        <v/>
      </c>
      <c r="G259" s="27"/>
      <c r="H259" s="27"/>
      <c r="I259" s="27"/>
      <c r="J259" s="26"/>
      <c r="K259" s="26"/>
      <c r="L259" s="26"/>
      <c r="M259" s="28"/>
      <c r="N259" s="28"/>
      <c r="O259" s="29"/>
      <c r="P259" s="29"/>
      <c r="Q259" s="29"/>
      <c r="R259" s="29"/>
      <c r="S259" s="29"/>
      <c r="T259" s="29"/>
      <c r="U259" s="29"/>
      <c r="V259" s="10"/>
      <c r="W259" s="10"/>
      <c r="X259" s="10"/>
      <c r="Y259" s="10"/>
      <c r="Z259" s="10"/>
      <c r="AA259" s="10"/>
      <c r="AB259" s="10"/>
      <c r="AC259" s="10"/>
      <c r="AD259" s="10"/>
    </row>
    <row r="260" spans="1:30" ht="15.75" customHeight="1">
      <c r="A260" s="51"/>
      <c r="B260" s="41"/>
      <c r="C260" s="102"/>
      <c r="D260" s="26"/>
      <c r="E260" s="21" t="str">
        <f>IFERROR(VLOOKUP(D260,'DATOS ASIGNACIÓN'!B:I,7,0),"")</f>
        <v/>
      </c>
      <c r="F260" s="21" t="str">
        <f>IFERROR(VLOOKUP(D260,'DATOS ASIGNACIÓN'!B:I,6,0),"")</f>
        <v/>
      </c>
      <c r="G260" s="27"/>
      <c r="H260" s="27"/>
      <c r="I260" s="27"/>
      <c r="J260" s="26"/>
      <c r="K260" s="26"/>
      <c r="L260" s="26"/>
      <c r="M260" s="28"/>
      <c r="N260" s="28"/>
      <c r="O260" s="29"/>
      <c r="P260" s="29"/>
      <c r="Q260" s="29"/>
      <c r="R260" s="29"/>
      <c r="S260" s="29"/>
      <c r="T260" s="29"/>
      <c r="U260" s="29"/>
      <c r="V260" s="10"/>
      <c r="W260" s="10"/>
      <c r="X260" s="10"/>
      <c r="Y260" s="10"/>
      <c r="Z260" s="10"/>
      <c r="AA260" s="10"/>
      <c r="AB260" s="10"/>
      <c r="AC260" s="10"/>
      <c r="AD260" s="10"/>
    </row>
    <row r="261" spans="1:30" ht="15.75" customHeight="1">
      <c r="A261" s="51"/>
      <c r="B261" s="41"/>
      <c r="C261" s="102"/>
      <c r="D261" s="26"/>
      <c r="E261" s="21" t="str">
        <f>IFERROR(VLOOKUP(D261,'DATOS ASIGNACIÓN'!B:I,7,0),"")</f>
        <v/>
      </c>
      <c r="F261" s="21" t="str">
        <f>IFERROR(VLOOKUP(D261,'DATOS ASIGNACIÓN'!B:I,6,0),"")</f>
        <v/>
      </c>
      <c r="G261" s="27"/>
      <c r="H261" s="27"/>
      <c r="I261" s="27"/>
      <c r="J261" s="26"/>
      <c r="K261" s="26"/>
      <c r="L261" s="26"/>
      <c r="M261" s="28"/>
      <c r="N261" s="28"/>
      <c r="O261" s="29"/>
      <c r="P261" s="29"/>
      <c r="Q261" s="29"/>
      <c r="R261" s="29"/>
      <c r="S261" s="29"/>
      <c r="T261" s="29"/>
      <c r="U261" s="29"/>
      <c r="V261" s="10"/>
      <c r="W261" s="10"/>
      <c r="X261" s="10"/>
      <c r="Y261" s="10"/>
      <c r="Z261" s="10"/>
      <c r="AA261" s="10"/>
      <c r="AB261" s="10"/>
      <c r="AC261" s="10"/>
      <c r="AD261" s="10"/>
    </row>
    <row r="262" spans="1:30" ht="15.75" customHeight="1">
      <c r="A262" s="51"/>
      <c r="B262" s="41"/>
      <c r="C262" s="102"/>
      <c r="D262" s="26"/>
      <c r="E262" s="21" t="str">
        <f>IFERROR(VLOOKUP(D262,'DATOS ASIGNACIÓN'!B:I,7,0),"")</f>
        <v/>
      </c>
      <c r="F262" s="21" t="str">
        <f>IFERROR(VLOOKUP(D262,'DATOS ASIGNACIÓN'!B:I,6,0),"")</f>
        <v/>
      </c>
      <c r="G262" s="27"/>
      <c r="H262" s="27"/>
      <c r="I262" s="27"/>
      <c r="J262" s="26"/>
      <c r="K262" s="26"/>
      <c r="L262" s="26"/>
      <c r="M262" s="28"/>
      <c r="N262" s="28"/>
      <c r="O262" s="29"/>
      <c r="P262" s="29"/>
      <c r="Q262" s="29"/>
      <c r="R262" s="29"/>
      <c r="S262" s="29"/>
      <c r="T262" s="29"/>
      <c r="U262" s="29"/>
      <c r="V262" s="10"/>
      <c r="W262" s="10"/>
      <c r="X262" s="10"/>
      <c r="Y262" s="10"/>
      <c r="Z262" s="10"/>
      <c r="AA262" s="10"/>
      <c r="AB262" s="10"/>
      <c r="AC262" s="10"/>
      <c r="AD262" s="10"/>
    </row>
    <row r="263" spans="1:30" ht="15.75" customHeight="1">
      <c r="A263" s="51"/>
      <c r="B263" s="41"/>
      <c r="C263" s="102"/>
      <c r="D263" s="26"/>
      <c r="E263" s="21" t="str">
        <f>IFERROR(VLOOKUP(D263,'DATOS ASIGNACIÓN'!B:I,7,0),"")</f>
        <v/>
      </c>
      <c r="F263" s="21" t="str">
        <f>IFERROR(VLOOKUP(D263,'DATOS ASIGNACIÓN'!B:I,6,0),"")</f>
        <v/>
      </c>
      <c r="G263" s="27"/>
      <c r="H263" s="27"/>
      <c r="I263" s="27"/>
      <c r="J263" s="26"/>
      <c r="K263" s="26"/>
      <c r="L263" s="26"/>
      <c r="M263" s="28"/>
      <c r="N263" s="28"/>
      <c r="O263" s="29"/>
      <c r="P263" s="29"/>
      <c r="Q263" s="29"/>
      <c r="R263" s="29"/>
      <c r="S263" s="29"/>
      <c r="T263" s="29"/>
      <c r="U263" s="29"/>
      <c r="V263" s="10"/>
      <c r="W263" s="10"/>
      <c r="X263" s="10"/>
      <c r="Y263" s="10"/>
      <c r="Z263" s="10"/>
      <c r="AA263" s="10"/>
      <c r="AB263" s="10"/>
      <c r="AC263" s="10"/>
      <c r="AD263" s="10"/>
    </row>
    <row r="264" spans="1:30" ht="15.75" customHeight="1">
      <c r="A264" s="51"/>
      <c r="B264" s="41"/>
      <c r="C264" s="102"/>
      <c r="D264" s="26"/>
      <c r="E264" s="21" t="str">
        <f>IFERROR(VLOOKUP(D264,'DATOS ASIGNACIÓN'!B:I,7,0),"")</f>
        <v/>
      </c>
      <c r="F264" s="21" t="str">
        <f>IFERROR(VLOOKUP(D264,'DATOS ASIGNACIÓN'!B:I,6,0),"")</f>
        <v/>
      </c>
      <c r="G264" s="27"/>
      <c r="H264" s="27"/>
      <c r="I264" s="27"/>
      <c r="J264" s="26"/>
      <c r="K264" s="26"/>
      <c r="L264" s="26"/>
      <c r="M264" s="28"/>
      <c r="N264" s="28"/>
      <c r="O264" s="29"/>
      <c r="P264" s="29"/>
      <c r="Q264" s="29"/>
      <c r="R264" s="29"/>
      <c r="S264" s="29"/>
      <c r="T264" s="29"/>
      <c r="U264" s="29"/>
      <c r="V264" s="10"/>
      <c r="W264" s="10"/>
      <c r="X264" s="10"/>
      <c r="Y264" s="10"/>
      <c r="Z264" s="10"/>
      <c r="AA264" s="10"/>
      <c r="AB264" s="10"/>
      <c r="AC264" s="10"/>
      <c r="AD264" s="10"/>
    </row>
    <row r="265" spans="1:30" ht="15.75" customHeight="1">
      <c r="A265" s="51"/>
      <c r="B265" s="41"/>
      <c r="C265" s="102"/>
      <c r="D265" s="26"/>
      <c r="E265" s="21" t="str">
        <f>IFERROR(VLOOKUP(D265,'DATOS ASIGNACIÓN'!B:I,7,0),"")</f>
        <v/>
      </c>
      <c r="F265" s="21" t="str">
        <f>IFERROR(VLOOKUP(D265,'DATOS ASIGNACIÓN'!B:I,6,0),"")</f>
        <v/>
      </c>
      <c r="G265" s="27"/>
      <c r="H265" s="27"/>
      <c r="I265" s="27"/>
      <c r="J265" s="26"/>
      <c r="K265" s="26"/>
      <c r="L265" s="26"/>
      <c r="M265" s="28"/>
      <c r="N265" s="28"/>
      <c r="O265" s="29"/>
      <c r="P265" s="29"/>
      <c r="Q265" s="29"/>
      <c r="R265" s="29"/>
      <c r="S265" s="29"/>
      <c r="T265" s="29"/>
      <c r="U265" s="29"/>
      <c r="V265" s="10"/>
      <c r="W265" s="10"/>
      <c r="X265" s="10"/>
      <c r="Y265" s="10"/>
      <c r="Z265" s="10"/>
      <c r="AA265" s="10"/>
      <c r="AB265" s="10"/>
      <c r="AC265" s="10"/>
      <c r="AD265" s="10"/>
    </row>
    <row r="266" spans="1:30" ht="15.75" customHeight="1">
      <c r="A266" s="51"/>
      <c r="B266" s="41"/>
      <c r="C266" s="102"/>
      <c r="D266" s="26"/>
      <c r="E266" s="21" t="str">
        <f>IFERROR(VLOOKUP(D266,'DATOS ASIGNACIÓN'!B:I,7,0),"")</f>
        <v/>
      </c>
      <c r="F266" s="21" t="str">
        <f>IFERROR(VLOOKUP(D266,'DATOS ASIGNACIÓN'!B:I,6,0),"")</f>
        <v/>
      </c>
      <c r="G266" s="27"/>
      <c r="H266" s="27"/>
      <c r="I266" s="27"/>
      <c r="J266" s="26"/>
      <c r="K266" s="26"/>
      <c r="L266" s="26"/>
      <c r="M266" s="28"/>
      <c r="N266" s="28"/>
      <c r="O266" s="29"/>
      <c r="P266" s="29"/>
      <c r="Q266" s="29"/>
      <c r="R266" s="29"/>
      <c r="S266" s="29"/>
      <c r="T266" s="29"/>
      <c r="U266" s="29"/>
      <c r="V266" s="10"/>
      <c r="W266" s="10"/>
      <c r="X266" s="10"/>
      <c r="Y266" s="10"/>
      <c r="Z266" s="10"/>
      <c r="AA266" s="10"/>
      <c r="AB266" s="10"/>
      <c r="AC266" s="10"/>
      <c r="AD266" s="10"/>
    </row>
    <row r="267" spans="1:30" ht="15.75" customHeight="1">
      <c r="A267" s="51"/>
      <c r="B267" s="41"/>
      <c r="C267" s="102"/>
      <c r="D267" s="26"/>
      <c r="E267" s="21" t="str">
        <f>IFERROR(VLOOKUP(D267,'DATOS ASIGNACIÓN'!B:I,7,0),"")</f>
        <v/>
      </c>
      <c r="F267" s="21" t="str">
        <f>IFERROR(VLOOKUP(D267,'DATOS ASIGNACIÓN'!B:I,6,0),"")</f>
        <v/>
      </c>
      <c r="G267" s="27"/>
      <c r="H267" s="27"/>
      <c r="I267" s="27"/>
      <c r="J267" s="26"/>
      <c r="K267" s="26"/>
      <c r="L267" s="26"/>
      <c r="M267" s="28"/>
      <c r="N267" s="28"/>
      <c r="O267" s="29"/>
      <c r="P267" s="29"/>
      <c r="Q267" s="29"/>
      <c r="R267" s="29"/>
      <c r="S267" s="29"/>
      <c r="T267" s="29"/>
      <c r="U267" s="29"/>
      <c r="V267" s="10"/>
      <c r="W267" s="10"/>
      <c r="X267" s="10"/>
      <c r="Y267" s="10"/>
      <c r="Z267" s="10"/>
      <c r="AA267" s="10"/>
      <c r="AB267" s="10"/>
      <c r="AC267" s="10"/>
      <c r="AD267" s="10"/>
    </row>
    <row r="268" spans="1:30" ht="15.75" customHeight="1">
      <c r="A268" s="51"/>
      <c r="B268" s="41"/>
      <c r="C268" s="102"/>
      <c r="D268" s="26"/>
      <c r="E268" s="21" t="str">
        <f>IFERROR(VLOOKUP(D268,'DATOS ASIGNACIÓN'!B:I,7,0),"")</f>
        <v/>
      </c>
      <c r="F268" s="21" t="str">
        <f>IFERROR(VLOOKUP(D268,'DATOS ASIGNACIÓN'!B:I,6,0),"")</f>
        <v/>
      </c>
      <c r="G268" s="27"/>
      <c r="H268" s="27"/>
      <c r="I268" s="27"/>
      <c r="J268" s="26"/>
      <c r="K268" s="26"/>
      <c r="L268" s="26"/>
      <c r="M268" s="28"/>
      <c r="N268" s="28"/>
      <c r="O268" s="29"/>
      <c r="P268" s="29"/>
      <c r="Q268" s="29"/>
      <c r="R268" s="29"/>
      <c r="S268" s="29"/>
      <c r="T268" s="29"/>
      <c r="U268" s="29"/>
      <c r="V268" s="10"/>
      <c r="W268" s="10"/>
      <c r="X268" s="10"/>
      <c r="Y268" s="10"/>
      <c r="Z268" s="10"/>
      <c r="AA268" s="10"/>
      <c r="AB268" s="10"/>
      <c r="AC268" s="10"/>
      <c r="AD268" s="10"/>
    </row>
    <row r="269" spans="1:30" ht="15.75" customHeight="1">
      <c r="A269" s="51"/>
      <c r="B269" s="41"/>
      <c r="C269" s="102"/>
      <c r="D269" s="26"/>
      <c r="E269" s="21" t="str">
        <f>IFERROR(VLOOKUP(D269,'DATOS ASIGNACIÓN'!B:I,7,0),"")</f>
        <v/>
      </c>
      <c r="F269" s="21" t="str">
        <f>IFERROR(VLOOKUP(D269,'DATOS ASIGNACIÓN'!B:I,6,0),"")</f>
        <v/>
      </c>
      <c r="G269" s="27"/>
      <c r="H269" s="27"/>
      <c r="I269" s="27"/>
      <c r="J269" s="26"/>
      <c r="K269" s="26"/>
      <c r="L269" s="26"/>
      <c r="M269" s="28"/>
      <c r="N269" s="28"/>
      <c r="O269" s="29"/>
      <c r="P269" s="29"/>
      <c r="Q269" s="29"/>
      <c r="R269" s="29"/>
      <c r="S269" s="29"/>
      <c r="T269" s="29"/>
      <c r="U269" s="29"/>
      <c r="V269" s="10"/>
      <c r="W269" s="10"/>
      <c r="X269" s="10"/>
      <c r="Y269" s="10"/>
      <c r="Z269" s="10"/>
      <c r="AA269" s="10"/>
      <c r="AB269" s="10"/>
      <c r="AC269" s="10"/>
      <c r="AD269" s="10"/>
    </row>
    <row r="270" spans="1:30" ht="15.75" customHeight="1">
      <c r="A270" s="51"/>
      <c r="B270" s="41"/>
      <c r="C270" s="102"/>
      <c r="D270" s="26"/>
      <c r="E270" s="21" t="str">
        <f>IFERROR(VLOOKUP(D270,'DATOS ASIGNACIÓN'!B:I,7,0),"")</f>
        <v/>
      </c>
      <c r="F270" s="21" t="str">
        <f>IFERROR(VLOOKUP(D270,'DATOS ASIGNACIÓN'!B:I,6,0),"")</f>
        <v/>
      </c>
      <c r="G270" s="27"/>
      <c r="H270" s="27"/>
      <c r="I270" s="27"/>
      <c r="J270" s="26"/>
      <c r="K270" s="26"/>
      <c r="L270" s="26"/>
      <c r="M270" s="28"/>
      <c r="N270" s="28"/>
      <c r="O270" s="29"/>
      <c r="P270" s="29"/>
      <c r="Q270" s="29"/>
      <c r="R270" s="29"/>
      <c r="S270" s="29"/>
      <c r="T270" s="29"/>
      <c r="U270" s="29"/>
      <c r="V270" s="10"/>
      <c r="W270" s="10"/>
      <c r="X270" s="10"/>
      <c r="Y270" s="10"/>
      <c r="Z270" s="10"/>
      <c r="AA270" s="10"/>
      <c r="AB270" s="10"/>
      <c r="AC270" s="10"/>
      <c r="AD270" s="10"/>
    </row>
    <row r="271" spans="1:30" ht="15.75" customHeight="1">
      <c r="A271" s="51"/>
      <c r="B271" s="41"/>
      <c r="C271" s="102"/>
      <c r="D271" s="26"/>
      <c r="E271" s="21" t="str">
        <f>IFERROR(VLOOKUP(D271,'DATOS ASIGNACIÓN'!B:I,7,0),"")</f>
        <v/>
      </c>
      <c r="F271" s="21" t="str">
        <f>IFERROR(VLOOKUP(D271,'DATOS ASIGNACIÓN'!B:I,6,0),"")</f>
        <v/>
      </c>
      <c r="G271" s="27"/>
      <c r="H271" s="27"/>
      <c r="I271" s="27"/>
      <c r="J271" s="26"/>
      <c r="K271" s="26"/>
      <c r="L271" s="26"/>
      <c r="M271" s="28"/>
      <c r="N271" s="28"/>
      <c r="O271" s="29"/>
      <c r="P271" s="29"/>
      <c r="Q271" s="29"/>
      <c r="R271" s="29"/>
      <c r="S271" s="29"/>
      <c r="T271" s="29"/>
      <c r="U271" s="29"/>
      <c r="V271" s="10"/>
      <c r="W271" s="10"/>
      <c r="X271" s="10"/>
      <c r="Y271" s="10"/>
      <c r="Z271" s="10"/>
      <c r="AA271" s="10"/>
      <c r="AB271" s="10"/>
      <c r="AC271" s="10"/>
      <c r="AD271" s="10"/>
    </row>
    <row r="272" spans="1:30" ht="15.75" customHeight="1">
      <c r="A272" s="51"/>
      <c r="B272" s="41"/>
      <c r="C272" s="102"/>
      <c r="D272" s="26"/>
      <c r="E272" s="21" t="str">
        <f>IFERROR(VLOOKUP(D272,'DATOS ASIGNACIÓN'!B:I,7,0),"")</f>
        <v/>
      </c>
      <c r="F272" s="21" t="str">
        <f>IFERROR(VLOOKUP(D272,'DATOS ASIGNACIÓN'!B:I,6,0),"")</f>
        <v/>
      </c>
      <c r="G272" s="27"/>
      <c r="H272" s="27"/>
      <c r="I272" s="27"/>
      <c r="J272" s="26"/>
      <c r="K272" s="26"/>
      <c r="L272" s="26"/>
      <c r="M272" s="28"/>
      <c r="N272" s="28"/>
      <c r="O272" s="29"/>
      <c r="P272" s="29"/>
      <c r="Q272" s="29"/>
      <c r="R272" s="29"/>
      <c r="S272" s="29"/>
      <c r="T272" s="29"/>
      <c r="U272" s="29"/>
      <c r="V272" s="10"/>
      <c r="W272" s="10"/>
      <c r="X272" s="10"/>
      <c r="Y272" s="10"/>
      <c r="Z272" s="10"/>
      <c r="AA272" s="10"/>
      <c r="AB272" s="10"/>
      <c r="AC272" s="10"/>
      <c r="AD272" s="10"/>
    </row>
    <row r="273" spans="1:30" ht="15.75" customHeight="1">
      <c r="A273" s="51"/>
      <c r="B273" s="41"/>
      <c r="C273" s="102"/>
      <c r="D273" s="26"/>
      <c r="E273" s="21" t="str">
        <f>IFERROR(VLOOKUP(D273,'DATOS ASIGNACIÓN'!B:I,7,0),"")</f>
        <v/>
      </c>
      <c r="F273" s="21" t="str">
        <f>IFERROR(VLOOKUP(D273,'DATOS ASIGNACIÓN'!B:I,6,0),"")</f>
        <v/>
      </c>
      <c r="G273" s="27"/>
      <c r="H273" s="27"/>
      <c r="I273" s="27"/>
      <c r="J273" s="26"/>
      <c r="K273" s="26"/>
      <c r="L273" s="26"/>
      <c r="M273" s="28"/>
      <c r="N273" s="28"/>
      <c r="O273" s="29"/>
      <c r="P273" s="29"/>
      <c r="Q273" s="29"/>
      <c r="R273" s="29"/>
      <c r="S273" s="29"/>
      <c r="T273" s="29"/>
      <c r="U273" s="29"/>
      <c r="V273" s="10"/>
      <c r="W273" s="10"/>
      <c r="X273" s="10"/>
      <c r="Y273" s="10"/>
      <c r="Z273" s="10"/>
      <c r="AA273" s="10"/>
      <c r="AB273" s="10"/>
      <c r="AC273" s="10"/>
      <c r="AD273" s="10"/>
    </row>
    <row r="274" spans="1:30" ht="15.75" customHeight="1">
      <c r="A274" s="51"/>
      <c r="B274" s="41"/>
      <c r="C274" s="102"/>
      <c r="D274" s="26"/>
      <c r="E274" s="21" t="str">
        <f>IFERROR(VLOOKUP(D274,'DATOS ASIGNACIÓN'!B:I,7,0),"")</f>
        <v/>
      </c>
      <c r="F274" s="21" t="str">
        <f>IFERROR(VLOOKUP(D274,'DATOS ASIGNACIÓN'!B:I,6,0),"")</f>
        <v/>
      </c>
      <c r="G274" s="27"/>
      <c r="H274" s="27"/>
      <c r="I274" s="27"/>
      <c r="J274" s="26"/>
      <c r="K274" s="26"/>
      <c r="L274" s="26"/>
      <c r="M274" s="28"/>
      <c r="N274" s="28"/>
      <c r="O274" s="29"/>
      <c r="P274" s="29"/>
      <c r="Q274" s="29"/>
      <c r="R274" s="29"/>
      <c r="S274" s="29"/>
      <c r="T274" s="29"/>
      <c r="U274" s="29"/>
      <c r="V274" s="10"/>
      <c r="W274" s="10"/>
      <c r="X274" s="10"/>
      <c r="Y274" s="10"/>
      <c r="Z274" s="10"/>
      <c r="AA274" s="10"/>
      <c r="AB274" s="10"/>
      <c r="AC274" s="10"/>
      <c r="AD274" s="10"/>
    </row>
    <row r="275" spans="1:30" ht="15.75" customHeight="1">
      <c r="A275" s="51"/>
      <c r="B275" s="41"/>
      <c r="C275" s="102"/>
      <c r="D275" s="26"/>
      <c r="E275" s="21" t="str">
        <f>IFERROR(VLOOKUP(D275,'DATOS ASIGNACIÓN'!B:I,7,0),"")</f>
        <v/>
      </c>
      <c r="F275" s="21" t="str">
        <f>IFERROR(VLOOKUP(D275,'DATOS ASIGNACIÓN'!B:I,6,0),"")</f>
        <v/>
      </c>
      <c r="G275" s="27"/>
      <c r="H275" s="27"/>
      <c r="I275" s="27"/>
      <c r="J275" s="26"/>
      <c r="K275" s="26"/>
      <c r="L275" s="26"/>
      <c r="M275" s="28"/>
      <c r="N275" s="28"/>
      <c r="O275" s="29"/>
      <c r="P275" s="29"/>
      <c r="Q275" s="29"/>
      <c r="R275" s="29"/>
      <c r="S275" s="29"/>
      <c r="T275" s="29"/>
      <c r="U275" s="29"/>
      <c r="V275" s="10"/>
      <c r="W275" s="10"/>
      <c r="X275" s="10"/>
      <c r="Y275" s="10"/>
      <c r="Z275" s="10"/>
      <c r="AA275" s="10"/>
      <c r="AB275" s="10"/>
      <c r="AC275" s="10"/>
      <c r="AD275" s="10"/>
    </row>
    <row r="276" spans="1:30" ht="15.75" customHeight="1">
      <c r="A276" s="51"/>
      <c r="B276" s="41"/>
      <c r="C276" s="102"/>
      <c r="D276" s="26"/>
      <c r="E276" s="21" t="str">
        <f>IFERROR(VLOOKUP(D276,'DATOS ASIGNACIÓN'!B:I,7,0),"")</f>
        <v/>
      </c>
      <c r="F276" s="21" t="str">
        <f>IFERROR(VLOOKUP(D276,'DATOS ASIGNACIÓN'!B:I,6,0),"")</f>
        <v/>
      </c>
      <c r="G276" s="27"/>
      <c r="H276" s="27"/>
      <c r="I276" s="27"/>
      <c r="J276" s="26"/>
      <c r="K276" s="26"/>
      <c r="L276" s="26"/>
      <c r="M276" s="28"/>
      <c r="N276" s="28"/>
      <c r="O276" s="29"/>
      <c r="P276" s="29"/>
      <c r="Q276" s="29"/>
      <c r="R276" s="29"/>
      <c r="S276" s="29"/>
      <c r="T276" s="29"/>
      <c r="U276" s="29"/>
      <c r="V276" s="10"/>
      <c r="W276" s="10"/>
      <c r="X276" s="10"/>
      <c r="Y276" s="10"/>
      <c r="Z276" s="10"/>
      <c r="AA276" s="10"/>
      <c r="AB276" s="10"/>
      <c r="AC276" s="10"/>
      <c r="AD276" s="10"/>
    </row>
    <row r="277" spans="1:30" ht="15.75" customHeight="1">
      <c r="A277" s="51"/>
      <c r="B277" s="41"/>
      <c r="C277" s="102"/>
      <c r="D277" s="26"/>
      <c r="E277" s="21" t="str">
        <f>IFERROR(VLOOKUP(D277,'DATOS ASIGNACIÓN'!B:I,7,0),"")</f>
        <v/>
      </c>
      <c r="F277" s="21" t="str">
        <f>IFERROR(VLOOKUP(D277,'DATOS ASIGNACIÓN'!B:I,6,0),"")</f>
        <v/>
      </c>
      <c r="G277" s="27"/>
      <c r="H277" s="27"/>
      <c r="I277" s="27"/>
      <c r="J277" s="26"/>
      <c r="K277" s="26"/>
      <c r="L277" s="26"/>
      <c r="M277" s="28"/>
      <c r="N277" s="28"/>
      <c r="O277" s="29"/>
      <c r="P277" s="29"/>
      <c r="Q277" s="29"/>
      <c r="R277" s="29"/>
      <c r="S277" s="29"/>
      <c r="T277" s="29"/>
      <c r="U277" s="29"/>
      <c r="V277" s="10"/>
      <c r="W277" s="10"/>
      <c r="X277" s="10"/>
      <c r="Y277" s="10"/>
      <c r="Z277" s="10"/>
      <c r="AA277" s="10"/>
      <c r="AB277" s="10"/>
      <c r="AC277" s="10"/>
      <c r="AD277" s="10"/>
    </row>
    <row r="278" spans="1:30" ht="15.75" customHeight="1">
      <c r="A278" s="51"/>
      <c r="B278" s="41"/>
      <c r="C278" s="102"/>
      <c r="D278" s="26"/>
      <c r="E278" s="21" t="str">
        <f>IFERROR(VLOOKUP(D278,'DATOS ASIGNACIÓN'!B:I,7,0),"")</f>
        <v/>
      </c>
      <c r="F278" s="21" t="str">
        <f>IFERROR(VLOOKUP(D278,'DATOS ASIGNACIÓN'!B:I,6,0),"")</f>
        <v/>
      </c>
      <c r="G278" s="27"/>
      <c r="H278" s="27"/>
      <c r="I278" s="27"/>
      <c r="J278" s="26"/>
      <c r="K278" s="26"/>
      <c r="L278" s="26"/>
      <c r="M278" s="28"/>
      <c r="N278" s="28"/>
      <c r="O278" s="29"/>
      <c r="P278" s="29"/>
      <c r="Q278" s="29"/>
      <c r="R278" s="29"/>
      <c r="S278" s="29"/>
      <c r="T278" s="29"/>
      <c r="U278" s="29"/>
      <c r="V278" s="10"/>
      <c r="W278" s="10"/>
      <c r="X278" s="10"/>
      <c r="Y278" s="10"/>
      <c r="Z278" s="10"/>
      <c r="AA278" s="10"/>
      <c r="AB278" s="10"/>
      <c r="AC278" s="10"/>
      <c r="AD278" s="10"/>
    </row>
    <row r="279" spans="1:30" ht="15.75" customHeight="1">
      <c r="A279" s="51"/>
      <c r="B279" s="41"/>
      <c r="C279" s="102"/>
      <c r="D279" s="26"/>
      <c r="E279" s="21" t="str">
        <f>IFERROR(VLOOKUP(D279,'DATOS ASIGNACIÓN'!B:I,7,0),"")</f>
        <v/>
      </c>
      <c r="F279" s="21" t="str">
        <f>IFERROR(VLOOKUP(D279,'DATOS ASIGNACIÓN'!B:I,6,0),"")</f>
        <v/>
      </c>
      <c r="G279" s="27"/>
      <c r="H279" s="27"/>
      <c r="I279" s="27"/>
      <c r="J279" s="26"/>
      <c r="K279" s="26"/>
      <c r="L279" s="26"/>
      <c r="M279" s="28"/>
      <c r="N279" s="28"/>
      <c r="O279" s="29"/>
      <c r="P279" s="29"/>
      <c r="Q279" s="29"/>
      <c r="R279" s="29"/>
      <c r="S279" s="29"/>
      <c r="T279" s="29"/>
      <c r="U279" s="29"/>
      <c r="V279" s="10"/>
      <c r="W279" s="10"/>
      <c r="X279" s="10"/>
      <c r="Y279" s="10"/>
      <c r="Z279" s="10"/>
      <c r="AA279" s="10"/>
      <c r="AB279" s="10"/>
      <c r="AC279" s="10"/>
      <c r="AD279" s="10"/>
    </row>
    <row r="280" spans="1:30" ht="15.75" customHeight="1">
      <c r="A280" s="51"/>
      <c r="B280" s="41"/>
      <c r="C280" s="102"/>
      <c r="D280" s="26"/>
      <c r="E280" s="21" t="str">
        <f>IFERROR(VLOOKUP(D280,'DATOS ASIGNACIÓN'!B:I,7,0),"")</f>
        <v/>
      </c>
      <c r="F280" s="21" t="str">
        <f>IFERROR(VLOOKUP(D280,'DATOS ASIGNACIÓN'!B:I,6,0),"")</f>
        <v/>
      </c>
      <c r="G280" s="27"/>
      <c r="H280" s="27"/>
      <c r="I280" s="27"/>
      <c r="J280" s="26"/>
      <c r="K280" s="26"/>
      <c r="L280" s="26"/>
      <c r="M280" s="28"/>
      <c r="N280" s="28"/>
      <c r="O280" s="29"/>
      <c r="P280" s="29"/>
      <c r="Q280" s="29"/>
      <c r="R280" s="29"/>
      <c r="S280" s="29"/>
      <c r="T280" s="29"/>
      <c r="U280" s="29"/>
      <c r="V280" s="10"/>
      <c r="W280" s="10"/>
      <c r="X280" s="10"/>
      <c r="Y280" s="10"/>
      <c r="Z280" s="10"/>
      <c r="AA280" s="10"/>
      <c r="AB280" s="10"/>
      <c r="AC280" s="10"/>
      <c r="AD280" s="10"/>
    </row>
    <row r="281" spans="1:30" ht="15.75" customHeight="1">
      <c r="A281" s="51"/>
      <c r="B281" s="41"/>
      <c r="C281" s="102"/>
      <c r="D281" s="26"/>
      <c r="E281" s="21" t="str">
        <f>IFERROR(VLOOKUP(D281,'DATOS ASIGNACIÓN'!B:I,7,0),"")</f>
        <v/>
      </c>
      <c r="F281" s="21" t="str">
        <f>IFERROR(VLOOKUP(D281,'DATOS ASIGNACIÓN'!B:I,6,0),"")</f>
        <v/>
      </c>
      <c r="G281" s="27"/>
      <c r="H281" s="27"/>
      <c r="I281" s="27"/>
      <c r="J281" s="26"/>
      <c r="K281" s="26"/>
      <c r="L281" s="26"/>
      <c r="M281" s="28"/>
      <c r="N281" s="28"/>
      <c r="O281" s="29"/>
      <c r="P281" s="29"/>
      <c r="Q281" s="29"/>
      <c r="R281" s="29"/>
      <c r="S281" s="29"/>
      <c r="T281" s="29"/>
      <c r="U281" s="29"/>
      <c r="V281" s="10"/>
      <c r="W281" s="10"/>
      <c r="X281" s="10"/>
      <c r="Y281" s="10"/>
      <c r="Z281" s="10"/>
      <c r="AA281" s="10"/>
      <c r="AB281" s="10"/>
      <c r="AC281" s="10"/>
      <c r="AD281" s="10"/>
    </row>
    <row r="282" spans="1:30" ht="15.75" customHeight="1">
      <c r="A282" s="51"/>
      <c r="B282" s="41"/>
      <c r="C282" s="102"/>
      <c r="D282" s="26"/>
      <c r="E282" s="21" t="str">
        <f>IFERROR(VLOOKUP(D282,'DATOS ASIGNACIÓN'!B:I,7,0),"")</f>
        <v/>
      </c>
      <c r="F282" s="21" t="str">
        <f>IFERROR(VLOOKUP(D282,'DATOS ASIGNACIÓN'!B:I,6,0),"")</f>
        <v/>
      </c>
      <c r="G282" s="27"/>
      <c r="H282" s="27"/>
      <c r="I282" s="27"/>
      <c r="J282" s="26"/>
      <c r="K282" s="26"/>
      <c r="L282" s="26"/>
      <c r="M282" s="28"/>
      <c r="N282" s="28"/>
      <c r="O282" s="29"/>
      <c r="P282" s="29"/>
      <c r="Q282" s="29"/>
      <c r="R282" s="29"/>
      <c r="S282" s="29"/>
      <c r="T282" s="29"/>
      <c r="U282" s="29"/>
      <c r="V282" s="10"/>
      <c r="W282" s="10"/>
      <c r="X282" s="10"/>
      <c r="Y282" s="10"/>
      <c r="Z282" s="10"/>
      <c r="AA282" s="10"/>
      <c r="AB282" s="10"/>
      <c r="AC282" s="10"/>
      <c r="AD282" s="10"/>
    </row>
    <row r="283" spans="1:30" ht="15.75" customHeight="1">
      <c r="A283" s="51"/>
      <c r="B283" s="41"/>
      <c r="C283" s="102"/>
      <c r="D283" s="26"/>
      <c r="E283" s="21" t="str">
        <f>IFERROR(VLOOKUP(D283,'DATOS ASIGNACIÓN'!B:I,7,0),"")</f>
        <v/>
      </c>
      <c r="F283" s="21" t="str">
        <f>IFERROR(VLOOKUP(D283,'DATOS ASIGNACIÓN'!B:I,6,0),"")</f>
        <v/>
      </c>
      <c r="G283" s="27"/>
      <c r="H283" s="27"/>
      <c r="I283" s="27"/>
      <c r="J283" s="26"/>
      <c r="K283" s="26"/>
      <c r="L283" s="26"/>
      <c r="M283" s="28"/>
      <c r="N283" s="28"/>
      <c r="O283" s="29"/>
      <c r="P283" s="29"/>
      <c r="Q283" s="29"/>
      <c r="R283" s="29"/>
      <c r="S283" s="29"/>
      <c r="T283" s="29"/>
      <c r="U283" s="29"/>
      <c r="V283" s="10"/>
      <c r="W283" s="10"/>
      <c r="X283" s="10"/>
      <c r="Y283" s="10"/>
      <c r="Z283" s="10"/>
      <c r="AA283" s="10"/>
      <c r="AB283" s="10"/>
      <c r="AC283" s="10"/>
      <c r="AD283" s="10"/>
    </row>
    <row r="284" spans="1:30" ht="15.75" customHeight="1">
      <c r="A284" s="51"/>
      <c r="B284" s="41"/>
      <c r="C284" s="102"/>
      <c r="D284" s="26"/>
      <c r="E284" s="21" t="str">
        <f>IFERROR(VLOOKUP(D284,'DATOS ASIGNACIÓN'!B:I,7,0),"")</f>
        <v/>
      </c>
      <c r="F284" s="21" t="str">
        <f>IFERROR(VLOOKUP(D284,'DATOS ASIGNACIÓN'!B:I,6,0),"")</f>
        <v/>
      </c>
      <c r="G284" s="27"/>
      <c r="H284" s="27"/>
      <c r="I284" s="27"/>
      <c r="J284" s="26"/>
      <c r="K284" s="26"/>
      <c r="L284" s="26"/>
      <c r="M284" s="28"/>
      <c r="N284" s="28"/>
      <c r="O284" s="29"/>
      <c r="P284" s="29"/>
      <c r="Q284" s="29"/>
      <c r="R284" s="29"/>
      <c r="S284" s="29"/>
      <c r="T284" s="29"/>
      <c r="U284" s="29"/>
      <c r="V284" s="10"/>
      <c r="W284" s="10"/>
      <c r="X284" s="10"/>
      <c r="Y284" s="10"/>
      <c r="Z284" s="10"/>
      <c r="AA284" s="10"/>
      <c r="AB284" s="10"/>
      <c r="AC284" s="10"/>
      <c r="AD284" s="10"/>
    </row>
    <row r="285" spans="1:30" ht="15.75" customHeight="1">
      <c r="A285" s="51"/>
      <c r="B285" s="41"/>
      <c r="C285" s="102"/>
      <c r="D285" s="26"/>
      <c r="E285" s="21" t="str">
        <f>IFERROR(VLOOKUP(D285,'DATOS ASIGNACIÓN'!B:I,7,0),"")</f>
        <v/>
      </c>
      <c r="F285" s="21" t="str">
        <f>IFERROR(VLOOKUP(D285,'DATOS ASIGNACIÓN'!B:I,6,0),"")</f>
        <v/>
      </c>
      <c r="G285" s="27"/>
      <c r="H285" s="27"/>
      <c r="I285" s="27"/>
      <c r="J285" s="26"/>
      <c r="K285" s="26"/>
      <c r="L285" s="26"/>
      <c r="M285" s="28"/>
      <c r="N285" s="28"/>
      <c r="O285" s="29"/>
      <c r="P285" s="29"/>
      <c r="Q285" s="29"/>
      <c r="R285" s="29"/>
      <c r="S285" s="29"/>
      <c r="T285" s="29"/>
      <c r="U285" s="29"/>
      <c r="V285" s="10"/>
      <c r="W285" s="10"/>
      <c r="X285" s="10"/>
      <c r="Y285" s="10"/>
      <c r="Z285" s="10"/>
      <c r="AA285" s="10"/>
      <c r="AB285" s="10"/>
      <c r="AC285" s="10"/>
      <c r="AD285" s="10"/>
    </row>
    <row r="286" spans="1:30" ht="15.75" customHeight="1">
      <c r="A286" s="51"/>
      <c r="B286" s="41"/>
      <c r="C286" s="102"/>
      <c r="D286" s="26"/>
      <c r="E286" s="21" t="str">
        <f>IFERROR(VLOOKUP(D286,'DATOS ASIGNACIÓN'!B:I,7,0),"")</f>
        <v/>
      </c>
      <c r="F286" s="21" t="str">
        <f>IFERROR(VLOOKUP(D286,'DATOS ASIGNACIÓN'!B:I,6,0),"")</f>
        <v/>
      </c>
      <c r="G286" s="27"/>
      <c r="H286" s="27"/>
      <c r="I286" s="27"/>
      <c r="J286" s="26"/>
      <c r="K286" s="26"/>
      <c r="L286" s="26"/>
      <c r="M286" s="28"/>
      <c r="N286" s="28"/>
      <c r="O286" s="29"/>
      <c r="P286" s="29"/>
      <c r="Q286" s="29"/>
      <c r="R286" s="29"/>
      <c r="S286" s="29"/>
      <c r="T286" s="29"/>
      <c r="U286" s="29"/>
      <c r="V286" s="10"/>
      <c r="W286" s="10"/>
      <c r="X286" s="10"/>
      <c r="Y286" s="10"/>
      <c r="Z286" s="10"/>
      <c r="AA286" s="10"/>
      <c r="AB286" s="10"/>
      <c r="AC286" s="10"/>
      <c r="AD286" s="10"/>
    </row>
    <row r="287" spans="1:30" ht="15.75" customHeight="1">
      <c r="A287" s="51"/>
      <c r="B287" s="41"/>
      <c r="C287" s="102"/>
      <c r="D287" s="26"/>
      <c r="E287" s="21" t="str">
        <f>IFERROR(VLOOKUP(D287,'DATOS ASIGNACIÓN'!B:I,7,0),"")</f>
        <v/>
      </c>
      <c r="F287" s="21" t="str">
        <f>IFERROR(VLOOKUP(D287,'DATOS ASIGNACIÓN'!B:I,6,0),"")</f>
        <v/>
      </c>
      <c r="G287" s="27"/>
      <c r="H287" s="27"/>
      <c r="I287" s="27"/>
      <c r="J287" s="26"/>
      <c r="K287" s="26"/>
      <c r="L287" s="26"/>
      <c r="M287" s="28"/>
      <c r="N287" s="28"/>
      <c r="O287" s="29"/>
      <c r="P287" s="29"/>
      <c r="Q287" s="29"/>
      <c r="R287" s="29"/>
      <c r="S287" s="29"/>
      <c r="T287" s="29"/>
      <c r="U287" s="29"/>
      <c r="V287" s="10"/>
      <c r="W287" s="10"/>
      <c r="X287" s="10"/>
      <c r="Y287" s="10"/>
      <c r="Z287" s="10"/>
      <c r="AA287" s="10"/>
      <c r="AB287" s="10"/>
      <c r="AC287" s="10"/>
      <c r="AD287" s="10"/>
    </row>
    <row r="288" spans="1:30" ht="15.75" customHeight="1">
      <c r="A288" s="51"/>
      <c r="B288" s="41"/>
      <c r="C288" s="102"/>
      <c r="D288" s="26"/>
      <c r="E288" s="21" t="str">
        <f>IFERROR(VLOOKUP(D288,'DATOS ASIGNACIÓN'!B:I,7,0),"")</f>
        <v/>
      </c>
      <c r="F288" s="21" t="str">
        <f>IFERROR(VLOOKUP(D288,'DATOS ASIGNACIÓN'!B:I,6,0),"")</f>
        <v/>
      </c>
      <c r="G288" s="27"/>
      <c r="H288" s="27"/>
      <c r="I288" s="27"/>
      <c r="J288" s="26"/>
      <c r="K288" s="26"/>
      <c r="L288" s="26"/>
      <c r="M288" s="28"/>
      <c r="N288" s="28"/>
      <c r="O288" s="29"/>
      <c r="P288" s="29"/>
      <c r="Q288" s="29"/>
      <c r="R288" s="29"/>
      <c r="S288" s="29"/>
      <c r="T288" s="29"/>
      <c r="U288" s="29"/>
      <c r="V288" s="10"/>
      <c r="W288" s="10"/>
      <c r="X288" s="10"/>
      <c r="Y288" s="10"/>
      <c r="Z288" s="10"/>
      <c r="AA288" s="10"/>
      <c r="AB288" s="10"/>
      <c r="AC288" s="10"/>
      <c r="AD288" s="10"/>
    </row>
    <row r="289" spans="1:30" ht="15.75" customHeight="1">
      <c r="A289" s="51"/>
      <c r="B289" s="41"/>
      <c r="C289" s="102"/>
      <c r="D289" s="26"/>
      <c r="E289" s="21" t="str">
        <f>IFERROR(VLOOKUP(D289,'DATOS ASIGNACIÓN'!B:I,7,0),"")</f>
        <v/>
      </c>
      <c r="F289" s="21" t="str">
        <f>IFERROR(VLOOKUP(D289,'DATOS ASIGNACIÓN'!B:I,6,0),"")</f>
        <v/>
      </c>
      <c r="G289" s="27"/>
      <c r="H289" s="27"/>
      <c r="I289" s="27"/>
      <c r="J289" s="26"/>
      <c r="K289" s="26"/>
      <c r="L289" s="26"/>
      <c r="M289" s="28"/>
      <c r="N289" s="28"/>
      <c r="O289" s="29"/>
      <c r="P289" s="29"/>
      <c r="Q289" s="29"/>
      <c r="R289" s="29"/>
      <c r="S289" s="29"/>
      <c r="T289" s="29"/>
      <c r="U289" s="29"/>
      <c r="V289" s="10"/>
      <c r="W289" s="10"/>
      <c r="X289" s="10"/>
      <c r="Y289" s="10"/>
      <c r="Z289" s="10"/>
      <c r="AA289" s="10"/>
      <c r="AB289" s="10"/>
      <c r="AC289" s="10"/>
      <c r="AD289" s="10"/>
    </row>
    <row r="290" spans="1:30" ht="15.75" customHeight="1">
      <c r="A290" s="51"/>
      <c r="B290" s="41"/>
      <c r="C290" s="102"/>
      <c r="D290" s="26"/>
      <c r="E290" s="21" t="str">
        <f>IFERROR(VLOOKUP(D290,'DATOS ASIGNACIÓN'!B:I,7,0),"")</f>
        <v/>
      </c>
      <c r="F290" s="21" t="str">
        <f>IFERROR(VLOOKUP(D290,'DATOS ASIGNACIÓN'!B:I,6,0),"")</f>
        <v/>
      </c>
      <c r="G290" s="27"/>
      <c r="H290" s="27"/>
      <c r="I290" s="27"/>
      <c r="J290" s="26"/>
      <c r="K290" s="26"/>
      <c r="L290" s="26"/>
      <c r="M290" s="28"/>
      <c r="N290" s="28"/>
      <c r="O290" s="29"/>
      <c r="P290" s="29"/>
      <c r="Q290" s="29"/>
      <c r="R290" s="29"/>
      <c r="S290" s="29"/>
      <c r="T290" s="29"/>
      <c r="U290" s="29"/>
      <c r="V290" s="10"/>
      <c r="W290" s="10"/>
      <c r="X290" s="10"/>
      <c r="Y290" s="10"/>
      <c r="Z290" s="10"/>
      <c r="AA290" s="10"/>
      <c r="AB290" s="10"/>
      <c r="AC290" s="10"/>
      <c r="AD290" s="10"/>
    </row>
    <row r="291" spans="1:30" ht="15.75" customHeight="1">
      <c r="A291" s="51"/>
      <c r="B291" s="41"/>
      <c r="C291" s="102"/>
      <c r="D291" s="26"/>
      <c r="E291" s="21" t="str">
        <f>IFERROR(VLOOKUP(D291,'DATOS ASIGNACIÓN'!B:I,7,0),"")</f>
        <v/>
      </c>
      <c r="F291" s="21" t="str">
        <f>IFERROR(VLOOKUP(D291,'DATOS ASIGNACIÓN'!B:I,6,0),"")</f>
        <v/>
      </c>
      <c r="G291" s="27"/>
      <c r="H291" s="27"/>
      <c r="I291" s="27"/>
      <c r="J291" s="26"/>
      <c r="K291" s="26"/>
      <c r="L291" s="26"/>
      <c r="M291" s="28"/>
      <c r="N291" s="28"/>
      <c r="O291" s="29"/>
      <c r="P291" s="29"/>
      <c r="Q291" s="29"/>
      <c r="R291" s="29"/>
      <c r="S291" s="29"/>
      <c r="T291" s="29"/>
      <c r="U291" s="29"/>
      <c r="V291" s="10"/>
      <c r="W291" s="10"/>
      <c r="X291" s="10"/>
      <c r="Y291" s="10"/>
      <c r="Z291" s="10"/>
      <c r="AA291" s="10"/>
      <c r="AB291" s="10"/>
      <c r="AC291" s="10"/>
      <c r="AD291" s="10"/>
    </row>
    <row r="292" spans="1:30" ht="15.75" customHeight="1">
      <c r="A292" s="51"/>
      <c r="B292" s="41"/>
      <c r="C292" s="102"/>
      <c r="D292" s="26"/>
      <c r="E292" s="21" t="str">
        <f>IFERROR(VLOOKUP(D292,'DATOS ASIGNACIÓN'!B:I,7,0),"")</f>
        <v/>
      </c>
      <c r="F292" s="21" t="str">
        <f>IFERROR(VLOOKUP(D292,'DATOS ASIGNACIÓN'!B:I,6,0),"")</f>
        <v/>
      </c>
      <c r="G292" s="27"/>
      <c r="H292" s="27"/>
      <c r="I292" s="27"/>
      <c r="J292" s="26"/>
      <c r="K292" s="26"/>
      <c r="L292" s="26"/>
      <c r="M292" s="28"/>
      <c r="N292" s="28"/>
      <c r="O292" s="29"/>
      <c r="P292" s="29"/>
      <c r="Q292" s="29"/>
      <c r="R292" s="29"/>
      <c r="S292" s="29"/>
      <c r="T292" s="29"/>
      <c r="U292" s="29"/>
      <c r="V292" s="10"/>
      <c r="W292" s="10"/>
      <c r="X292" s="10"/>
      <c r="Y292" s="10"/>
      <c r="Z292" s="10"/>
      <c r="AA292" s="10"/>
      <c r="AB292" s="10"/>
      <c r="AC292" s="10"/>
      <c r="AD292" s="10"/>
    </row>
    <row r="293" spans="1:30" ht="15.75" customHeight="1">
      <c r="A293" s="51"/>
      <c r="B293" s="41"/>
      <c r="C293" s="102"/>
      <c r="D293" s="26"/>
      <c r="E293" s="21" t="str">
        <f>IFERROR(VLOOKUP(D293,'DATOS ASIGNACIÓN'!B:I,7,0),"")</f>
        <v/>
      </c>
      <c r="F293" s="21" t="str">
        <f>IFERROR(VLOOKUP(D293,'DATOS ASIGNACIÓN'!B:I,6,0),"")</f>
        <v/>
      </c>
      <c r="G293" s="27"/>
      <c r="H293" s="27"/>
      <c r="I293" s="27"/>
      <c r="J293" s="26"/>
      <c r="K293" s="26"/>
      <c r="L293" s="26"/>
      <c r="M293" s="28"/>
      <c r="N293" s="28"/>
      <c r="O293" s="29"/>
      <c r="P293" s="29"/>
      <c r="Q293" s="29"/>
      <c r="R293" s="29"/>
      <c r="S293" s="29"/>
      <c r="T293" s="29"/>
      <c r="U293" s="29"/>
      <c r="V293" s="10"/>
      <c r="W293" s="10"/>
      <c r="X293" s="10"/>
      <c r="Y293" s="10"/>
      <c r="Z293" s="10"/>
      <c r="AA293" s="10"/>
      <c r="AB293" s="10"/>
      <c r="AC293" s="10"/>
      <c r="AD293" s="10"/>
    </row>
    <row r="294" spans="1:30" ht="15.75" customHeight="1">
      <c r="A294" s="51"/>
      <c r="B294" s="41"/>
      <c r="C294" s="102"/>
      <c r="D294" s="26"/>
      <c r="E294" s="21" t="str">
        <f>IFERROR(VLOOKUP(D294,'DATOS ASIGNACIÓN'!B:I,7,0),"")</f>
        <v/>
      </c>
      <c r="F294" s="21" t="str">
        <f>IFERROR(VLOOKUP(D294,'DATOS ASIGNACIÓN'!B:I,6,0),"")</f>
        <v/>
      </c>
      <c r="G294" s="27"/>
      <c r="H294" s="27"/>
      <c r="I294" s="27"/>
      <c r="J294" s="26"/>
      <c r="K294" s="26"/>
      <c r="L294" s="26"/>
      <c r="M294" s="28"/>
      <c r="N294" s="28"/>
      <c r="O294" s="29"/>
      <c r="P294" s="29"/>
      <c r="Q294" s="29"/>
      <c r="R294" s="29"/>
      <c r="S294" s="29"/>
      <c r="T294" s="29"/>
      <c r="U294" s="29"/>
      <c r="V294" s="10"/>
      <c r="W294" s="10"/>
      <c r="X294" s="10"/>
      <c r="Y294" s="10"/>
      <c r="Z294" s="10"/>
      <c r="AA294" s="10"/>
      <c r="AB294" s="10"/>
      <c r="AC294" s="10"/>
      <c r="AD294" s="10"/>
    </row>
    <row r="295" spans="1:30" ht="15.75" customHeight="1">
      <c r="A295" s="51"/>
      <c r="B295" s="41"/>
      <c r="C295" s="102"/>
      <c r="D295" s="26"/>
      <c r="E295" s="21" t="str">
        <f>IFERROR(VLOOKUP(D295,'DATOS ASIGNACIÓN'!B:I,7,0),"")</f>
        <v/>
      </c>
      <c r="F295" s="21" t="str">
        <f>IFERROR(VLOOKUP(D295,'DATOS ASIGNACIÓN'!B:I,6,0),"")</f>
        <v/>
      </c>
      <c r="G295" s="27"/>
      <c r="H295" s="27"/>
      <c r="I295" s="27"/>
      <c r="J295" s="26"/>
      <c r="K295" s="26"/>
      <c r="L295" s="26"/>
      <c r="M295" s="28"/>
      <c r="N295" s="28"/>
      <c r="O295" s="29"/>
      <c r="P295" s="29"/>
      <c r="Q295" s="29"/>
      <c r="R295" s="29"/>
      <c r="S295" s="29"/>
      <c r="T295" s="29"/>
      <c r="U295" s="29"/>
      <c r="V295" s="10"/>
      <c r="W295" s="10"/>
      <c r="X295" s="10"/>
      <c r="Y295" s="10"/>
      <c r="Z295" s="10"/>
      <c r="AA295" s="10"/>
      <c r="AB295" s="10"/>
      <c r="AC295" s="10"/>
      <c r="AD295" s="10"/>
    </row>
    <row r="296" spans="1:30" ht="15.75" customHeight="1">
      <c r="A296" s="51"/>
      <c r="B296" s="41"/>
      <c r="C296" s="102"/>
      <c r="D296" s="26"/>
      <c r="E296" s="21" t="str">
        <f>IFERROR(VLOOKUP(D296,'DATOS ASIGNACIÓN'!B:I,7,0),"")</f>
        <v/>
      </c>
      <c r="F296" s="21" t="str">
        <f>IFERROR(VLOOKUP(D296,'DATOS ASIGNACIÓN'!B:I,6,0),"")</f>
        <v/>
      </c>
      <c r="G296" s="27"/>
      <c r="H296" s="27"/>
      <c r="I296" s="27"/>
      <c r="J296" s="26"/>
      <c r="K296" s="26"/>
      <c r="L296" s="26"/>
      <c r="M296" s="28"/>
      <c r="N296" s="28"/>
      <c r="O296" s="29"/>
      <c r="P296" s="29"/>
      <c r="Q296" s="29"/>
      <c r="R296" s="29"/>
      <c r="S296" s="29"/>
      <c r="T296" s="29"/>
      <c r="U296" s="29"/>
      <c r="V296" s="10"/>
      <c r="W296" s="10"/>
      <c r="X296" s="10"/>
      <c r="Y296" s="10"/>
      <c r="Z296" s="10"/>
      <c r="AA296" s="10"/>
      <c r="AB296" s="10"/>
      <c r="AC296" s="10"/>
      <c r="AD296" s="10"/>
    </row>
    <row r="297" spans="1:30" ht="15.75" customHeight="1">
      <c r="A297" s="51"/>
      <c r="B297" s="41"/>
      <c r="C297" s="102"/>
      <c r="D297" s="26"/>
      <c r="E297" s="21" t="str">
        <f>IFERROR(VLOOKUP(D297,'DATOS ASIGNACIÓN'!B:I,7,0),"")</f>
        <v/>
      </c>
      <c r="F297" s="21" t="str">
        <f>IFERROR(VLOOKUP(D297,'DATOS ASIGNACIÓN'!B:I,6,0),"")</f>
        <v/>
      </c>
      <c r="G297" s="27"/>
      <c r="H297" s="27"/>
      <c r="I297" s="27"/>
      <c r="J297" s="26"/>
      <c r="K297" s="26"/>
      <c r="L297" s="26"/>
      <c r="M297" s="28"/>
      <c r="N297" s="28"/>
      <c r="O297" s="29"/>
      <c r="P297" s="29"/>
      <c r="Q297" s="29"/>
      <c r="R297" s="29"/>
      <c r="S297" s="29"/>
      <c r="T297" s="29"/>
      <c r="U297" s="29"/>
      <c r="V297" s="10"/>
      <c r="W297" s="10"/>
      <c r="X297" s="10"/>
      <c r="Y297" s="10"/>
      <c r="Z297" s="10"/>
      <c r="AA297" s="10"/>
      <c r="AB297" s="10"/>
      <c r="AC297" s="10"/>
      <c r="AD297" s="10"/>
    </row>
    <row r="298" spans="1:30" ht="15.75" customHeight="1">
      <c r="A298" s="51"/>
      <c r="B298" s="41"/>
      <c r="C298" s="102"/>
      <c r="D298" s="26"/>
      <c r="E298" s="21" t="str">
        <f>IFERROR(VLOOKUP(D298,'DATOS ASIGNACIÓN'!B:I,7,0),"")</f>
        <v/>
      </c>
      <c r="F298" s="21" t="str">
        <f>IFERROR(VLOOKUP(D298,'DATOS ASIGNACIÓN'!B:I,6,0),"")</f>
        <v/>
      </c>
      <c r="G298" s="27"/>
      <c r="H298" s="27"/>
      <c r="I298" s="27"/>
      <c r="J298" s="26"/>
      <c r="K298" s="26"/>
      <c r="L298" s="26"/>
      <c r="M298" s="28"/>
      <c r="N298" s="28"/>
      <c r="O298" s="29"/>
      <c r="P298" s="29"/>
      <c r="Q298" s="29"/>
      <c r="R298" s="29"/>
      <c r="S298" s="29"/>
      <c r="T298" s="29"/>
      <c r="U298" s="29"/>
      <c r="V298" s="10"/>
      <c r="W298" s="10"/>
      <c r="X298" s="10"/>
      <c r="Y298" s="10"/>
      <c r="Z298" s="10"/>
      <c r="AA298" s="10"/>
      <c r="AB298" s="10"/>
      <c r="AC298" s="10"/>
      <c r="AD298" s="10"/>
    </row>
    <row r="299" spans="1:30" ht="15.75" customHeight="1">
      <c r="A299" s="51"/>
      <c r="B299" s="41"/>
      <c r="C299" s="102"/>
      <c r="D299" s="26"/>
      <c r="E299" s="21" t="str">
        <f>IFERROR(VLOOKUP(D299,'DATOS ASIGNACIÓN'!B:I,7,0),"")</f>
        <v/>
      </c>
      <c r="F299" s="21" t="str">
        <f>IFERROR(VLOOKUP(D299,'DATOS ASIGNACIÓN'!B:I,6,0),"")</f>
        <v/>
      </c>
      <c r="G299" s="27"/>
      <c r="H299" s="27"/>
      <c r="I299" s="27"/>
      <c r="J299" s="26"/>
      <c r="K299" s="26"/>
      <c r="L299" s="26"/>
      <c r="M299" s="28"/>
      <c r="N299" s="28"/>
      <c r="O299" s="29"/>
      <c r="P299" s="29"/>
      <c r="Q299" s="29"/>
      <c r="R299" s="29"/>
      <c r="S299" s="29"/>
      <c r="T299" s="29"/>
      <c r="U299" s="29"/>
      <c r="V299" s="10"/>
      <c r="W299" s="10"/>
      <c r="X299" s="10"/>
      <c r="Y299" s="10"/>
      <c r="Z299" s="10"/>
      <c r="AA299" s="10"/>
      <c r="AB299" s="10"/>
      <c r="AC299" s="10"/>
      <c r="AD299" s="10"/>
    </row>
    <row r="300" spans="1:30" ht="15.75" customHeight="1">
      <c r="A300" s="51"/>
      <c r="B300" s="41"/>
      <c r="C300" s="102"/>
      <c r="D300" s="26"/>
      <c r="E300" s="21" t="str">
        <f>IFERROR(VLOOKUP(D300,'DATOS ASIGNACIÓN'!B:I,7,0),"")</f>
        <v/>
      </c>
      <c r="F300" s="21" t="str">
        <f>IFERROR(VLOOKUP(D300,'DATOS ASIGNACIÓN'!B:I,6,0),"")</f>
        <v/>
      </c>
      <c r="G300" s="27"/>
      <c r="H300" s="27"/>
      <c r="I300" s="27"/>
      <c r="J300" s="26"/>
      <c r="K300" s="26"/>
      <c r="L300" s="26"/>
      <c r="M300" s="28"/>
      <c r="N300" s="28"/>
      <c r="O300" s="29"/>
      <c r="P300" s="29"/>
      <c r="Q300" s="29"/>
      <c r="R300" s="29"/>
      <c r="S300" s="29"/>
      <c r="T300" s="29"/>
      <c r="U300" s="29"/>
      <c r="V300" s="10"/>
      <c r="W300" s="10"/>
      <c r="X300" s="10"/>
      <c r="Y300" s="10"/>
      <c r="Z300" s="10"/>
      <c r="AA300" s="10"/>
      <c r="AB300" s="10"/>
      <c r="AC300" s="10"/>
      <c r="AD300" s="10"/>
    </row>
    <row r="301" spans="1:30" ht="15.75" customHeight="1">
      <c r="A301" s="51"/>
      <c r="B301" s="41"/>
      <c r="C301" s="102"/>
      <c r="D301" s="26"/>
      <c r="E301" s="21" t="str">
        <f>IFERROR(VLOOKUP(D301,'DATOS ASIGNACIÓN'!B:I,7,0),"")</f>
        <v/>
      </c>
      <c r="F301" s="21" t="str">
        <f>IFERROR(VLOOKUP(D301,'DATOS ASIGNACIÓN'!B:I,6,0),"")</f>
        <v/>
      </c>
      <c r="G301" s="27"/>
      <c r="H301" s="27"/>
      <c r="I301" s="27"/>
      <c r="J301" s="26"/>
      <c r="K301" s="26"/>
      <c r="L301" s="26"/>
      <c r="M301" s="28"/>
      <c r="N301" s="28"/>
      <c r="O301" s="29"/>
      <c r="P301" s="29"/>
      <c r="Q301" s="29"/>
      <c r="R301" s="29"/>
      <c r="S301" s="29"/>
      <c r="T301" s="29"/>
      <c r="U301" s="29"/>
      <c r="V301" s="10"/>
      <c r="W301" s="10"/>
      <c r="X301" s="10"/>
      <c r="Y301" s="10"/>
      <c r="Z301" s="10"/>
      <c r="AA301" s="10"/>
      <c r="AB301" s="10"/>
      <c r="AC301" s="10"/>
      <c r="AD301" s="10"/>
    </row>
    <row r="302" spans="1:30" ht="15.75" customHeight="1">
      <c r="A302" s="51"/>
      <c r="B302" s="41"/>
      <c r="C302" s="102"/>
      <c r="D302" s="26"/>
      <c r="E302" s="21" t="str">
        <f>IFERROR(VLOOKUP(D302,'DATOS ASIGNACIÓN'!B:I,7,0),"")</f>
        <v/>
      </c>
      <c r="F302" s="21" t="str">
        <f>IFERROR(VLOOKUP(D302,'DATOS ASIGNACIÓN'!B:I,6,0),"")</f>
        <v/>
      </c>
      <c r="G302" s="27"/>
      <c r="H302" s="27"/>
      <c r="I302" s="27"/>
      <c r="J302" s="26"/>
      <c r="K302" s="26"/>
      <c r="L302" s="26"/>
      <c r="M302" s="28"/>
      <c r="N302" s="28"/>
      <c r="O302" s="29"/>
      <c r="P302" s="29"/>
      <c r="Q302" s="29"/>
      <c r="R302" s="29"/>
      <c r="S302" s="29"/>
      <c r="T302" s="29"/>
      <c r="U302" s="29"/>
      <c r="V302" s="10"/>
      <c r="W302" s="10"/>
      <c r="X302" s="10"/>
      <c r="Y302" s="10"/>
      <c r="Z302" s="10"/>
      <c r="AA302" s="10"/>
      <c r="AB302" s="10"/>
      <c r="AC302" s="10"/>
      <c r="AD302" s="10"/>
    </row>
    <row r="303" spans="1:30" ht="15.75" customHeight="1">
      <c r="A303" s="51"/>
      <c r="B303" s="41"/>
      <c r="C303" s="102"/>
      <c r="D303" s="26"/>
      <c r="E303" s="21" t="str">
        <f>IFERROR(VLOOKUP(D303,'DATOS ASIGNACIÓN'!B:I,7,0),"")</f>
        <v/>
      </c>
      <c r="F303" s="21" t="str">
        <f>IFERROR(VLOOKUP(D303,'DATOS ASIGNACIÓN'!B:I,6,0),"")</f>
        <v/>
      </c>
      <c r="G303" s="27"/>
      <c r="H303" s="27"/>
      <c r="I303" s="27"/>
      <c r="J303" s="26"/>
      <c r="K303" s="26"/>
      <c r="L303" s="26"/>
      <c r="M303" s="28"/>
      <c r="N303" s="28"/>
      <c r="O303" s="29"/>
      <c r="P303" s="29"/>
      <c r="Q303" s="29"/>
      <c r="R303" s="29"/>
      <c r="S303" s="29"/>
      <c r="T303" s="29"/>
      <c r="U303" s="29"/>
      <c r="V303" s="10"/>
      <c r="W303" s="10"/>
      <c r="X303" s="10"/>
      <c r="Y303" s="10"/>
      <c r="Z303" s="10"/>
      <c r="AA303" s="10"/>
      <c r="AB303" s="10"/>
      <c r="AC303" s="10"/>
      <c r="AD303" s="10"/>
    </row>
    <row r="304" spans="1:30" ht="15.75" customHeight="1">
      <c r="A304" s="51"/>
      <c r="B304" s="41"/>
      <c r="C304" s="102"/>
      <c r="D304" s="26"/>
      <c r="E304" s="21" t="str">
        <f>IFERROR(VLOOKUP(D304,'DATOS ASIGNACIÓN'!B:I,7,0),"")</f>
        <v/>
      </c>
      <c r="F304" s="21" t="str">
        <f>IFERROR(VLOOKUP(D304,'DATOS ASIGNACIÓN'!B:I,6,0),"")</f>
        <v/>
      </c>
      <c r="G304" s="27"/>
      <c r="H304" s="27"/>
      <c r="I304" s="27"/>
      <c r="J304" s="26"/>
      <c r="K304" s="26"/>
      <c r="L304" s="26"/>
      <c r="M304" s="28"/>
      <c r="N304" s="28"/>
      <c r="O304" s="29"/>
      <c r="P304" s="29"/>
      <c r="Q304" s="29"/>
      <c r="R304" s="29"/>
      <c r="S304" s="29"/>
      <c r="T304" s="29"/>
      <c r="U304" s="29"/>
      <c r="V304" s="10"/>
      <c r="W304" s="10"/>
      <c r="X304" s="10"/>
      <c r="Y304" s="10"/>
      <c r="Z304" s="10"/>
      <c r="AA304" s="10"/>
      <c r="AB304" s="10"/>
      <c r="AC304" s="10"/>
      <c r="AD304" s="10"/>
    </row>
    <row r="305" spans="1:30" ht="15.75" customHeight="1">
      <c r="A305" s="51"/>
      <c r="B305" s="41"/>
      <c r="C305" s="102"/>
      <c r="D305" s="26"/>
      <c r="E305" s="21" t="str">
        <f>IFERROR(VLOOKUP(D305,'DATOS ASIGNACIÓN'!B:I,7,0),"")</f>
        <v/>
      </c>
      <c r="F305" s="21" t="str">
        <f>IFERROR(VLOOKUP(D305,'DATOS ASIGNACIÓN'!B:I,6,0),"")</f>
        <v/>
      </c>
      <c r="G305" s="27"/>
      <c r="H305" s="27"/>
      <c r="I305" s="27"/>
      <c r="J305" s="26"/>
      <c r="K305" s="26"/>
      <c r="L305" s="26"/>
      <c r="M305" s="28"/>
      <c r="N305" s="28"/>
      <c r="O305" s="29"/>
      <c r="P305" s="29"/>
      <c r="Q305" s="29"/>
      <c r="R305" s="29"/>
      <c r="S305" s="29"/>
      <c r="T305" s="29"/>
      <c r="U305" s="29"/>
      <c r="V305" s="10"/>
      <c r="W305" s="10"/>
      <c r="X305" s="10"/>
      <c r="Y305" s="10"/>
      <c r="Z305" s="10"/>
      <c r="AA305" s="10"/>
      <c r="AB305" s="10"/>
      <c r="AC305" s="10"/>
      <c r="AD305" s="10"/>
    </row>
    <row r="306" spans="1:30" ht="15.75" customHeight="1">
      <c r="A306" s="51"/>
      <c r="B306" s="41"/>
      <c r="C306" s="102"/>
      <c r="D306" s="26"/>
      <c r="E306" s="21" t="str">
        <f>IFERROR(VLOOKUP(D306,'DATOS ASIGNACIÓN'!B:I,7,0),"")</f>
        <v/>
      </c>
      <c r="F306" s="21" t="str">
        <f>IFERROR(VLOOKUP(D306,'DATOS ASIGNACIÓN'!B:I,6,0),"")</f>
        <v/>
      </c>
      <c r="G306" s="27"/>
      <c r="H306" s="27"/>
      <c r="I306" s="27"/>
      <c r="J306" s="26"/>
      <c r="K306" s="26"/>
      <c r="L306" s="26"/>
      <c r="M306" s="28"/>
      <c r="N306" s="28"/>
      <c r="O306" s="29"/>
      <c r="P306" s="29"/>
      <c r="Q306" s="29"/>
      <c r="R306" s="29"/>
      <c r="S306" s="29"/>
      <c r="T306" s="29"/>
      <c r="U306" s="29"/>
      <c r="V306" s="10"/>
      <c r="W306" s="10"/>
      <c r="X306" s="10"/>
      <c r="Y306" s="10"/>
      <c r="Z306" s="10"/>
      <c r="AA306" s="10"/>
      <c r="AB306" s="10"/>
      <c r="AC306" s="10"/>
      <c r="AD306" s="10"/>
    </row>
    <row r="307" spans="1:30" ht="15.75" customHeight="1">
      <c r="A307" s="51"/>
      <c r="B307" s="41"/>
      <c r="C307" s="102"/>
      <c r="D307" s="26"/>
      <c r="E307" s="21" t="str">
        <f>IFERROR(VLOOKUP(D307,'DATOS ASIGNACIÓN'!B:I,7,0),"")</f>
        <v/>
      </c>
      <c r="F307" s="21" t="str">
        <f>IFERROR(VLOOKUP(D307,'DATOS ASIGNACIÓN'!B:I,6,0),"")</f>
        <v/>
      </c>
      <c r="G307" s="27"/>
      <c r="H307" s="27"/>
      <c r="I307" s="27"/>
      <c r="J307" s="26"/>
      <c r="K307" s="26"/>
      <c r="L307" s="26"/>
      <c r="M307" s="28"/>
      <c r="N307" s="28"/>
      <c r="O307" s="29"/>
      <c r="P307" s="29"/>
      <c r="Q307" s="29"/>
      <c r="R307" s="29"/>
      <c r="S307" s="29"/>
      <c r="T307" s="29"/>
      <c r="U307" s="29"/>
      <c r="V307" s="10"/>
      <c r="W307" s="10"/>
      <c r="X307" s="10"/>
      <c r="Y307" s="10"/>
      <c r="Z307" s="10"/>
      <c r="AA307" s="10"/>
      <c r="AB307" s="10"/>
      <c r="AC307" s="10"/>
      <c r="AD307" s="10"/>
    </row>
    <row r="308" spans="1:30" ht="15.75" customHeight="1">
      <c r="A308" s="51"/>
      <c r="B308" s="41"/>
      <c r="C308" s="102"/>
      <c r="D308" s="26"/>
      <c r="E308" s="21" t="str">
        <f>IFERROR(VLOOKUP(D308,'DATOS ASIGNACIÓN'!B:I,7,0),"")</f>
        <v/>
      </c>
      <c r="F308" s="21" t="str">
        <f>IFERROR(VLOOKUP(D308,'DATOS ASIGNACIÓN'!B:I,6,0),"")</f>
        <v/>
      </c>
      <c r="G308" s="27"/>
      <c r="H308" s="27"/>
      <c r="I308" s="27"/>
      <c r="J308" s="26"/>
      <c r="K308" s="26"/>
      <c r="L308" s="26"/>
      <c r="M308" s="28"/>
      <c r="N308" s="28"/>
      <c r="O308" s="29"/>
      <c r="P308" s="29"/>
      <c r="Q308" s="29"/>
      <c r="R308" s="29"/>
      <c r="S308" s="29"/>
      <c r="T308" s="29"/>
      <c r="U308" s="29"/>
      <c r="V308" s="10"/>
      <c r="W308" s="10"/>
      <c r="X308" s="10"/>
      <c r="Y308" s="10"/>
      <c r="Z308" s="10"/>
      <c r="AA308" s="10"/>
      <c r="AB308" s="10"/>
      <c r="AC308" s="10"/>
      <c r="AD308" s="10"/>
    </row>
    <row r="309" spans="1:30" ht="15.75" customHeight="1">
      <c r="A309" s="51"/>
      <c r="B309" s="41"/>
      <c r="C309" s="102"/>
      <c r="D309" s="26"/>
      <c r="E309" s="21" t="str">
        <f>IFERROR(VLOOKUP(D309,'DATOS ASIGNACIÓN'!B:I,7,0),"")</f>
        <v/>
      </c>
      <c r="F309" s="21" t="str">
        <f>IFERROR(VLOOKUP(D309,'DATOS ASIGNACIÓN'!B:I,6,0),"")</f>
        <v/>
      </c>
      <c r="G309" s="27"/>
      <c r="H309" s="27"/>
      <c r="I309" s="27"/>
      <c r="J309" s="26"/>
      <c r="K309" s="26"/>
      <c r="L309" s="26"/>
      <c r="M309" s="28"/>
      <c r="N309" s="28"/>
      <c r="O309" s="29"/>
      <c r="P309" s="29"/>
      <c r="Q309" s="29"/>
      <c r="R309" s="29"/>
      <c r="S309" s="29"/>
      <c r="T309" s="29"/>
      <c r="U309" s="29"/>
      <c r="V309" s="10"/>
      <c r="W309" s="10"/>
      <c r="X309" s="10"/>
      <c r="Y309" s="10"/>
      <c r="Z309" s="10"/>
      <c r="AA309" s="10"/>
      <c r="AB309" s="10"/>
      <c r="AC309" s="10"/>
      <c r="AD309" s="10"/>
    </row>
    <row r="310" spans="1:30" ht="15.75" customHeight="1">
      <c r="A310" s="51"/>
      <c r="B310" s="41"/>
      <c r="C310" s="102"/>
      <c r="D310" s="26"/>
      <c r="E310" s="21" t="str">
        <f>IFERROR(VLOOKUP(D310,'DATOS ASIGNACIÓN'!B:I,7,0),"")</f>
        <v/>
      </c>
      <c r="F310" s="21" t="str">
        <f>IFERROR(VLOOKUP(D310,'DATOS ASIGNACIÓN'!B:I,6,0),"")</f>
        <v/>
      </c>
      <c r="G310" s="27"/>
      <c r="H310" s="27"/>
      <c r="I310" s="27"/>
      <c r="J310" s="26"/>
      <c r="K310" s="26"/>
      <c r="L310" s="26"/>
      <c r="M310" s="28"/>
      <c r="N310" s="28"/>
      <c r="O310" s="29"/>
      <c r="P310" s="29"/>
      <c r="Q310" s="29"/>
      <c r="R310" s="29"/>
      <c r="S310" s="29"/>
      <c r="T310" s="29"/>
      <c r="U310" s="29"/>
      <c r="V310" s="10"/>
      <c r="W310" s="10"/>
      <c r="X310" s="10"/>
      <c r="Y310" s="10"/>
      <c r="Z310" s="10"/>
      <c r="AA310" s="10"/>
      <c r="AB310" s="10"/>
      <c r="AC310" s="10"/>
      <c r="AD310" s="10"/>
    </row>
    <row r="311" spans="1:30" ht="15.75" customHeight="1">
      <c r="A311" s="51"/>
      <c r="B311" s="41"/>
      <c r="C311" s="102"/>
      <c r="D311" s="26"/>
      <c r="E311" s="21" t="str">
        <f>IFERROR(VLOOKUP(D311,'DATOS ASIGNACIÓN'!B:I,7,0),"")</f>
        <v/>
      </c>
      <c r="F311" s="21" t="str">
        <f>IFERROR(VLOOKUP(D311,'DATOS ASIGNACIÓN'!B:I,6,0),"")</f>
        <v/>
      </c>
      <c r="G311" s="27"/>
      <c r="H311" s="27"/>
      <c r="I311" s="27"/>
      <c r="J311" s="26"/>
      <c r="K311" s="26"/>
      <c r="L311" s="26"/>
      <c r="M311" s="28"/>
      <c r="N311" s="28"/>
      <c r="O311" s="29"/>
      <c r="P311" s="29"/>
      <c r="Q311" s="29"/>
      <c r="R311" s="29"/>
      <c r="S311" s="29"/>
      <c r="T311" s="29"/>
      <c r="U311" s="29"/>
      <c r="V311" s="10"/>
      <c r="W311" s="10"/>
      <c r="X311" s="10"/>
      <c r="Y311" s="10"/>
      <c r="Z311" s="10"/>
      <c r="AA311" s="10"/>
      <c r="AB311" s="10"/>
      <c r="AC311" s="10"/>
      <c r="AD311" s="10"/>
    </row>
    <row r="312" spans="1:30" ht="15.75" customHeight="1">
      <c r="A312" s="51"/>
      <c r="B312" s="41"/>
      <c r="C312" s="102"/>
      <c r="D312" s="26"/>
      <c r="E312" s="21" t="str">
        <f>IFERROR(VLOOKUP(D312,'DATOS ASIGNACIÓN'!B:I,7,0),"")</f>
        <v/>
      </c>
      <c r="F312" s="21" t="str">
        <f>IFERROR(VLOOKUP(D312,'DATOS ASIGNACIÓN'!B:I,6,0),"")</f>
        <v/>
      </c>
      <c r="G312" s="27"/>
      <c r="H312" s="27"/>
      <c r="I312" s="27"/>
      <c r="J312" s="26"/>
      <c r="K312" s="26"/>
      <c r="L312" s="26"/>
      <c r="M312" s="28"/>
      <c r="N312" s="28"/>
      <c r="O312" s="29"/>
      <c r="P312" s="29"/>
      <c r="Q312" s="29"/>
      <c r="R312" s="29"/>
      <c r="S312" s="29"/>
      <c r="T312" s="29"/>
      <c r="U312" s="29"/>
      <c r="V312" s="10"/>
      <c r="W312" s="10"/>
      <c r="X312" s="10"/>
      <c r="Y312" s="10"/>
      <c r="Z312" s="10"/>
      <c r="AA312" s="10"/>
      <c r="AB312" s="10"/>
      <c r="AC312" s="10"/>
      <c r="AD312" s="10"/>
    </row>
    <row r="313" spans="1:30" ht="15.75" customHeight="1">
      <c r="A313" s="51"/>
      <c r="B313" s="41"/>
      <c r="C313" s="102"/>
      <c r="D313" s="26"/>
      <c r="E313" s="21" t="str">
        <f>IFERROR(VLOOKUP(D313,'DATOS ASIGNACIÓN'!B:I,7,0),"")</f>
        <v/>
      </c>
      <c r="F313" s="21" t="str">
        <f>IFERROR(VLOOKUP(D313,'DATOS ASIGNACIÓN'!B:I,6,0),"")</f>
        <v/>
      </c>
      <c r="G313" s="27"/>
      <c r="H313" s="27"/>
      <c r="I313" s="27"/>
      <c r="J313" s="26"/>
      <c r="K313" s="26"/>
      <c r="L313" s="26"/>
      <c r="M313" s="28"/>
      <c r="N313" s="28"/>
      <c r="O313" s="29"/>
      <c r="P313" s="29"/>
      <c r="Q313" s="29"/>
      <c r="R313" s="29"/>
      <c r="S313" s="29"/>
      <c r="T313" s="29"/>
      <c r="U313" s="29"/>
      <c r="V313" s="10"/>
      <c r="W313" s="10"/>
      <c r="X313" s="10"/>
      <c r="Y313" s="10"/>
      <c r="Z313" s="10"/>
      <c r="AA313" s="10"/>
      <c r="AB313" s="10"/>
      <c r="AC313" s="10"/>
      <c r="AD313" s="10"/>
    </row>
    <row r="314" spans="1:30" ht="15.75" customHeight="1">
      <c r="A314" s="51"/>
      <c r="B314" s="41"/>
      <c r="C314" s="102"/>
      <c r="D314" s="26"/>
      <c r="E314" s="21" t="str">
        <f>IFERROR(VLOOKUP(D314,'DATOS ASIGNACIÓN'!B:I,7,0),"")</f>
        <v/>
      </c>
      <c r="F314" s="21" t="str">
        <f>IFERROR(VLOOKUP(D314,'DATOS ASIGNACIÓN'!B:I,6,0),"")</f>
        <v/>
      </c>
      <c r="G314" s="27"/>
      <c r="H314" s="27"/>
      <c r="I314" s="27"/>
      <c r="J314" s="26"/>
      <c r="K314" s="26"/>
      <c r="L314" s="26"/>
      <c r="M314" s="28"/>
      <c r="N314" s="28"/>
      <c r="O314" s="29"/>
      <c r="P314" s="29"/>
      <c r="Q314" s="29"/>
      <c r="R314" s="29"/>
      <c r="S314" s="29"/>
      <c r="T314" s="29"/>
      <c r="U314" s="29"/>
      <c r="V314" s="10"/>
      <c r="W314" s="10"/>
      <c r="X314" s="10"/>
      <c r="Y314" s="10"/>
      <c r="Z314" s="10"/>
      <c r="AA314" s="10"/>
      <c r="AB314" s="10"/>
      <c r="AC314" s="10"/>
      <c r="AD314" s="10"/>
    </row>
    <row r="315" spans="1:30" ht="15.75" customHeight="1">
      <c r="A315" s="51"/>
      <c r="B315" s="41"/>
      <c r="C315" s="102"/>
      <c r="D315" s="26"/>
      <c r="E315" s="21" t="str">
        <f>IFERROR(VLOOKUP(D315,'DATOS ASIGNACIÓN'!B:I,7,0),"")</f>
        <v/>
      </c>
      <c r="F315" s="21" t="str">
        <f>IFERROR(VLOOKUP(D315,'DATOS ASIGNACIÓN'!B:I,6,0),"")</f>
        <v/>
      </c>
      <c r="G315" s="27"/>
      <c r="H315" s="27"/>
      <c r="I315" s="27"/>
      <c r="J315" s="26"/>
      <c r="K315" s="26"/>
      <c r="L315" s="26"/>
      <c r="M315" s="28"/>
      <c r="N315" s="28"/>
      <c r="O315" s="29"/>
      <c r="P315" s="29"/>
      <c r="Q315" s="29"/>
      <c r="R315" s="29"/>
      <c r="S315" s="29"/>
      <c r="T315" s="29"/>
      <c r="U315" s="29"/>
      <c r="V315" s="10"/>
      <c r="W315" s="10"/>
      <c r="X315" s="10"/>
      <c r="Y315" s="10"/>
      <c r="Z315" s="10"/>
      <c r="AA315" s="10"/>
      <c r="AB315" s="10"/>
      <c r="AC315" s="10"/>
      <c r="AD315" s="10"/>
    </row>
    <row r="316" spans="1:30" ht="15.75" customHeight="1">
      <c r="A316" s="51"/>
      <c r="B316" s="41"/>
      <c r="C316" s="102"/>
      <c r="D316" s="26"/>
      <c r="E316" s="21" t="str">
        <f>IFERROR(VLOOKUP(D316,'DATOS ASIGNACIÓN'!B:I,7,0),"")</f>
        <v/>
      </c>
      <c r="F316" s="21" t="str">
        <f>IFERROR(VLOOKUP(D316,'DATOS ASIGNACIÓN'!B:I,6,0),"")</f>
        <v/>
      </c>
      <c r="G316" s="27"/>
      <c r="H316" s="27"/>
      <c r="I316" s="27"/>
      <c r="J316" s="26"/>
      <c r="K316" s="26"/>
      <c r="L316" s="26"/>
      <c r="M316" s="28"/>
      <c r="N316" s="28"/>
      <c r="O316" s="29"/>
      <c r="P316" s="29"/>
      <c r="Q316" s="29"/>
      <c r="R316" s="29"/>
      <c r="S316" s="29"/>
      <c r="T316" s="29"/>
      <c r="U316" s="29"/>
      <c r="V316" s="10"/>
      <c r="W316" s="10"/>
      <c r="X316" s="10"/>
      <c r="Y316" s="10"/>
      <c r="Z316" s="10"/>
      <c r="AA316" s="10"/>
      <c r="AB316" s="10"/>
      <c r="AC316" s="10"/>
      <c r="AD316" s="10"/>
    </row>
    <row r="317" spans="1:30" ht="15.75" customHeight="1">
      <c r="A317" s="51"/>
      <c r="B317" s="41"/>
      <c r="C317" s="102"/>
      <c r="D317" s="26"/>
      <c r="E317" s="21" t="str">
        <f>IFERROR(VLOOKUP(D317,'DATOS ASIGNACIÓN'!B:I,7,0),"")</f>
        <v/>
      </c>
      <c r="F317" s="21" t="str">
        <f>IFERROR(VLOOKUP(D317,'DATOS ASIGNACIÓN'!B:I,6,0),"")</f>
        <v/>
      </c>
      <c r="G317" s="27"/>
      <c r="H317" s="27"/>
      <c r="I317" s="27"/>
      <c r="J317" s="26"/>
      <c r="K317" s="26"/>
      <c r="L317" s="26"/>
      <c r="M317" s="28"/>
      <c r="N317" s="28"/>
      <c r="O317" s="29"/>
      <c r="P317" s="29"/>
      <c r="Q317" s="29"/>
      <c r="R317" s="29"/>
      <c r="S317" s="29"/>
      <c r="T317" s="29"/>
      <c r="U317" s="29"/>
      <c r="V317" s="10"/>
      <c r="W317" s="10"/>
      <c r="X317" s="10"/>
      <c r="Y317" s="10"/>
      <c r="Z317" s="10"/>
      <c r="AA317" s="10"/>
      <c r="AB317" s="10"/>
      <c r="AC317" s="10"/>
      <c r="AD317" s="10"/>
    </row>
    <row r="318" spans="1:30" ht="15.75" customHeight="1">
      <c r="A318" s="51"/>
      <c r="B318" s="41"/>
      <c r="C318" s="102"/>
      <c r="D318" s="26"/>
      <c r="E318" s="21" t="str">
        <f>IFERROR(VLOOKUP(D318,'DATOS ASIGNACIÓN'!B:I,7,0),"")</f>
        <v/>
      </c>
      <c r="F318" s="21" t="str">
        <f>IFERROR(VLOOKUP(D318,'DATOS ASIGNACIÓN'!B:I,6,0),"")</f>
        <v/>
      </c>
      <c r="G318" s="27"/>
      <c r="H318" s="27"/>
      <c r="I318" s="27"/>
      <c r="J318" s="26"/>
      <c r="K318" s="26"/>
      <c r="L318" s="26"/>
      <c r="M318" s="28"/>
      <c r="N318" s="28"/>
      <c r="O318" s="29"/>
      <c r="P318" s="29"/>
      <c r="Q318" s="29"/>
      <c r="R318" s="29"/>
      <c r="S318" s="29"/>
      <c r="T318" s="29"/>
      <c r="U318" s="29"/>
      <c r="V318" s="10"/>
      <c r="W318" s="10"/>
      <c r="X318" s="10"/>
      <c r="Y318" s="10"/>
      <c r="Z318" s="10"/>
      <c r="AA318" s="10"/>
      <c r="AB318" s="10"/>
      <c r="AC318" s="10"/>
      <c r="AD318" s="10"/>
    </row>
    <row r="319" spans="1:30" ht="15.75" customHeight="1">
      <c r="A319" s="51"/>
      <c r="B319" s="41"/>
      <c r="C319" s="102"/>
      <c r="D319" s="26"/>
      <c r="E319" s="21" t="str">
        <f>IFERROR(VLOOKUP(D319,'DATOS ASIGNACIÓN'!B:I,7,0),"")</f>
        <v/>
      </c>
      <c r="F319" s="21" t="str">
        <f>IFERROR(VLOOKUP(D319,'DATOS ASIGNACIÓN'!B:I,6,0),"")</f>
        <v/>
      </c>
      <c r="G319" s="27"/>
      <c r="H319" s="27"/>
      <c r="I319" s="27"/>
      <c r="J319" s="26"/>
      <c r="K319" s="26"/>
      <c r="L319" s="26"/>
      <c r="M319" s="28"/>
      <c r="N319" s="28"/>
      <c r="O319" s="29"/>
      <c r="P319" s="29"/>
      <c r="Q319" s="29"/>
      <c r="R319" s="29"/>
      <c r="S319" s="29"/>
      <c r="T319" s="29"/>
      <c r="U319" s="29"/>
      <c r="V319" s="10"/>
      <c r="W319" s="10"/>
      <c r="X319" s="10"/>
      <c r="Y319" s="10"/>
      <c r="Z319" s="10"/>
      <c r="AA319" s="10"/>
      <c r="AB319" s="10"/>
      <c r="AC319" s="10"/>
      <c r="AD319" s="10"/>
    </row>
    <row r="320" spans="1:30" ht="15.75" customHeight="1">
      <c r="A320" s="51"/>
      <c r="B320" s="41"/>
      <c r="C320" s="102"/>
      <c r="D320" s="26"/>
      <c r="E320" s="21" t="str">
        <f>IFERROR(VLOOKUP(D320,'DATOS ASIGNACIÓN'!B:I,7,0),"")</f>
        <v/>
      </c>
      <c r="F320" s="21" t="str">
        <f>IFERROR(VLOOKUP(D320,'DATOS ASIGNACIÓN'!B:I,6,0),"")</f>
        <v/>
      </c>
      <c r="G320" s="27"/>
      <c r="H320" s="27"/>
      <c r="I320" s="27"/>
      <c r="J320" s="26"/>
      <c r="K320" s="26"/>
      <c r="L320" s="26"/>
      <c r="M320" s="28"/>
      <c r="N320" s="28"/>
      <c r="O320" s="29"/>
      <c r="P320" s="29"/>
      <c r="Q320" s="29"/>
      <c r="R320" s="29"/>
      <c r="S320" s="29"/>
      <c r="T320" s="29"/>
      <c r="U320" s="29"/>
      <c r="V320" s="10"/>
      <c r="W320" s="10"/>
      <c r="X320" s="10"/>
      <c r="Y320" s="10"/>
      <c r="Z320" s="10"/>
      <c r="AA320" s="10"/>
      <c r="AB320" s="10"/>
      <c r="AC320" s="10"/>
      <c r="AD320" s="10"/>
    </row>
    <row r="321" spans="1:30" ht="15.75" customHeight="1">
      <c r="A321" s="51"/>
      <c r="B321" s="41"/>
      <c r="C321" s="102"/>
      <c r="D321" s="26"/>
      <c r="E321" s="21" t="str">
        <f>IFERROR(VLOOKUP(D321,'DATOS ASIGNACIÓN'!B:I,7,0),"")</f>
        <v/>
      </c>
      <c r="F321" s="21" t="str">
        <f>IFERROR(VLOOKUP(D321,'DATOS ASIGNACIÓN'!B:I,6,0),"")</f>
        <v/>
      </c>
      <c r="G321" s="27"/>
      <c r="H321" s="27"/>
      <c r="I321" s="27"/>
      <c r="J321" s="26"/>
      <c r="K321" s="26"/>
      <c r="L321" s="26"/>
      <c r="M321" s="28"/>
      <c r="N321" s="28"/>
      <c r="O321" s="29"/>
      <c r="P321" s="29"/>
      <c r="Q321" s="29"/>
      <c r="R321" s="29"/>
      <c r="S321" s="29"/>
      <c r="T321" s="29"/>
      <c r="U321" s="29"/>
      <c r="V321" s="10"/>
      <c r="W321" s="10"/>
      <c r="X321" s="10"/>
      <c r="Y321" s="10"/>
      <c r="Z321" s="10"/>
      <c r="AA321" s="10"/>
      <c r="AB321" s="10"/>
      <c r="AC321" s="10"/>
      <c r="AD321" s="10"/>
    </row>
    <row r="322" spans="1:30" ht="15.75" customHeight="1">
      <c r="A322" s="51"/>
      <c r="B322" s="41"/>
      <c r="C322" s="102"/>
      <c r="D322" s="26"/>
      <c r="E322" s="21" t="str">
        <f>IFERROR(VLOOKUP(D322,'DATOS ASIGNACIÓN'!B:I,7,0),"")</f>
        <v/>
      </c>
      <c r="F322" s="21" t="str">
        <f>IFERROR(VLOOKUP(D322,'DATOS ASIGNACIÓN'!B:I,6,0),"")</f>
        <v/>
      </c>
      <c r="G322" s="27"/>
      <c r="H322" s="27"/>
      <c r="I322" s="27"/>
      <c r="J322" s="26"/>
      <c r="K322" s="26"/>
      <c r="L322" s="26"/>
      <c r="M322" s="28"/>
      <c r="N322" s="28"/>
      <c r="O322" s="29"/>
      <c r="P322" s="29"/>
      <c r="Q322" s="29"/>
      <c r="R322" s="29"/>
      <c r="S322" s="29"/>
      <c r="T322" s="29"/>
      <c r="U322" s="29"/>
      <c r="V322" s="10"/>
      <c r="W322" s="10"/>
      <c r="X322" s="10"/>
      <c r="Y322" s="10"/>
      <c r="Z322" s="10"/>
      <c r="AA322" s="10"/>
      <c r="AB322" s="10"/>
      <c r="AC322" s="10"/>
      <c r="AD322" s="10"/>
    </row>
    <row r="323" spans="1:30" ht="15.75" customHeight="1">
      <c r="A323" s="51"/>
      <c r="B323" s="41"/>
      <c r="C323" s="102"/>
      <c r="D323" s="26"/>
      <c r="E323" s="21" t="str">
        <f>IFERROR(VLOOKUP(D323,'DATOS ASIGNACIÓN'!B:I,7,0),"")</f>
        <v/>
      </c>
      <c r="F323" s="21" t="str">
        <f>IFERROR(VLOOKUP(D323,'DATOS ASIGNACIÓN'!B:I,6,0),"")</f>
        <v/>
      </c>
      <c r="G323" s="27"/>
      <c r="H323" s="27"/>
      <c r="I323" s="27"/>
      <c r="J323" s="26"/>
      <c r="K323" s="26"/>
      <c r="L323" s="26"/>
      <c r="M323" s="28"/>
      <c r="N323" s="28"/>
      <c r="O323" s="29"/>
      <c r="P323" s="29"/>
      <c r="Q323" s="29"/>
      <c r="R323" s="29"/>
      <c r="S323" s="29"/>
      <c r="T323" s="29"/>
      <c r="U323" s="29"/>
      <c r="V323" s="10"/>
      <c r="W323" s="10"/>
      <c r="X323" s="10"/>
      <c r="Y323" s="10"/>
      <c r="Z323" s="10"/>
      <c r="AA323" s="10"/>
      <c r="AB323" s="10"/>
      <c r="AC323" s="10"/>
      <c r="AD323" s="10"/>
    </row>
    <row r="324" spans="1:30" ht="15.75" customHeight="1">
      <c r="A324" s="51"/>
      <c r="B324" s="41"/>
      <c r="C324" s="102"/>
      <c r="D324" s="26"/>
      <c r="E324" s="21" t="str">
        <f>IFERROR(VLOOKUP(D324,'DATOS ASIGNACIÓN'!B:I,7,0),"")</f>
        <v/>
      </c>
      <c r="F324" s="21" t="str">
        <f>IFERROR(VLOOKUP(D324,'DATOS ASIGNACIÓN'!B:I,6,0),"")</f>
        <v/>
      </c>
      <c r="G324" s="27"/>
      <c r="H324" s="27"/>
      <c r="I324" s="27"/>
      <c r="J324" s="26"/>
      <c r="K324" s="26"/>
      <c r="L324" s="26"/>
      <c r="M324" s="28"/>
      <c r="N324" s="28"/>
      <c r="O324" s="29"/>
      <c r="P324" s="29"/>
      <c r="Q324" s="29"/>
      <c r="R324" s="29"/>
      <c r="S324" s="29"/>
      <c r="T324" s="29"/>
      <c r="U324" s="29"/>
      <c r="V324" s="10"/>
      <c r="W324" s="10"/>
      <c r="X324" s="10"/>
      <c r="Y324" s="10"/>
      <c r="Z324" s="10"/>
      <c r="AA324" s="10"/>
      <c r="AB324" s="10"/>
      <c r="AC324" s="10"/>
      <c r="AD324" s="10"/>
    </row>
    <row r="325" spans="1:30" ht="15.75" customHeight="1">
      <c r="A325" s="51"/>
      <c r="B325" s="41"/>
      <c r="C325" s="102"/>
      <c r="D325" s="26"/>
      <c r="E325" s="21" t="str">
        <f>IFERROR(VLOOKUP(D325,'DATOS ASIGNACIÓN'!B:I,7,0),"")</f>
        <v/>
      </c>
      <c r="F325" s="21" t="str">
        <f>IFERROR(VLOOKUP(D325,'DATOS ASIGNACIÓN'!B:I,6,0),"")</f>
        <v/>
      </c>
      <c r="G325" s="27"/>
      <c r="H325" s="27"/>
      <c r="I325" s="27"/>
      <c r="J325" s="26"/>
      <c r="K325" s="26"/>
      <c r="L325" s="26"/>
      <c r="M325" s="28"/>
      <c r="N325" s="28"/>
      <c r="O325" s="29"/>
      <c r="P325" s="29"/>
      <c r="Q325" s="29"/>
      <c r="R325" s="29"/>
      <c r="S325" s="29"/>
      <c r="T325" s="29"/>
      <c r="U325" s="29"/>
      <c r="V325" s="10"/>
      <c r="W325" s="10"/>
      <c r="X325" s="10"/>
      <c r="Y325" s="10"/>
      <c r="Z325" s="10"/>
      <c r="AA325" s="10"/>
      <c r="AB325" s="10"/>
      <c r="AC325" s="10"/>
      <c r="AD325" s="10"/>
    </row>
    <row r="326" spans="1:30" ht="15.75" customHeight="1">
      <c r="A326" s="51"/>
      <c r="B326" s="41"/>
      <c r="C326" s="102"/>
      <c r="D326" s="26"/>
      <c r="E326" s="21" t="str">
        <f>IFERROR(VLOOKUP(D326,'DATOS ASIGNACIÓN'!B:I,7,0),"")</f>
        <v/>
      </c>
      <c r="F326" s="21" t="str">
        <f>IFERROR(VLOOKUP(D326,'DATOS ASIGNACIÓN'!B:I,6,0),"")</f>
        <v/>
      </c>
      <c r="G326" s="27"/>
      <c r="H326" s="27"/>
      <c r="I326" s="27"/>
      <c r="J326" s="26"/>
      <c r="K326" s="26"/>
      <c r="L326" s="26"/>
      <c r="M326" s="28"/>
      <c r="N326" s="28"/>
      <c r="O326" s="29"/>
      <c r="P326" s="29"/>
      <c r="Q326" s="29"/>
      <c r="R326" s="29"/>
      <c r="S326" s="29"/>
      <c r="T326" s="29"/>
      <c r="U326" s="29"/>
      <c r="V326" s="10"/>
      <c r="W326" s="10"/>
      <c r="X326" s="10"/>
      <c r="Y326" s="10"/>
      <c r="Z326" s="10"/>
      <c r="AA326" s="10"/>
      <c r="AB326" s="10"/>
      <c r="AC326" s="10"/>
      <c r="AD326" s="10"/>
    </row>
    <row r="327" spans="1:30" ht="15.75" customHeight="1">
      <c r="A327" s="51"/>
      <c r="B327" s="41"/>
      <c r="C327" s="102"/>
      <c r="D327" s="26"/>
      <c r="E327" s="21" t="str">
        <f>IFERROR(VLOOKUP(D327,'DATOS ASIGNACIÓN'!B:I,7,0),"")</f>
        <v/>
      </c>
      <c r="F327" s="21" t="str">
        <f>IFERROR(VLOOKUP(D327,'DATOS ASIGNACIÓN'!B:I,6,0),"")</f>
        <v/>
      </c>
      <c r="G327" s="27"/>
      <c r="H327" s="27"/>
      <c r="I327" s="27"/>
      <c r="J327" s="26"/>
      <c r="K327" s="26"/>
      <c r="L327" s="26"/>
      <c r="M327" s="28"/>
      <c r="N327" s="28"/>
      <c r="O327" s="29"/>
      <c r="P327" s="29"/>
      <c r="Q327" s="29"/>
      <c r="R327" s="29"/>
      <c r="S327" s="29"/>
      <c r="T327" s="29"/>
      <c r="U327" s="29"/>
      <c r="V327" s="10"/>
      <c r="W327" s="10"/>
      <c r="X327" s="10"/>
      <c r="Y327" s="10"/>
      <c r="Z327" s="10"/>
      <c r="AA327" s="10"/>
      <c r="AB327" s="10"/>
      <c r="AC327" s="10"/>
      <c r="AD327" s="10"/>
    </row>
    <row r="328" spans="1:30" ht="15.75" customHeight="1">
      <c r="A328" s="51"/>
      <c r="B328" s="41"/>
      <c r="C328" s="102"/>
      <c r="D328" s="26"/>
      <c r="E328" s="21" t="str">
        <f>IFERROR(VLOOKUP(D328,'DATOS ASIGNACIÓN'!B:I,7,0),"")</f>
        <v/>
      </c>
      <c r="F328" s="21" t="str">
        <f>IFERROR(VLOOKUP(D328,'DATOS ASIGNACIÓN'!B:I,6,0),"")</f>
        <v/>
      </c>
      <c r="G328" s="27"/>
      <c r="H328" s="27"/>
      <c r="I328" s="27"/>
      <c r="J328" s="26"/>
      <c r="K328" s="26"/>
      <c r="L328" s="26"/>
      <c r="M328" s="28"/>
      <c r="N328" s="28"/>
      <c r="O328" s="29"/>
      <c r="P328" s="29"/>
      <c r="Q328" s="29"/>
      <c r="R328" s="29"/>
      <c r="S328" s="29"/>
      <c r="T328" s="29"/>
      <c r="U328" s="29"/>
      <c r="V328" s="10"/>
      <c r="W328" s="10"/>
      <c r="X328" s="10"/>
      <c r="Y328" s="10"/>
      <c r="Z328" s="10"/>
      <c r="AA328" s="10"/>
      <c r="AB328" s="10"/>
      <c r="AC328" s="10"/>
      <c r="AD328" s="10"/>
    </row>
    <row r="329" spans="1:30" ht="15.75" customHeight="1">
      <c r="A329" s="51"/>
      <c r="B329" s="41"/>
      <c r="C329" s="102"/>
      <c r="D329" s="26"/>
      <c r="E329" s="21" t="str">
        <f>IFERROR(VLOOKUP(D329,'DATOS ASIGNACIÓN'!B:I,7,0),"")</f>
        <v/>
      </c>
      <c r="F329" s="21" t="str">
        <f>IFERROR(VLOOKUP(D329,'DATOS ASIGNACIÓN'!B:I,6,0),"")</f>
        <v/>
      </c>
      <c r="G329" s="27"/>
      <c r="H329" s="27"/>
      <c r="I329" s="27"/>
      <c r="J329" s="26"/>
      <c r="K329" s="26"/>
      <c r="L329" s="26"/>
      <c r="M329" s="28"/>
      <c r="N329" s="28"/>
      <c r="O329" s="29"/>
      <c r="P329" s="29"/>
      <c r="Q329" s="29"/>
      <c r="R329" s="29"/>
      <c r="S329" s="29"/>
      <c r="T329" s="29"/>
      <c r="U329" s="29"/>
      <c r="V329" s="10"/>
      <c r="W329" s="10"/>
      <c r="X329" s="10"/>
      <c r="Y329" s="10"/>
      <c r="Z329" s="10"/>
      <c r="AA329" s="10"/>
      <c r="AB329" s="10"/>
      <c r="AC329" s="10"/>
      <c r="AD329" s="10"/>
    </row>
    <row r="330" spans="1:30" ht="15.75" customHeight="1">
      <c r="A330" s="51"/>
      <c r="B330" s="41"/>
      <c r="C330" s="102"/>
      <c r="D330" s="26"/>
      <c r="E330" s="21" t="str">
        <f>IFERROR(VLOOKUP(D330,'DATOS ASIGNACIÓN'!B:I,7,0),"")</f>
        <v/>
      </c>
      <c r="F330" s="21" t="str">
        <f>IFERROR(VLOOKUP(D330,'DATOS ASIGNACIÓN'!B:I,6,0),"")</f>
        <v/>
      </c>
      <c r="G330" s="27"/>
      <c r="H330" s="27"/>
      <c r="I330" s="27"/>
      <c r="J330" s="26"/>
      <c r="K330" s="26"/>
      <c r="L330" s="26"/>
      <c r="M330" s="28"/>
      <c r="N330" s="28"/>
      <c r="O330" s="29"/>
      <c r="P330" s="29"/>
      <c r="Q330" s="29"/>
      <c r="R330" s="29"/>
      <c r="S330" s="29"/>
      <c r="T330" s="29"/>
      <c r="U330" s="29"/>
      <c r="V330" s="10"/>
      <c r="W330" s="10"/>
      <c r="X330" s="10"/>
      <c r="Y330" s="10"/>
      <c r="Z330" s="10"/>
      <c r="AA330" s="10"/>
      <c r="AB330" s="10"/>
      <c r="AC330" s="10"/>
      <c r="AD330" s="10"/>
    </row>
    <row r="331" spans="1:30" ht="15.75" customHeight="1">
      <c r="A331" s="51"/>
      <c r="B331" s="41"/>
      <c r="C331" s="102"/>
      <c r="D331" s="26"/>
      <c r="E331" s="21" t="str">
        <f>IFERROR(VLOOKUP(D331,'DATOS ASIGNACIÓN'!B:I,7,0),"")</f>
        <v/>
      </c>
      <c r="F331" s="21" t="str">
        <f>IFERROR(VLOOKUP(D331,'DATOS ASIGNACIÓN'!B:I,6,0),"")</f>
        <v/>
      </c>
      <c r="G331" s="27"/>
      <c r="H331" s="27"/>
      <c r="I331" s="27"/>
      <c r="J331" s="26"/>
      <c r="K331" s="26"/>
      <c r="L331" s="26"/>
      <c r="M331" s="28"/>
      <c r="N331" s="28"/>
      <c r="O331" s="29"/>
      <c r="P331" s="29"/>
      <c r="Q331" s="29"/>
      <c r="R331" s="29"/>
      <c r="S331" s="29"/>
      <c r="T331" s="29"/>
      <c r="U331" s="29"/>
      <c r="V331" s="10"/>
      <c r="W331" s="10"/>
      <c r="X331" s="10"/>
      <c r="Y331" s="10"/>
      <c r="Z331" s="10"/>
      <c r="AA331" s="10"/>
      <c r="AB331" s="10"/>
      <c r="AC331" s="10"/>
      <c r="AD331" s="10"/>
    </row>
    <row r="332" spans="1:30" ht="15.75" customHeight="1">
      <c r="A332" s="51"/>
      <c r="B332" s="41"/>
      <c r="C332" s="102"/>
      <c r="D332" s="26"/>
      <c r="E332" s="21" t="str">
        <f>IFERROR(VLOOKUP(D332,'DATOS ASIGNACIÓN'!B:I,7,0),"")</f>
        <v/>
      </c>
      <c r="F332" s="21" t="str">
        <f>IFERROR(VLOOKUP(D332,'DATOS ASIGNACIÓN'!B:I,6,0),"")</f>
        <v/>
      </c>
      <c r="G332" s="27"/>
      <c r="H332" s="27"/>
      <c r="I332" s="27"/>
      <c r="J332" s="26"/>
      <c r="K332" s="26"/>
      <c r="L332" s="26"/>
      <c r="M332" s="28"/>
      <c r="N332" s="28"/>
      <c r="O332" s="29"/>
      <c r="P332" s="29"/>
      <c r="Q332" s="29"/>
      <c r="R332" s="29"/>
      <c r="S332" s="29"/>
      <c r="T332" s="29"/>
      <c r="U332" s="29"/>
      <c r="V332" s="10"/>
      <c r="W332" s="10"/>
      <c r="X332" s="10"/>
      <c r="Y332" s="10"/>
      <c r="Z332" s="10"/>
      <c r="AA332" s="10"/>
      <c r="AB332" s="10"/>
      <c r="AC332" s="10"/>
      <c r="AD332" s="10"/>
    </row>
    <row r="333" spans="1:30" ht="15.75" customHeight="1">
      <c r="A333" s="51"/>
      <c r="B333" s="41"/>
      <c r="C333" s="102"/>
      <c r="D333" s="26"/>
      <c r="E333" s="21" t="str">
        <f>IFERROR(VLOOKUP(D333,'DATOS ASIGNACIÓN'!B:I,7,0),"")</f>
        <v/>
      </c>
      <c r="F333" s="21" t="str">
        <f>IFERROR(VLOOKUP(D333,'DATOS ASIGNACIÓN'!B:I,6,0),"")</f>
        <v/>
      </c>
      <c r="G333" s="27"/>
      <c r="H333" s="27"/>
      <c r="I333" s="27"/>
      <c r="J333" s="26"/>
      <c r="K333" s="26"/>
      <c r="L333" s="26"/>
      <c r="M333" s="28"/>
      <c r="N333" s="28"/>
      <c r="O333" s="29"/>
      <c r="P333" s="29"/>
      <c r="Q333" s="29"/>
      <c r="R333" s="29"/>
      <c r="S333" s="29"/>
      <c r="T333" s="29"/>
      <c r="U333" s="29"/>
      <c r="V333" s="10"/>
      <c r="W333" s="10"/>
      <c r="X333" s="10"/>
      <c r="Y333" s="10"/>
      <c r="Z333" s="10"/>
      <c r="AA333" s="10"/>
      <c r="AB333" s="10"/>
      <c r="AC333" s="10"/>
      <c r="AD333" s="10"/>
    </row>
    <row r="334" spans="1:30" ht="15.75" customHeight="1">
      <c r="A334" s="51"/>
      <c r="B334" s="41"/>
      <c r="C334" s="102"/>
      <c r="D334" s="26"/>
      <c r="E334" s="21" t="str">
        <f>IFERROR(VLOOKUP(D334,'DATOS ASIGNACIÓN'!B:I,7,0),"")</f>
        <v/>
      </c>
      <c r="F334" s="21" t="str">
        <f>IFERROR(VLOOKUP(D334,'DATOS ASIGNACIÓN'!B:I,6,0),"")</f>
        <v/>
      </c>
      <c r="G334" s="27"/>
      <c r="H334" s="27"/>
      <c r="I334" s="27"/>
      <c r="J334" s="26"/>
      <c r="K334" s="26"/>
      <c r="L334" s="26"/>
      <c r="M334" s="28"/>
      <c r="N334" s="28"/>
      <c r="O334" s="29"/>
      <c r="P334" s="29"/>
      <c r="Q334" s="29"/>
      <c r="R334" s="29"/>
      <c r="S334" s="29"/>
      <c r="T334" s="29"/>
      <c r="U334" s="29"/>
      <c r="V334" s="10"/>
      <c r="W334" s="10"/>
      <c r="X334" s="10"/>
      <c r="Y334" s="10"/>
      <c r="Z334" s="10"/>
      <c r="AA334" s="10"/>
      <c r="AB334" s="10"/>
      <c r="AC334" s="10"/>
      <c r="AD334" s="10"/>
    </row>
    <row r="335" spans="1:30" ht="15.75" customHeight="1">
      <c r="A335" s="51"/>
      <c r="B335" s="41"/>
      <c r="C335" s="102"/>
      <c r="D335" s="26"/>
      <c r="E335" s="21" t="str">
        <f>IFERROR(VLOOKUP(D335,'DATOS ASIGNACIÓN'!B:I,7,0),"")</f>
        <v/>
      </c>
      <c r="F335" s="21" t="str">
        <f>IFERROR(VLOOKUP(D335,'DATOS ASIGNACIÓN'!B:I,6,0),"")</f>
        <v/>
      </c>
      <c r="G335" s="27"/>
      <c r="H335" s="27"/>
      <c r="I335" s="27"/>
      <c r="J335" s="26"/>
      <c r="K335" s="26"/>
      <c r="L335" s="26"/>
      <c r="M335" s="28"/>
      <c r="N335" s="28"/>
      <c r="O335" s="29"/>
      <c r="P335" s="29"/>
      <c r="Q335" s="29"/>
      <c r="R335" s="29"/>
      <c r="S335" s="29"/>
      <c r="T335" s="29"/>
      <c r="U335" s="29"/>
      <c r="V335" s="10"/>
      <c r="W335" s="10"/>
      <c r="X335" s="10"/>
      <c r="Y335" s="10"/>
      <c r="Z335" s="10"/>
      <c r="AA335" s="10"/>
      <c r="AB335" s="10"/>
      <c r="AC335" s="10"/>
      <c r="AD335" s="10"/>
    </row>
    <row r="336" spans="1:30" ht="15.75" customHeight="1">
      <c r="A336" s="51"/>
      <c r="B336" s="41"/>
      <c r="C336" s="102"/>
      <c r="D336" s="26"/>
      <c r="E336" s="21" t="str">
        <f>IFERROR(VLOOKUP(D336,'DATOS ASIGNACIÓN'!B:I,7,0),"")</f>
        <v/>
      </c>
      <c r="F336" s="21" t="str">
        <f>IFERROR(VLOOKUP(D336,'DATOS ASIGNACIÓN'!B:I,6,0),"")</f>
        <v/>
      </c>
      <c r="G336" s="27"/>
      <c r="H336" s="27"/>
      <c r="I336" s="27"/>
      <c r="J336" s="26"/>
      <c r="K336" s="26"/>
      <c r="L336" s="26"/>
      <c r="M336" s="28"/>
      <c r="N336" s="28"/>
      <c r="O336" s="29"/>
      <c r="P336" s="29"/>
      <c r="Q336" s="29"/>
      <c r="R336" s="29"/>
      <c r="S336" s="29"/>
      <c r="T336" s="29"/>
      <c r="U336" s="29"/>
      <c r="V336" s="10"/>
      <c r="W336" s="10"/>
      <c r="X336" s="10"/>
      <c r="Y336" s="10"/>
      <c r="Z336" s="10"/>
      <c r="AA336" s="10"/>
      <c r="AB336" s="10"/>
      <c r="AC336" s="10"/>
      <c r="AD336" s="10"/>
    </row>
    <row r="337" spans="1:30" ht="15.75" customHeight="1">
      <c r="A337" s="51"/>
      <c r="B337" s="41"/>
      <c r="C337" s="102"/>
      <c r="D337" s="26"/>
      <c r="E337" s="21" t="str">
        <f>IFERROR(VLOOKUP(D337,'DATOS ASIGNACIÓN'!B:I,7,0),"")</f>
        <v/>
      </c>
      <c r="F337" s="21" t="str">
        <f>IFERROR(VLOOKUP(D337,'DATOS ASIGNACIÓN'!B:I,6,0),"")</f>
        <v/>
      </c>
      <c r="G337" s="27"/>
      <c r="H337" s="27"/>
      <c r="I337" s="27"/>
      <c r="J337" s="26"/>
      <c r="K337" s="26"/>
      <c r="L337" s="26"/>
      <c r="M337" s="28"/>
      <c r="N337" s="28"/>
      <c r="O337" s="29"/>
      <c r="P337" s="29"/>
      <c r="Q337" s="29"/>
      <c r="R337" s="29"/>
      <c r="S337" s="29"/>
      <c r="T337" s="29"/>
      <c r="U337" s="29"/>
      <c r="V337" s="10"/>
      <c r="W337" s="10"/>
      <c r="X337" s="10"/>
      <c r="Y337" s="10"/>
      <c r="Z337" s="10"/>
      <c r="AA337" s="10"/>
      <c r="AB337" s="10"/>
      <c r="AC337" s="10"/>
      <c r="AD337" s="10"/>
    </row>
    <row r="338" spans="1:30" ht="15.75" customHeight="1">
      <c r="A338" s="51"/>
      <c r="B338" s="41"/>
      <c r="C338" s="102"/>
      <c r="D338" s="26"/>
      <c r="E338" s="21" t="str">
        <f>IFERROR(VLOOKUP(D338,'DATOS ASIGNACIÓN'!B:I,7,0),"")</f>
        <v/>
      </c>
      <c r="F338" s="21" t="str">
        <f>IFERROR(VLOOKUP(D338,'DATOS ASIGNACIÓN'!B:I,6,0),"")</f>
        <v/>
      </c>
      <c r="G338" s="27"/>
      <c r="H338" s="27"/>
      <c r="I338" s="27"/>
      <c r="J338" s="26"/>
      <c r="K338" s="26"/>
      <c r="L338" s="26"/>
      <c r="M338" s="28"/>
      <c r="N338" s="28"/>
      <c r="O338" s="29"/>
      <c r="P338" s="29"/>
      <c r="Q338" s="29"/>
      <c r="R338" s="29"/>
      <c r="S338" s="29"/>
      <c r="T338" s="29"/>
      <c r="U338" s="29"/>
      <c r="V338" s="10"/>
      <c r="W338" s="10"/>
      <c r="X338" s="10"/>
      <c r="Y338" s="10"/>
      <c r="Z338" s="10"/>
      <c r="AA338" s="10"/>
      <c r="AB338" s="10"/>
      <c r="AC338" s="10"/>
      <c r="AD338" s="10"/>
    </row>
    <row r="339" spans="1:30" ht="15.75" customHeight="1">
      <c r="A339" s="51"/>
      <c r="B339" s="41"/>
      <c r="C339" s="102"/>
      <c r="D339" s="26"/>
      <c r="E339" s="21" t="str">
        <f>IFERROR(VLOOKUP(D339,'DATOS ASIGNACIÓN'!B:I,7,0),"")</f>
        <v/>
      </c>
      <c r="F339" s="21" t="str">
        <f>IFERROR(VLOOKUP(D339,'DATOS ASIGNACIÓN'!B:I,6,0),"")</f>
        <v/>
      </c>
      <c r="G339" s="27"/>
      <c r="H339" s="27"/>
      <c r="I339" s="27"/>
      <c r="J339" s="26"/>
      <c r="K339" s="26"/>
      <c r="L339" s="26"/>
      <c r="M339" s="28"/>
      <c r="N339" s="28"/>
      <c r="O339" s="29"/>
      <c r="P339" s="29"/>
      <c r="Q339" s="29"/>
      <c r="R339" s="29"/>
      <c r="S339" s="29"/>
      <c r="T339" s="29"/>
      <c r="U339" s="29"/>
      <c r="V339" s="10"/>
      <c r="W339" s="10"/>
      <c r="X339" s="10"/>
      <c r="Y339" s="10"/>
      <c r="Z339" s="10"/>
      <c r="AA339" s="10"/>
      <c r="AB339" s="10"/>
      <c r="AC339" s="10"/>
      <c r="AD339" s="10"/>
    </row>
    <row r="340" spans="1:30" ht="15.75" customHeight="1">
      <c r="A340" s="51"/>
      <c r="B340" s="41"/>
      <c r="C340" s="102"/>
      <c r="D340" s="26"/>
      <c r="E340" s="21" t="str">
        <f>IFERROR(VLOOKUP(D340,'DATOS ASIGNACIÓN'!B:I,7,0),"")</f>
        <v/>
      </c>
      <c r="F340" s="21" t="str">
        <f>IFERROR(VLOOKUP(D340,'DATOS ASIGNACIÓN'!B:I,6,0),"")</f>
        <v/>
      </c>
      <c r="G340" s="27"/>
      <c r="H340" s="27"/>
      <c r="I340" s="27"/>
      <c r="J340" s="26"/>
      <c r="K340" s="26"/>
      <c r="L340" s="26"/>
      <c r="M340" s="28"/>
      <c r="N340" s="28"/>
      <c r="O340" s="29"/>
      <c r="P340" s="29"/>
      <c r="Q340" s="29"/>
      <c r="R340" s="29"/>
      <c r="S340" s="29"/>
      <c r="T340" s="29"/>
      <c r="U340" s="29"/>
      <c r="V340" s="10"/>
      <c r="W340" s="10"/>
      <c r="X340" s="10"/>
      <c r="Y340" s="10"/>
      <c r="Z340" s="10"/>
      <c r="AA340" s="10"/>
      <c r="AB340" s="10"/>
      <c r="AC340" s="10"/>
      <c r="AD340" s="10"/>
    </row>
    <row r="341" spans="1:30" ht="15.75" customHeight="1">
      <c r="A341" s="51"/>
      <c r="B341" s="41"/>
      <c r="C341" s="102"/>
      <c r="D341" s="26"/>
      <c r="E341" s="21" t="str">
        <f>IFERROR(VLOOKUP(D341,'DATOS ASIGNACIÓN'!B:I,7,0),"")</f>
        <v/>
      </c>
      <c r="F341" s="21" t="str">
        <f>IFERROR(VLOOKUP(D341,'DATOS ASIGNACIÓN'!B:I,6,0),"")</f>
        <v/>
      </c>
      <c r="G341" s="27"/>
      <c r="H341" s="27"/>
      <c r="I341" s="27"/>
      <c r="J341" s="26"/>
      <c r="K341" s="26"/>
      <c r="L341" s="26"/>
      <c r="M341" s="28"/>
      <c r="N341" s="28"/>
      <c r="O341" s="29"/>
      <c r="P341" s="29"/>
      <c r="Q341" s="29"/>
      <c r="R341" s="29"/>
      <c r="S341" s="29"/>
      <c r="T341" s="29"/>
      <c r="U341" s="29"/>
      <c r="V341" s="10"/>
      <c r="W341" s="10"/>
      <c r="X341" s="10"/>
      <c r="Y341" s="10"/>
      <c r="Z341" s="10"/>
      <c r="AA341" s="10"/>
      <c r="AB341" s="10"/>
      <c r="AC341" s="10"/>
      <c r="AD341" s="10"/>
    </row>
    <row r="342" spans="1:30" ht="15.75" customHeight="1">
      <c r="A342" s="51"/>
      <c r="B342" s="41"/>
      <c r="C342" s="102"/>
      <c r="D342" s="26"/>
      <c r="E342" s="21" t="str">
        <f>IFERROR(VLOOKUP(D342,'DATOS ASIGNACIÓN'!B:I,7,0),"")</f>
        <v/>
      </c>
      <c r="F342" s="21" t="str">
        <f>IFERROR(VLOOKUP(D342,'DATOS ASIGNACIÓN'!B:I,6,0),"")</f>
        <v/>
      </c>
      <c r="G342" s="27"/>
      <c r="H342" s="27"/>
      <c r="I342" s="27"/>
      <c r="J342" s="26"/>
      <c r="K342" s="26"/>
      <c r="L342" s="26"/>
      <c r="M342" s="28"/>
      <c r="N342" s="28"/>
      <c r="O342" s="29"/>
      <c r="P342" s="29"/>
      <c r="Q342" s="29"/>
      <c r="R342" s="29"/>
      <c r="S342" s="29"/>
      <c r="T342" s="29"/>
      <c r="U342" s="29"/>
      <c r="V342" s="10"/>
      <c r="W342" s="10"/>
      <c r="X342" s="10"/>
      <c r="Y342" s="10"/>
      <c r="Z342" s="10"/>
      <c r="AA342" s="10"/>
      <c r="AB342" s="10"/>
      <c r="AC342" s="10"/>
      <c r="AD342" s="10"/>
    </row>
    <row r="343" spans="1:30" ht="15.75" customHeight="1">
      <c r="A343" s="51"/>
      <c r="B343" s="41"/>
      <c r="C343" s="102"/>
      <c r="D343" s="26"/>
      <c r="E343" s="21" t="str">
        <f>IFERROR(VLOOKUP(D343,'DATOS ASIGNACIÓN'!B:I,7,0),"")</f>
        <v/>
      </c>
      <c r="F343" s="21" t="str">
        <f>IFERROR(VLOOKUP(D343,'DATOS ASIGNACIÓN'!B:I,6,0),"")</f>
        <v/>
      </c>
      <c r="G343" s="27"/>
      <c r="H343" s="27"/>
      <c r="I343" s="27"/>
      <c r="J343" s="26"/>
      <c r="K343" s="26"/>
      <c r="L343" s="26"/>
      <c r="M343" s="28"/>
      <c r="N343" s="28"/>
      <c r="O343" s="29"/>
      <c r="P343" s="29"/>
      <c r="Q343" s="29"/>
      <c r="R343" s="29"/>
      <c r="S343" s="29"/>
      <c r="T343" s="29"/>
      <c r="U343" s="29"/>
      <c r="V343" s="10"/>
      <c r="W343" s="10"/>
      <c r="X343" s="10"/>
      <c r="Y343" s="10"/>
      <c r="Z343" s="10"/>
      <c r="AA343" s="10"/>
      <c r="AB343" s="10"/>
      <c r="AC343" s="10"/>
      <c r="AD343" s="10"/>
    </row>
    <row r="344" spans="1:30" ht="15.75" customHeight="1">
      <c r="A344" s="51"/>
      <c r="B344" s="41"/>
      <c r="C344" s="102"/>
      <c r="D344" s="26"/>
      <c r="E344" s="21" t="str">
        <f>IFERROR(VLOOKUP(D344,'DATOS ASIGNACIÓN'!B:I,7,0),"")</f>
        <v/>
      </c>
      <c r="F344" s="21" t="str">
        <f>IFERROR(VLOOKUP(D344,'DATOS ASIGNACIÓN'!B:I,6,0),"")</f>
        <v/>
      </c>
      <c r="G344" s="27"/>
      <c r="H344" s="27"/>
      <c r="I344" s="27"/>
      <c r="J344" s="26"/>
      <c r="K344" s="26"/>
      <c r="L344" s="26"/>
      <c r="M344" s="28"/>
      <c r="N344" s="28"/>
      <c r="O344" s="29"/>
      <c r="P344" s="29"/>
      <c r="Q344" s="29"/>
      <c r="R344" s="29"/>
      <c r="S344" s="29"/>
      <c r="T344" s="29"/>
      <c r="U344" s="29"/>
      <c r="V344" s="10"/>
      <c r="W344" s="10"/>
      <c r="X344" s="10"/>
      <c r="Y344" s="10"/>
      <c r="Z344" s="10"/>
      <c r="AA344" s="10"/>
      <c r="AB344" s="10"/>
      <c r="AC344" s="10"/>
      <c r="AD344" s="10"/>
    </row>
    <row r="345" spans="1:30" ht="15.75" customHeight="1">
      <c r="A345" s="51"/>
      <c r="B345" s="41"/>
      <c r="C345" s="102"/>
      <c r="D345" s="26"/>
      <c r="E345" s="21" t="str">
        <f>IFERROR(VLOOKUP(D345,'DATOS ASIGNACIÓN'!B:I,7,0),"")</f>
        <v/>
      </c>
      <c r="F345" s="21" t="str">
        <f>IFERROR(VLOOKUP(D345,'DATOS ASIGNACIÓN'!B:I,6,0),"")</f>
        <v/>
      </c>
      <c r="G345" s="27"/>
      <c r="H345" s="27"/>
      <c r="I345" s="27"/>
      <c r="J345" s="26"/>
      <c r="K345" s="26"/>
      <c r="L345" s="26"/>
      <c r="M345" s="28"/>
      <c r="N345" s="28"/>
      <c r="O345" s="29"/>
      <c r="P345" s="29"/>
      <c r="Q345" s="29"/>
      <c r="R345" s="29"/>
      <c r="S345" s="29"/>
      <c r="T345" s="29"/>
      <c r="U345" s="29"/>
      <c r="V345" s="10"/>
      <c r="W345" s="10"/>
      <c r="X345" s="10"/>
      <c r="Y345" s="10"/>
      <c r="Z345" s="10"/>
      <c r="AA345" s="10"/>
      <c r="AB345" s="10"/>
      <c r="AC345" s="10"/>
      <c r="AD345" s="10"/>
    </row>
    <row r="346" spans="1:30" ht="15.75" customHeight="1">
      <c r="A346" s="51"/>
      <c r="B346" s="41"/>
      <c r="C346" s="102"/>
      <c r="D346" s="26"/>
      <c r="E346" s="21" t="str">
        <f>IFERROR(VLOOKUP(D346,'DATOS ASIGNACIÓN'!B:I,7,0),"")</f>
        <v/>
      </c>
      <c r="F346" s="21" t="str">
        <f>IFERROR(VLOOKUP(D346,'DATOS ASIGNACIÓN'!B:I,6,0),"")</f>
        <v/>
      </c>
      <c r="G346" s="27"/>
      <c r="H346" s="27"/>
      <c r="I346" s="27"/>
      <c r="J346" s="26"/>
      <c r="K346" s="26"/>
      <c r="L346" s="26"/>
      <c r="M346" s="28"/>
      <c r="N346" s="28"/>
      <c r="O346" s="29"/>
      <c r="P346" s="29"/>
      <c r="Q346" s="29"/>
      <c r="R346" s="29"/>
      <c r="S346" s="29"/>
      <c r="T346" s="29"/>
      <c r="U346" s="29"/>
      <c r="V346" s="10"/>
      <c r="W346" s="10"/>
      <c r="X346" s="10"/>
      <c r="Y346" s="10"/>
      <c r="Z346" s="10"/>
      <c r="AA346" s="10"/>
      <c r="AB346" s="10"/>
      <c r="AC346" s="10"/>
      <c r="AD346" s="10"/>
    </row>
    <row r="347" spans="1:30" ht="15.75" customHeight="1">
      <c r="A347" s="51"/>
      <c r="B347" s="41"/>
      <c r="C347" s="102"/>
      <c r="D347" s="26"/>
      <c r="E347" s="21" t="str">
        <f>IFERROR(VLOOKUP(D347,'DATOS ASIGNACIÓN'!B:I,7,0),"")</f>
        <v/>
      </c>
      <c r="F347" s="21" t="str">
        <f>IFERROR(VLOOKUP(D347,'DATOS ASIGNACIÓN'!B:I,6,0),"")</f>
        <v/>
      </c>
      <c r="G347" s="27"/>
      <c r="H347" s="27"/>
      <c r="I347" s="27"/>
      <c r="J347" s="26"/>
      <c r="K347" s="26"/>
      <c r="L347" s="26"/>
      <c r="M347" s="28"/>
      <c r="N347" s="28"/>
      <c r="O347" s="29"/>
      <c r="P347" s="29"/>
      <c r="Q347" s="29"/>
      <c r="R347" s="29"/>
      <c r="S347" s="29"/>
      <c r="T347" s="29"/>
      <c r="U347" s="29"/>
      <c r="V347" s="10"/>
      <c r="W347" s="10"/>
      <c r="X347" s="10"/>
      <c r="Y347" s="10"/>
      <c r="Z347" s="10"/>
      <c r="AA347" s="10"/>
      <c r="AB347" s="10"/>
      <c r="AC347" s="10"/>
      <c r="AD347" s="10"/>
    </row>
    <row r="348" spans="1:30" ht="15.75" customHeight="1">
      <c r="A348" s="51"/>
      <c r="B348" s="41"/>
      <c r="C348" s="102"/>
      <c r="D348" s="26"/>
      <c r="E348" s="21" t="str">
        <f>IFERROR(VLOOKUP(D348,'DATOS ASIGNACIÓN'!B:I,7,0),"")</f>
        <v/>
      </c>
      <c r="F348" s="21" t="str">
        <f>IFERROR(VLOOKUP(D348,'DATOS ASIGNACIÓN'!B:I,6,0),"")</f>
        <v/>
      </c>
      <c r="G348" s="27"/>
      <c r="H348" s="27"/>
      <c r="I348" s="27"/>
      <c r="J348" s="26"/>
      <c r="K348" s="26"/>
      <c r="L348" s="26"/>
      <c r="M348" s="28"/>
      <c r="N348" s="28"/>
      <c r="O348" s="29"/>
      <c r="P348" s="29"/>
      <c r="Q348" s="29"/>
      <c r="R348" s="29"/>
      <c r="S348" s="29"/>
      <c r="T348" s="29"/>
      <c r="U348" s="29"/>
      <c r="V348" s="10"/>
      <c r="W348" s="10"/>
      <c r="X348" s="10"/>
      <c r="Y348" s="10"/>
      <c r="Z348" s="10"/>
      <c r="AA348" s="10"/>
      <c r="AB348" s="10"/>
      <c r="AC348" s="10"/>
      <c r="AD348" s="10"/>
    </row>
    <row r="349" spans="1:30" ht="15.75" customHeight="1">
      <c r="A349" s="51"/>
      <c r="B349" s="41"/>
      <c r="C349" s="102"/>
      <c r="D349" s="26"/>
      <c r="E349" s="21" t="str">
        <f>IFERROR(VLOOKUP(D349,'DATOS ASIGNACIÓN'!B:I,7,0),"")</f>
        <v/>
      </c>
      <c r="F349" s="21" t="str">
        <f>IFERROR(VLOOKUP(D349,'DATOS ASIGNACIÓN'!B:I,6,0),"")</f>
        <v/>
      </c>
      <c r="G349" s="27"/>
      <c r="H349" s="27"/>
      <c r="I349" s="27"/>
      <c r="J349" s="26"/>
      <c r="K349" s="26"/>
      <c r="L349" s="26"/>
      <c r="M349" s="28"/>
      <c r="N349" s="28"/>
      <c r="O349" s="29"/>
      <c r="P349" s="29"/>
      <c r="Q349" s="29"/>
      <c r="R349" s="29"/>
      <c r="S349" s="29"/>
      <c r="T349" s="29"/>
      <c r="U349" s="29"/>
      <c r="V349" s="10"/>
      <c r="W349" s="10"/>
      <c r="X349" s="10"/>
      <c r="Y349" s="10"/>
      <c r="Z349" s="10"/>
      <c r="AA349" s="10"/>
      <c r="AB349" s="10"/>
      <c r="AC349" s="10"/>
      <c r="AD349" s="10"/>
    </row>
    <row r="350" spans="1:30" ht="15.75" customHeight="1">
      <c r="A350" s="51"/>
      <c r="B350" s="41"/>
      <c r="C350" s="102"/>
      <c r="D350" s="26"/>
      <c r="E350" s="21" t="str">
        <f>IFERROR(VLOOKUP(D350,'DATOS ASIGNACIÓN'!B:I,7,0),"")</f>
        <v/>
      </c>
      <c r="F350" s="21" t="str">
        <f>IFERROR(VLOOKUP(D350,'DATOS ASIGNACIÓN'!B:I,6,0),"")</f>
        <v/>
      </c>
      <c r="G350" s="27"/>
      <c r="H350" s="27"/>
      <c r="I350" s="27"/>
      <c r="J350" s="26"/>
      <c r="K350" s="26"/>
      <c r="L350" s="26"/>
      <c r="M350" s="28"/>
      <c r="N350" s="28"/>
      <c r="O350" s="29"/>
      <c r="P350" s="29"/>
      <c r="Q350" s="29"/>
      <c r="R350" s="29"/>
      <c r="S350" s="29"/>
      <c r="T350" s="29"/>
      <c r="U350" s="29"/>
      <c r="V350" s="10"/>
      <c r="W350" s="10"/>
      <c r="X350" s="10"/>
      <c r="Y350" s="10"/>
      <c r="Z350" s="10"/>
      <c r="AA350" s="10"/>
      <c r="AB350" s="10"/>
      <c r="AC350" s="10"/>
      <c r="AD350" s="10"/>
    </row>
    <row r="351" spans="1:30" ht="15.75" customHeight="1">
      <c r="A351" s="51"/>
      <c r="B351" s="41"/>
      <c r="C351" s="102"/>
      <c r="D351" s="26"/>
      <c r="E351" s="21" t="str">
        <f>IFERROR(VLOOKUP(D351,'DATOS ASIGNACIÓN'!B:I,7,0),"")</f>
        <v/>
      </c>
      <c r="F351" s="21" t="str">
        <f>IFERROR(VLOOKUP(D351,'DATOS ASIGNACIÓN'!B:I,6,0),"")</f>
        <v/>
      </c>
      <c r="G351" s="27"/>
      <c r="H351" s="27"/>
      <c r="I351" s="27"/>
      <c r="J351" s="26"/>
      <c r="K351" s="26"/>
      <c r="L351" s="26"/>
      <c r="M351" s="28"/>
      <c r="N351" s="28"/>
      <c r="O351" s="29"/>
      <c r="P351" s="29"/>
      <c r="Q351" s="29"/>
      <c r="R351" s="29"/>
      <c r="S351" s="29"/>
      <c r="T351" s="29"/>
      <c r="U351" s="29"/>
      <c r="V351" s="10"/>
      <c r="W351" s="10"/>
      <c r="X351" s="10"/>
      <c r="Y351" s="10"/>
      <c r="Z351" s="10"/>
      <c r="AA351" s="10"/>
      <c r="AB351" s="10"/>
      <c r="AC351" s="10"/>
      <c r="AD351" s="10"/>
    </row>
    <row r="352" spans="1:30" ht="15.75" customHeight="1">
      <c r="A352" s="51"/>
      <c r="B352" s="41"/>
      <c r="C352" s="102"/>
      <c r="D352" s="26"/>
      <c r="E352" s="21" t="str">
        <f>IFERROR(VLOOKUP(D352,'DATOS ASIGNACIÓN'!B:I,7,0),"")</f>
        <v/>
      </c>
      <c r="F352" s="21" t="str">
        <f>IFERROR(VLOOKUP(D352,'DATOS ASIGNACIÓN'!B:I,6,0),"")</f>
        <v/>
      </c>
      <c r="G352" s="27"/>
      <c r="H352" s="27"/>
      <c r="I352" s="27"/>
      <c r="J352" s="26"/>
      <c r="K352" s="26"/>
      <c r="L352" s="26"/>
      <c r="M352" s="28"/>
      <c r="N352" s="28"/>
      <c r="O352" s="29"/>
      <c r="P352" s="29"/>
      <c r="Q352" s="29"/>
      <c r="R352" s="29"/>
      <c r="S352" s="29"/>
      <c r="T352" s="29"/>
      <c r="U352" s="29"/>
      <c r="V352" s="10"/>
      <c r="W352" s="10"/>
      <c r="X352" s="10"/>
      <c r="Y352" s="10"/>
      <c r="Z352" s="10"/>
      <c r="AA352" s="10"/>
      <c r="AB352" s="10"/>
      <c r="AC352" s="10"/>
      <c r="AD352" s="10"/>
    </row>
    <row r="353" spans="1:30" ht="15.75" customHeight="1">
      <c r="A353" s="51"/>
      <c r="B353" s="41"/>
      <c r="C353" s="102"/>
      <c r="D353" s="26"/>
      <c r="E353" s="21" t="str">
        <f>IFERROR(VLOOKUP(D353,'DATOS ASIGNACIÓN'!B:I,7,0),"")</f>
        <v/>
      </c>
      <c r="F353" s="21" t="str">
        <f>IFERROR(VLOOKUP(D353,'DATOS ASIGNACIÓN'!B:I,6,0),"")</f>
        <v/>
      </c>
      <c r="G353" s="27"/>
      <c r="H353" s="27"/>
      <c r="I353" s="27"/>
      <c r="J353" s="26"/>
      <c r="K353" s="26"/>
      <c r="L353" s="26"/>
      <c r="M353" s="28"/>
      <c r="N353" s="28"/>
      <c r="O353" s="29"/>
      <c r="P353" s="29"/>
      <c r="Q353" s="29"/>
      <c r="R353" s="29"/>
      <c r="S353" s="29"/>
      <c r="T353" s="29"/>
      <c r="U353" s="29"/>
      <c r="V353" s="10"/>
      <c r="W353" s="10"/>
      <c r="X353" s="10"/>
      <c r="Y353" s="10"/>
      <c r="Z353" s="10"/>
      <c r="AA353" s="10"/>
      <c r="AB353" s="10"/>
      <c r="AC353" s="10"/>
      <c r="AD353" s="10"/>
    </row>
    <row r="354" spans="1:30" ht="15.75" customHeight="1">
      <c r="A354" s="51"/>
      <c r="B354" s="41"/>
      <c r="C354" s="102"/>
      <c r="D354" s="26"/>
      <c r="E354" s="21" t="str">
        <f>IFERROR(VLOOKUP(D354,'DATOS ASIGNACIÓN'!B:I,7,0),"")</f>
        <v/>
      </c>
      <c r="F354" s="21" t="str">
        <f>IFERROR(VLOOKUP(D354,'DATOS ASIGNACIÓN'!B:I,6,0),"")</f>
        <v/>
      </c>
      <c r="G354" s="27"/>
      <c r="H354" s="27"/>
      <c r="I354" s="27"/>
      <c r="J354" s="26"/>
      <c r="K354" s="26"/>
      <c r="L354" s="26"/>
      <c r="M354" s="28"/>
      <c r="N354" s="28"/>
      <c r="O354" s="29"/>
      <c r="P354" s="29"/>
      <c r="Q354" s="29"/>
      <c r="R354" s="29"/>
      <c r="S354" s="29"/>
      <c r="T354" s="29"/>
      <c r="U354" s="29"/>
      <c r="V354" s="10"/>
      <c r="W354" s="10"/>
      <c r="X354" s="10"/>
      <c r="Y354" s="10"/>
      <c r="Z354" s="10"/>
      <c r="AA354" s="10"/>
      <c r="AB354" s="10"/>
      <c r="AC354" s="10"/>
      <c r="AD354" s="10"/>
    </row>
    <row r="355" spans="1:30" ht="15.75" customHeight="1">
      <c r="A355" s="51"/>
      <c r="B355" s="41"/>
      <c r="C355" s="102"/>
      <c r="D355" s="26"/>
      <c r="E355" s="21" t="str">
        <f>IFERROR(VLOOKUP(D355,'DATOS ASIGNACIÓN'!B:I,7,0),"")</f>
        <v/>
      </c>
      <c r="F355" s="21" t="str">
        <f>IFERROR(VLOOKUP(D355,'DATOS ASIGNACIÓN'!B:I,6,0),"")</f>
        <v/>
      </c>
      <c r="G355" s="27"/>
      <c r="H355" s="27"/>
      <c r="I355" s="27"/>
      <c r="J355" s="26"/>
      <c r="K355" s="26"/>
      <c r="L355" s="26"/>
      <c r="M355" s="28"/>
      <c r="N355" s="28"/>
      <c r="O355" s="29"/>
      <c r="P355" s="29"/>
      <c r="Q355" s="29"/>
      <c r="R355" s="29"/>
      <c r="S355" s="29"/>
      <c r="T355" s="29"/>
      <c r="U355" s="29"/>
      <c r="V355" s="10"/>
      <c r="W355" s="10"/>
      <c r="X355" s="10"/>
      <c r="Y355" s="10"/>
      <c r="Z355" s="10"/>
      <c r="AA355" s="10"/>
      <c r="AB355" s="10"/>
      <c r="AC355" s="10"/>
      <c r="AD355" s="10"/>
    </row>
    <row r="356" spans="1:30" ht="15.75" customHeight="1">
      <c r="A356" s="51"/>
      <c r="B356" s="41"/>
      <c r="C356" s="102"/>
      <c r="D356" s="26"/>
      <c r="E356" s="21" t="str">
        <f>IFERROR(VLOOKUP(D356,'DATOS ASIGNACIÓN'!B:I,7,0),"")</f>
        <v/>
      </c>
      <c r="F356" s="21" t="str">
        <f>IFERROR(VLOOKUP(D356,'DATOS ASIGNACIÓN'!B:I,6,0),"")</f>
        <v/>
      </c>
      <c r="G356" s="27"/>
      <c r="H356" s="27"/>
      <c r="I356" s="27"/>
      <c r="J356" s="26"/>
      <c r="K356" s="26"/>
      <c r="L356" s="26"/>
      <c r="M356" s="28"/>
      <c r="N356" s="28"/>
      <c r="O356" s="29"/>
      <c r="P356" s="29"/>
      <c r="Q356" s="29"/>
      <c r="R356" s="29"/>
      <c r="S356" s="29"/>
      <c r="T356" s="29"/>
      <c r="U356" s="29"/>
      <c r="V356" s="10"/>
      <c r="W356" s="10"/>
      <c r="X356" s="10"/>
      <c r="Y356" s="10"/>
      <c r="Z356" s="10"/>
      <c r="AA356" s="10"/>
      <c r="AB356" s="10"/>
      <c r="AC356" s="10"/>
      <c r="AD356" s="10"/>
    </row>
    <row r="357" spans="1:30" ht="15.75" customHeight="1">
      <c r="A357" s="51"/>
      <c r="B357" s="41"/>
      <c r="C357" s="102"/>
      <c r="D357" s="26"/>
      <c r="E357" s="21" t="str">
        <f>IFERROR(VLOOKUP(D357,'DATOS ASIGNACIÓN'!B:I,7,0),"")</f>
        <v/>
      </c>
      <c r="F357" s="21" t="str">
        <f>IFERROR(VLOOKUP(D357,'DATOS ASIGNACIÓN'!B:I,6,0),"")</f>
        <v/>
      </c>
      <c r="G357" s="27"/>
      <c r="H357" s="27"/>
      <c r="I357" s="27"/>
      <c r="J357" s="26"/>
      <c r="K357" s="26"/>
      <c r="L357" s="26"/>
      <c r="M357" s="28"/>
      <c r="N357" s="28"/>
      <c r="O357" s="29"/>
      <c r="P357" s="29"/>
      <c r="Q357" s="29"/>
      <c r="R357" s="29"/>
      <c r="S357" s="29"/>
      <c r="T357" s="29"/>
      <c r="U357" s="29"/>
      <c r="V357" s="10"/>
      <c r="W357" s="10"/>
      <c r="X357" s="10"/>
      <c r="Y357" s="10"/>
      <c r="Z357" s="10"/>
      <c r="AA357" s="10"/>
      <c r="AB357" s="10"/>
      <c r="AC357" s="10"/>
      <c r="AD357" s="10"/>
    </row>
    <row r="358" spans="1:30" ht="15.75" customHeight="1">
      <c r="A358" s="51"/>
      <c r="B358" s="41"/>
      <c r="C358" s="102"/>
      <c r="D358" s="26"/>
      <c r="E358" s="21" t="str">
        <f>IFERROR(VLOOKUP(D358,'DATOS ASIGNACIÓN'!B:I,7,0),"")</f>
        <v/>
      </c>
      <c r="F358" s="21" t="str">
        <f>IFERROR(VLOOKUP(D358,'DATOS ASIGNACIÓN'!B:I,6,0),"")</f>
        <v/>
      </c>
      <c r="G358" s="27"/>
      <c r="H358" s="27"/>
      <c r="I358" s="27"/>
      <c r="J358" s="26"/>
      <c r="K358" s="26"/>
      <c r="L358" s="26"/>
      <c r="M358" s="28"/>
      <c r="N358" s="28"/>
      <c r="O358" s="29"/>
      <c r="P358" s="29"/>
      <c r="Q358" s="29"/>
      <c r="R358" s="29"/>
      <c r="S358" s="29"/>
      <c r="T358" s="29"/>
      <c r="U358" s="29"/>
      <c r="V358" s="10"/>
      <c r="W358" s="10"/>
      <c r="X358" s="10"/>
      <c r="Y358" s="10"/>
      <c r="Z358" s="10"/>
      <c r="AA358" s="10"/>
      <c r="AB358" s="10"/>
      <c r="AC358" s="10"/>
      <c r="AD358" s="10"/>
    </row>
    <row r="359" spans="1:30" ht="15.75" customHeight="1">
      <c r="A359" s="51"/>
      <c r="B359" s="41"/>
      <c r="C359" s="102"/>
      <c r="D359" s="26"/>
      <c r="E359" s="21" t="str">
        <f>IFERROR(VLOOKUP(D359,'DATOS ASIGNACIÓN'!B:I,7,0),"")</f>
        <v/>
      </c>
      <c r="F359" s="21" t="str">
        <f>IFERROR(VLOOKUP(D359,'DATOS ASIGNACIÓN'!B:I,6,0),"")</f>
        <v/>
      </c>
      <c r="G359" s="27"/>
      <c r="H359" s="27"/>
      <c r="I359" s="27"/>
      <c r="J359" s="26"/>
      <c r="K359" s="26"/>
      <c r="L359" s="26"/>
      <c r="M359" s="28"/>
      <c r="N359" s="28"/>
      <c r="O359" s="29"/>
      <c r="P359" s="29"/>
      <c r="Q359" s="29"/>
      <c r="R359" s="29"/>
      <c r="S359" s="29"/>
      <c r="T359" s="29"/>
      <c r="U359" s="29"/>
      <c r="V359" s="10"/>
      <c r="W359" s="10"/>
      <c r="X359" s="10"/>
      <c r="Y359" s="10"/>
      <c r="Z359" s="10"/>
      <c r="AA359" s="10"/>
      <c r="AB359" s="10"/>
      <c r="AC359" s="10"/>
      <c r="AD359" s="10"/>
    </row>
    <row r="360" spans="1:30" ht="15.75" customHeight="1">
      <c r="A360" s="51"/>
      <c r="B360" s="41"/>
      <c r="C360" s="102"/>
      <c r="D360" s="26"/>
      <c r="E360" s="21" t="str">
        <f>IFERROR(VLOOKUP(D360,'DATOS ASIGNACIÓN'!B:I,7,0),"")</f>
        <v/>
      </c>
      <c r="F360" s="21" t="str">
        <f>IFERROR(VLOOKUP(D360,'DATOS ASIGNACIÓN'!B:I,6,0),"")</f>
        <v/>
      </c>
      <c r="G360" s="27"/>
      <c r="H360" s="27"/>
      <c r="I360" s="27"/>
      <c r="J360" s="26"/>
      <c r="K360" s="26"/>
      <c r="L360" s="26"/>
      <c r="M360" s="28"/>
      <c r="N360" s="28"/>
      <c r="O360" s="29"/>
      <c r="P360" s="29"/>
      <c r="Q360" s="29"/>
      <c r="R360" s="29"/>
      <c r="S360" s="29"/>
      <c r="T360" s="29"/>
      <c r="U360" s="29"/>
      <c r="V360" s="10"/>
      <c r="W360" s="10"/>
      <c r="X360" s="10"/>
      <c r="Y360" s="10"/>
      <c r="Z360" s="10"/>
      <c r="AA360" s="10"/>
      <c r="AB360" s="10"/>
      <c r="AC360" s="10"/>
      <c r="AD360" s="10"/>
    </row>
    <row r="361" spans="1:30" ht="15.75" customHeight="1">
      <c r="A361" s="51"/>
      <c r="B361" s="41"/>
      <c r="C361" s="102"/>
      <c r="D361" s="26"/>
      <c r="E361" s="21" t="str">
        <f>IFERROR(VLOOKUP(D361,'DATOS ASIGNACIÓN'!B:I,7,0),"")</f>
        <v/>
      </c>
      <c r="F361" s="21" t="str">
        <f>IFERROR(VLOOKUP(D361,'DATOS ASIGNACIÓN'!B:I,6,0),"")</f>
        <v/>
      </c>
      <c r="G361" s="27"/>
      <c r="H361" s="27"/>
      <c r="I361" s="27"/>
      <c r="J361" s="26"/>
      <c r="K361" s="26"/>
      <c r="L361" s="26"/>
      <c r="M361" s="28"/>
      <c r="N361" s="28"/>
      <c r="O361" s="29"/>
      <c r="P361" s="29"/>
      <c r="Q361" s="29"/>
      <c r="R361" s="29"/>
      <c r="S361" s="29"/>
      <c r="T361" s="29"/>
      <c r="U361" s="29"/>
      <c r="V361" s="10"/>
      <c r="W361" s="10"/>
      <c r="X361" s="10"/>
      <c r="Y361" s="10"/>
      <c r="Z361" s="10"/>
      <c r="AA361" s="10"/>
      <c r="AB361" s="10"/>
      <c r="AC361" s="10"/>
      <c r="AD361" s="10"/>
    </row>
    <row r="362" spans="1:30" ht="15.75" customHeight="1">
      <c r="A362" s="51"/>
      <c r="B362" s="41"/>
      <c r="C362" s="102"/>
      <c r="D362" s="26"/>
      <c r="E362" s="21" t="str">
        <f>IFERROR(VLOOKUP(D362,'DATOS ASIGNACIÓN'!B:I,7,0),"")</f>
        <v/>
      </c>
      <c r="F362" s="21" t="str">
        <f>IFERROR(VLOOKUP(D362,'DATOS ASIGNACIÓN'!B:I,6,0),"")</f>
        <v/>
      </c>
      <c r="G362" s="27"/>
      <c r="H362" s="27"/>
      <c r="I362" s="27"/>
      <c r="J362" s="26"/>
      <c r="K362" s="26"/>
      <c r="L362" s="26"/>
      <c r="M362" s="28"/>
      <c r="N362" s="28"/>
      <c r="O362" s="29"/>
      <c r="P362" s="29"/>
      <c r="Q362" s="29"/>
      <c r="R362" s="29"/>
      <c r="S362" s="29"/>
      <c r="T362" s="29"/>
      <c r="U362" s="29"/>
      <c r="V362" s="10"/>
      <c r="W362" s="10"/>
      <c r="X362" s="10"/>
      <c r="Y362" s="10"/>
      <c r="Z362" s="10"/>
      <c r="AA362" s="10"/>
      <c r="AB362" s="10"/>
      <c r="AC362" s="10"/>
      <c r="AD362" s="10"/>
    </row>
    <row r="363" spans="1:30" ht="15.75" customHeight="1">
      <c r="A363" s="51"/>
      <c r="B363" s="41"/>
      <c r="C363" s="102"/>
      <c r="D363" s="26"/>
      <c r="E363" s="21" t="str">
        <f>IFERROR(VLOOKUP(D363,'DATOS ASIGNACIÓN'!B:I,7,0),"")</f>
        <v/>
      </c>
      <c r="F363" s="21" t="str">
        <f>IFERROR(VLOOKUP(D363,'DATOS ASIGNACIÓN'!B:I,6,0),"")</f>
        <v/>
      </c>
      <c r="G363" s="27"/>
      <c r="H363" s="27"/>
      <c r="I363" s="27"/>
      <c r="J363" s="26"/>
      <c r="K363" s="26"/>
      <c r="L363" s="26"/>
      <c r="M363" s="28"/>
      <c r="N363" s="28"/>
      <c r="O363" s="29"/>
      <c r="P363" s="29"/>
      <c r="Q363" s="29"/>
      <c r="R363" s="29"/>
      <c r="S363" s="29"/>
      <c r="T363" s="29"/>
      <c r="U363" s="29"/>
      <c r="V363" s="10"/>
      <c r="W363" s="10"/>
      <c r="X363" s="10"/>
      <c r="Y363" s="10"/>
      <c r="Z363" s="10"/>
      <c r="AA363" s="10"/>
      <c r="AB363" s="10"/>
      <c r="AC363" s="10"/>
      <c r="AD363" s="10"/>
    </row>
    <row r="364" spans="1:30" ht="15.75" customHeight="1">
      <c r="A364" s="51"/>
      <c r="B364" s="41"/>
      <c r="C364" s="102"/>
      <c r="D364" s="26"/>
      <c r="E364" s="21" t="str">
        <f>IFERROR(VLOOKUP(D364,'DATOS ASIGNACIÓN'!B:I,7,0),"")</f>
        <v/>
      </c>
      <c r="F364" s="21" t="str">
        <f>IFERROR(VLOOKUP(D364,'DATOS ASIGNACIÓN'!B:I,6,0),"")</f>
        <v/>
      </c>
      <c r="G364" s="27"/>
      <c r="H364" s="27"/>
      <c r="I364" s="27"/>
      <c r="J364" s="26"/>
      <c r="K364" s="26"/>
      <c r="L364" s="26"/>
      <c r="M364" s="28"/>
      <c r="N364" s="28"/>
      <c r="O364" s="29"/>
      <c r="P364" s="29"/>
      <c r="Q364" s="29"/>
      <c r="R364" s="29"/>
      <c r="S364" s="29"/>
      <c r="T364" s="29"/>
      <c r="U364" s="29"/>
      <c r="V364" s="10"/>
      <c r="W364" s="10"/>
      <c r="X364" s="10"/>
      <c r="Y364" s="10"/>
      <c r="Z364" s="10"/>
      <c r="AA364" s="10"/>
      <c r="AB364" s="10"/>
      <c r="AC364" s="10"/>
      <c r="AD364" s="10"/>
    </row>
    <row r="365" spans="1:30" ht="15.75" customHeight="1">
      <c r="A365" s="51"/>
      <c r="B365" s="41"/>
      <c r="C365" s="102"/>
      <c r="D365" s="26"/>
      <c r="E365" s="21" t="str">
        <f>IFERROR(VLOOKUP(D365,'DATOS ASIGNACIÓN'!B:I,7,0),"")</f>
        <v/>
      </c>
      <c r="F365" s="21" t="str">
        <f>IFERROR(VLOOKUP(D365,'DATOS ASIGNACIÓN'!B:I,6,0),"")</f>
        <v/>
      </c>
      <c r="G365" s="27"/>
      <c r="H365" s="27"/>
      <c r="I365" s="27"/>
      <c r="J365" s="26"/>
      <c r="K365" s="26"/>
      <c r="L365" s="26"/>
      <c r="M365" s="28"/>
      <c r="N365" s="28"/>
      <c r="O365" s="29"/>
      <c r="P365" s="29"/>
      <c r="Q365" s="29"/>
      <c r="R365" s="29"/>
      <c r="S365" s="29"/>
      <c r="T365" s="29"/>
      <c r="U365" s="29"/>
      <c r="V365" s="10"/>
      <c r="W365" s="10"/>
      <c r="X365" s="10"/>
      <c r="Y365" s="10"/>
      <c r="Z365" s="10"/>
      <c r="AA365" s="10"/>
      <c r="AB365" s="10"/>
      <c r="AC365" s="10"/>
      <c r="AD365" s="10"/>
    </row>
    <row r="366" spans="1:30" ht="15.75" customHeight="1">
      <c r="A366" s="51"/>
      <c r="B366" s="41"/>
      <c r="C366" s="102"/>
      <c r="D366" s="26"/>
      <c r="E366" s="21" t="str">
        <f>IFERROR(VLOOKUP(D366,'DATOS ASIGNACIÓN'!B:I,7,0),"")</f>
        <v/>
      </c>
      <c r="F366" s="21" t="str">
        <f>IFERROR(VLOOKUP(D366,'DATOS ASIGNACIÓN'!B:I,6,0),"")</f>
        <v/>
      </c>
      <c r="G366" s="27"/>
      <c r="H366" s="27"/>
      <c r="I366" s="27"/>
      <c r="J366" s="26"/>
      <c r="K366" s="26"/>
      <c r="L366" s="26"/>
      <c r="M366" s="28"/>
      <c r="N366" s="28"/>
      <c r="O366" s="29"/>
      <c r="P366" s="29"/>
      <c r="Q366" s="29"/>
      <c r="R366" s="29"/>
      <c r="S366" s="29"/>
      <c r="T366" s="29"/>
      <c r="U366" s="29"/>
      <c r="V366" s="10"/>
      <c r="W366" s="10"/>
      <c r="X366" s="10"/>
      <c r="Y366" s="10"/>
      <c r="Z366" s="10"/>
      <c r="AA366" s="10"/>
      <c r="AB366" s="10"/>
      <c r="AC366" s="10"/>
      <c r="AD366" s="10"/>
    </row>
    <row r="367" spans="1:30" ht="15.75" customHeight="1">
      <c r="A367" s="51"/>
      <c r="B367" s="41"/>
      <c r="C367" s="102"/>
      <c r="D367" s="26"/>
      <c r="E367" s="21" t="str">
        <f>IFERROR(VLOOKUP(D367,'DATOS ASIGNACIÓN'!B:I,7,0),"")</f>
        <v/>
      </c>
      <c r="F367" s="21" t="str">
        <f>IFERROR(VLOOKUP(D367,'DATOS ASIGNACIÓN'!B:I,6,0),"")</f>
        <v/>
      </c>
      <c r="G367" s="27"/>
      <c r="H367" s="27"/>
      <c r="I367" s="27"/>
      <c r="J367" s="26"/>
      <c r="K367" s="26"/>
      <c r="L367" s="26"/>
      <c r="M367" s="28"/>
      <c r="N367" s="28"/>
      <c r="O367" s="29"/>
      <c r="P367" s="29"/>
      <c r="Q367" s="29"/>
      <c r="R367" s="29"/>
      <c r="S367" s="29"/>
      <c r="T367" s="29"/>
      <c r="U367" s="29"/>
      <c r="V367" s="10"/>
      <c r="W367" s="10"/>
      <c r="X367" s="10"/>
      <c r="Y367" s="10"/>
      <c r="Z367" s="10"/>
      <c r="AA367" s="10"/>
      <c r="AB367" s="10"/>
      <c r="AC367" s="10"/>
      <c r="AD367" s="10"/>
    </row>
    <row r="368" spans="1:30" ht="15.75" customHeight="1">
      <c r="A368" s="51"/>
      <c r="B368" s="41"/>
      <c r="C368" s="102"/>
      <c r="D368" s="26"/>
      <c r="E368" s="21" t="str">
        <f>IFERROR(VLOOKUP(D368,'DATOS ASIGNACIÓN'!B:I,7,0),"")</f>
        <v/>
      </c>
      <c r="F368" s="21" t="str">
        <f>IFERROR(VLOOKUP(D368,'DATOS ASIGNACIÓN'!B:I,6,0),"")</f>
        <v/>
      </c>
      <c r="G368" s="27"/>
      <c r="H368" s="27"/>
      <c r="I368" s="27"/>
      <c r="J368" s="26"/>
      <c r="K368" s="26"/>
      <c r="L368" s="26"/>
      <c r="M368" s="28"/>
      <c r="N368" s="28"/>
      <c r="O368" s="29"/>
      <c r="P368" s="29"/>
      <c r="Q368" s="29"/>
      <c r="R368" s="29"/>
      <c r="S368" s="29"/>
      <c r="T368" s="29"/>
      <c r="U368" s="29"/>
      <c r="V368" s="10"/>
      <c r="W368" s="10"/>
      <c r="X368" s="10"/>
      <c r="Y368" s="10"/>
      <c r="Z368" s="10"/>
      <c r="AA368" s="10"/>
      <c r="AB368" s="10"/>
      <c r="AC368" s="10"/>
      <c r="AD368" s="10"/>
    </row>
    <row r="369" spans="1:30" ht="15.75" customHeight="1">
      <c r="A369" s="51"/>
      <c r="B369" s="41"/>
      <c r="C369" s="102"/>
      <c r="D369" s="26"/>
      <c r="E369" s="21" t="str">
        <f>IFERROR(VLOOKUP(D369,'DATOS ASIGNACIÓN'!B:I,7,0),"")</f>
        <v/>
      </c>
      <c r="F369" s="21" t="str">
        <f>IFERROR(VLOOKUP(D369,'DATOS ASIGNACIÓN'!B:I,6,0),"")</f>
        <v/>
      </c>
      <c r="G369" s="27"/>
      <c r="H369" s="27"/>
      <c r="I369" s="27"/>
      <c r="J369" s="26"/>
      <c r="K369" s="26"/>
      <c r="L369" s="26"/>
      <c r="M369" s="28"/>
      <c r="N369" s="28"/>
      <c r="O369" s="29"/>
      <c r="P369" s="29"/>
      <c r="Q369" s="29"/>
      <c r="R369" s="29"/>
      <c r="S369" s="29"/>
      <c r="T369" s="29"/>
      <c r="U369" s="29"/>
      <c r="V369" s="10"/>
      <c r="W369" s="10"/>
      <c r="X369" s="10"/>
      <c r="Y369" s="10"/>
      <c r="Z369" s="10"/>
      <c r="AA369" s="10"/>
      <c r="AB369" s="10"/>
      <c r="AC369" s="10"/>
      <c r="AD369" s="10"/>
    </row>
    <row r="370" spans="1:30" ht="15.75" customHeight="1">
      <c r="A370" s="51"/>
      <c r="B370" s="41"/>
      <c r="C370" s="102"/>
      <c r="D370" s="26"/>
      <c r="E370" s="21" t="str">
        <f>IFERROR(VLOOKUP(D370,'DATOS ASIGNACIÓN'!B:I,7,0),"")</f>
        <v/>
      </c>
      <c r="F370" s="21" t="str">
        <f>IFERROR(VLOOKUP(D370,'DATOS ASIGNACIÓN'!B:I,6,0),"")</f>
        <v/>
      </c>
      <c r="G370" s="27"/>
      <c r="H370" s="27"/>
      <c r="I370" s="27"/>
      <c r="J370" s="26"/>
      <c r="K370" s="26"/>
      <c r="L370" s="26"/>
      <c r="M370" s="28"/>
      <c r="N370" s="28"/>
      <c r="O370" s="29"/>
      <c r="P370" s="29"/>
      <c r="Q370" s="29"/>
      <c r="R370" s="29"/>
      <c r="S370" s="29"/>
      <c r="T370" s="29"/>
      <c r="U370" s="29"/>
      <c r="V370" s="10"/>
      <c r="W370" s="10"/>
      <c r="X370" s="10"/>
      <c r="Y370" s="10"/>
      <c r="Z370" s="10"/>
      <c r="AA370" s="10"/>
      <c r="AB370" s="10"/>
      <c r="AC370" s="10"/>
      <c r="AD370" s="10"/>
    </row>
    <row r="371" spans="1:30" ht="15.75" customHeight="1">
      <c r="A371" s="51"/>
      <c r="B371" s="41"/>
      <c r="C371" s="102"/>
      <c r="D371" s="26"/>
      <c r="E371" s="21" t="str">
        <f>IFERROR(VLOOKUP(D371,'DATOS ASIGNACIÓN'!B:I,7,0),"")</f>
        <v/>
      </c>
      <c r="F371" s="21" t="str">
        <f>IFERROR(VLOOKUP(D371,'DATOS ASIGNACIÓN'!B:I,6,0),"")</f>
        <v/>
      </c>
      <c r="G371" s="27"/>
      <c r="H371" s="27"/>
      <c r="I371" s="27"/>
      <c r="J371" s="26"/>
      <c r="K371" s="26"/>
      <c r="L371" s="26"/>
      <c r="M371" s="28"/>
      <c r="N371" s="28"/>
      <c r="O371" s="29"/>
      <c r="P371" s="29"/>
      <c r="Q371" s="29"/>
      <c r="R371" s="29"/>
      <c r="S371" s="29"/>
      <c r="T371" s="29"/>
      <c r="U371" s="29"/>
      <c r="V371" s="10"/>
      <c r="W371" s="10"/>
      <c r="X371" s="10"/>
      <c r="Y371" s="10"/>
      <c r="Z371" s="10"/>
      <c r="AA371" s="10"/>
      <c r="AB371" s="10"/>
      <c r="AC371" s="10"/>
      <c r="AD371" s="10"/>
    </row>
    <row r="372" spans="1:30" ht="15.75" customHeight="1">
      <c r="A372" s="51"/>
      <c r="B372" s="41"/>
      <c r="C372" s="102"/>
      <c r="D372" s="26"/>
      <c r="E372" s="21" t="str">
        <f>IFERROR(VLOOKUP(D372,'DATOS ASIGNACIÓN'!B:I,7,0),"")</f>
        <v/>
      </c>
      <c r="F372" s="21" t="str">
        <f>IFERROR(VLOOKUP(D372,'DATOS ASIGNACIÓN'!B:I,6,0),"")</f>
        <v/>
      </c>
      <c r="G372" s="27"/>
      <c r="H372" s="27"/>
      <c r="I372" s="27"/>
      <c r="J372" s="26"/>
      <c r="K372" s="26"/>
      <c r="L372" s="26"/>
      <c r="M372" s="28"/>
      <c r="N372" s="28"/>
      <c r="O372" s="29"/>
      <c r="P372" s="29"/>
      <c r="Q372" s="29"/>
      <c r="R372" s="29"/>
      <c r="S372" s="29"/>
      <c r="T372" s="29"/>
      <c r="U372" s="29"/>
      <c r="V372" s="10"/>
      <c r="W372" s="10"/>
      <c r="X372" s="10"/>
      <c r="Y372" s="10"/>
      <c r="Z372" s="10"/>
      <c r="AA372" s="10"/>
      <c r="AB372" s="10"/>
      <c r="AC372" s="10"/>
      <c r="AD372" s="10"/>
    </row>
    <row r="373" spans="1:30" ht="15.75" customHeight="1">
      <c r="A373" s="51"/>
      <c r="B373" s="41"/>
      <c r="C373" s="102"/>
      <c r="D373" s="26"/>
      <c r="E373" s="21" t="str">
        <f>IFERROR(VLOOKUP(D373,'DATOS ASIGNACIÓN'!B:I,7,0),"")</f>
        <v/>
      </c>
      <c r="F373" s="21" t="str">
        <f>IFERROR(VLOOKUP(D373,'DATOS ASIGNACIÓN'!B:I,6,0),"")</f>
        <v/>
      </c>
      <c r="G373" s="27"/>
      <c r="H373" s="27"/>
      <c r="I373" s="27"/>
      <c r="J373" s="26"/>
      <c r="K373" s="26"/>
      <c r="L373" s="26"/>
      <c r="M373" s="28"/>
      <c r="N373" s="28"/>
      <c r="O373" s="29"/>
      <c r="P373" s="29"/>
      <c r="Q373" s="29"/>
      <c r="R373" s="29"/>
      <c r="S373" s="29"/>
      <c r="T373" s="29"/>
      <c r="U373" s="29"/>
      <c r="V373" s="10"/>
      <c r="W373" s="10"/>
      <c r="X373" s="10"/>
      <c r="Y373" s="10"/>
      <c r="Z373" s="10"/>
      <c r="AA373" s="10"/>
      <c r="AB373" s="10"/>
      <c r="AC373" s="10"/>
      <c r="AD373" s="10"/>
    </row>
    <row r="374" spans="1:30" ht="15.75" customHeight="1">
      <c r="A374" s="51"/>
      <c r="B374" s="41"/>
      <c r="C374" s="102"/>
      <c r="D374" s="26"/>
      <c r="E374" s="21" t="str">
        <f>IFERROR(VLOOKUP(D374,'DATOS ASIGNACIÓN'!B:I,7,0),"")</f>
        <v/>
      </c>
      <c r="F374" s="21" t="str">
        <f>IFERROR(VLOOKUP(D374,'DATOS ASIGNACIÓN'!B:I,6,0),"")</f>
        <v/>
      </c>
      <c r="G374" s="27"/>
      <c r="H374" s="27"/>
      <c r="I374" s="27"/>
      <c r="J374" s="26"/>
      <c r="K374" s="26"/>
      <c r="L374" s="26"/>
      <c r="M374" s="28"/>
      <c r="N374" s="28"/>
      <c r="O374" s="29"/>
      <c r="P374" s="29"/>
      <c r="Q374" s="29"/>
      <c r="R374" s="29"/>
      <c r="S374" s="29"/>
      <c r="T374" s="29"/>
      <c r="U374" s="29"/>
      <c r="V374" s="10"/>
      <c r="W374" s="10"/>
      <c r="X374" s="10"/>
      <c r="Y374" s="10"/>
      <c r="Z374" s="10"/>
      <c r="AA374" s="10"/>
      <c r="AB374" s="10"/>
      <c r="AC374" s="10"/>
      <c r="AD374" s="10"/>
    </row>
    <row r="375" spans="1:30" ht="15.75" customHeight="1">
      <c r="A375" s="51"/>
      <c r="B375" s="41"/>
      <c r="C375" s="102"/>
      <c r="D375" s="26"/>
      <c r="E375" s="21" t="str">
        <f>IFERROR(VLOOKUP(D375,'DATOS ASIGNACIÓN'!B:I,7,0),"")</f>
        <v/>
      </c>
      <c r="F375" s="21" t="str">
        <f>IFERROR(VLOOKUP(D375,'DATOS ASIGNACIÓN'!B:I,6,0),"")</f>
        <v/>
      </c>
      <c r="G375" s="27"/>
      <c r="H375" s="27"/>
      <c r="I375" s="27"/>
      <c r="J375" s="26"/>
      <c r="K375" s="26"/>
      <c r="L375" s="26"/>
      <c r="M375" s="28"/>
      <c r="N375" s="28"/>
      <c r="O375" s="29"/>
      <c r="P375" s="29"/>
      <c r="Q375" s="29"/>
      <c r="R375" s="29"/>
      <c r="S375" s="29"/>
      <c r="T375" s="29"/>
      <c r="U375" s="29"/>
      <c r="V375" s="10"/>
      <c r="W375" s="10"/>
      <c r="X375" s="10"/>
      <c r="Y375" s="10"/>
      <c r="Z375" s="10"/>
      <c r="AA375" s="10"/>
      <c r="AB375" s="10"/>
      <c r="AC375" s="10"/>
      <c r="AD375" s="10"/>
    </row>
    <row r="376" spans="1:30" ht="15.75" customHeight="1">
      <c r="A376" s="51"/>
      <c r="B376" s="41"/>
      <c r="C376" s="102"/>
      <c r="D376" s="26"/>
      <c r="E376" s="21" t="str">
        <f>IFERROR(VLOOKUP(D376,'DATOS ASIGNACIÓN'!B:I,7,0),"")</f>
        <v/>
      </c>
      <c r="F376" s="21" t="str">
        <f>IFERROR(VLOOKUP(D376,'DATOS ASIGNACIÓN'!B:I,6,0),"")</f>
        <v/>
      </c>
      <c r="G376" s="27"/>
      <c r="H376" s="27"/>
      <c r="I376" s="27"/>
      <c r="J376" s="26"/>
      <c r="K376" s="26"/>
      <c r="L376" s="26"/>
      <c r="M376" s="28"/>
      <c r="N376" s="28"/>
      <c r="O376" s="29"/>
      <c r="P376" s="29"/>
      <c r="Q376" s="29"/>
      <c r="R376" s="29"/>
      <c r="S376" s="29"/>
      <c r="T376" s="29"/>
      <c r="U376" s="29"/>
      <c r="V376" s="10"/>
      <c r="W376" s="10"/>
      <c r="X376" s="10"/>
      <c r="Y376" s="10"/>
      <c r="Z376" s="10"/>
      <c r="AA376" s="10"/>
      <c r="AB376" s="10"/>
      <c r="AC376" s="10"/>
      <c r="AD376" s="10"/>
    </row>
    <row r="377" spans="1:30" ht="15.75" customHeight="1">
      <c r="A377" s="51"/>
      <c r="B377" s="41"/>
      <c r="C377" s="102"/>
      <c r="D377" s="26"/>
      <c r="E377" s="21" t="str">
        <f>IFERROR(VLOOKUP(D377,'DATOS ASIGNACIÓN'!B:I,7,0),"")</f>
        <v/>
      </c>
      <c r="F377" s="21" t="str">
        <f>IFERROR(VLOOKUP(D377,'DATOS ASIGNACIÓN'!B:I,6,0),"")</f>
        <v/>
      </c>
      <c r="G377" s="27"/>
      <c r="H377" s="27"/>
      <c r="I377" s="27"/>
      <c r="J377" s="26"/>
      <c r="K377" s="26"/>
      <c r="L377" s="26"/>
      <c r="M377" s="28"/>
      <c r="N377" s="28"/>
      <c r="O377" s="29"/>
      <c r="P377" s="29"/>
      <c r="Q377" s="29"/>
      <c r="R377" s="29"/>
      <c r="S377" s="29"/>
      <c r="T377" s="29"/>
      <c r="U377" s="29"/>
      <c r="V377" s="10"/>
      <c r="W377" s="10"/>
      <c r="X377" s="10"/>
      <c r="Y377" s="10"/>
      <c r="Z377" s="10"/>
      <c r="AA377" s="10"/>
      <c r="AB377" s="10"/>
      <c r="AC377" s="10"/>
      <c r="AD377" s="10"/>
    </row>
    <row r="378" spans="1:30" ht="15.75" customHeight="1">
      <c r="A378" s="51"/>
      <c r="B378" s="41"/>
      <c r="C378" s="102"/>
      <c r="D378" s="26"/>
      <c r="E378" s="21" t="str">
        <f>IFERROR(VLOOKUP(D378,'DATOS ASIGNACIÓN'!B:I,7,0),"")</f>
        <v/>
      </c>
      <c r="F378" s="21" t="str">
        <f>IFERROR(VLOOKUP(D378,'DATOS ASIGNACIÓN'!B:I,6,0),"")</f>
        <v/>
      </c>
      <c r="G378" s="27"/>
      <c r="H378" s="27"/>
      <c r="I378" s="27"/>
      <c r="J378" s="26"/>
      <c r="K378" s="26"/>
      <c r="L378" s="26"/>
      <c r="M378" s="28"/>
      <c r="N378" s="28"/>
      <c r="O378" s="29"/>
      <c r="P378" s="29"/>
      <c r="Q378" s="29"/>
      <c r="R378" s="29"/>
      <c r="S378" s="29"/>
      <c r="T378" s="29"/>
      <c r="U378" s="29"/>
      <c r="V378" s="10"/>
      <c r="W378" s="10"/>
      <c r="X378" s="10"/>
      <c r="Y378" s="10"/>
      <c r="Z378" s="10"/>
      <c r="AA378" s="10"/>
      <c r="AB378" s="10"/>
      <c r="AC378" s="10"/>
      <c r="AD378" s="10"/>
    </row>
    <row r="379" spans="1:30" ht="15.75" customHeight="1">
      <c r="A379" s="51"/>
      <c r="B379" s="41"/>
      <c r="C379" s="102"/>
      <c r="D379" s="26"/>
      <c r="E379" s="21" t="str">
        <f>IFERROR(VLOOKUP(D379,'DATOS ASIGNACIÓN'!B:I,7,0),"")</f>
        <v/>
      </c>
      <c r="F379" s="21" t="str">
        <f>IFERROR(VLOOKUP(D379,'DATOS ASIGNACIÓN'!B:I,6,0),"")</f>
        <v/>
      </c>
      <c r="G379" s="27"/>
      <c r="H379" s="27"/>
      <c r="I379" s="27"/>
      <c r="J379" s="26"/>
      <c r="K379" s="26"/>
      <c r="L379" s="26"/>
      <c r="M379" s="28"/>
      <c r="N379" s="28"/>
      <c r="O379" s="29"/>
      <c r="P379" s="29"/>
      <c r="Q379" s="29"/>
      <c r="R379" s="29"/>
      <c r="S379" s="29"/>
      <c r="T379" s="29"/>
      <c r="U379" s="29"/>
      <c r="V379" s="10"/>
      <c r="W379" s="10"/>
      <c r="X379" s="10"/>
      <c r="Y379" s="10"/>
      <c r="Z379" s="10"/>
      <c r="AA379" s="10"/>
      <c r="AB379" s="10"/>
      <c r="AC379" s="10"/>
      <c r="AD379" s="10"/>
    </row>
    <row r="380" spans="1:30" ht="15.75" customHeight="1">
      <c r="A380" s="51"/>
      <c r="B380" s="41"/>
      <c r="C380" s="102"/>
      <c r="D380" s="26"/>
      <c r="E380" s="21" t="str">
        <f>IFERROR(VLOOKUP(D380,'DATOS ASIGNACIÓN'!B:I,7,0),"")</f>
        <v/>
      </c>
      <c r="F380" s="21" t="str">
        <f>IFERROR(VLOOKUP(D380,'DATOS ASIGNACIÓN'!B:I,6,0),"")</f>
        <v/>
      </c>
      <c r="G380" s="27"/>
      <c r="H380" s="27"/>
      <c r="I380" s="27"/>
      <c r="J380" s="26"/>
      <c r="K380" s="26"/>
      <c r="L380" s="26"/>
      <c r="M380" s="28"/>
      <c r="N380" s="28"/>
      <c r="O380" s="29"/>
      <c r="P380" s="29"/>
      <c r="Q380" s="29"/>
      <c r="R380" s="29"/>
      <c r="S380" s="29"/>
      <c r="T380" s="29"/>
      <c r="U380" s="29"/>
      <c r="V380" s="10"/>
      <c r="W380" s="10"/>
      <c r="X380" s="10"/>
      <c r="Y380" s="10"/>
      <c r="Z380" s="10"/>
      <c r="AA380" s="10"/>
      <c r="AB380" s="10"/>
      <c r="AC380" s="10"/>
      <c r="AD380" s="10"/>
    </row>
    <row r="381" spans="1:30" ht="15.75" customHeight="1">
      <c r="A381" s="51"/>
      <c r="B381" s="41"/>
      <c r="C381" s="102"/>
      <c r="D381" s="26"/>
      <c r="E381" s="21" t="str">
        <f>IFERROR(VLOOKUP(D381,'DATOS ASIGNACIÓN'!B:I,7,0),"")</f>
        <v/>
      </c>
      <c r="F381" s="21" t="str">
        <f>IFERROR(VLOOKUP(D381,'DATOS ASIGNACIÓN'!B:I,6,0),"")</f>
        <v/>
      </c>
      <c r="G381" s="27"/>
      <c r="H381" s="27"/>
      <c r="I381" s="27"/>
      <c r="J381" s="26"/>
      <c r="K381" s="26"/>
      <c r="L381" s="26"/>
      <c r="M381" s="28"/>
      <c r="N381" s="28"/>
      <c r="O381" s="29"/>
      <c r="P381" s="29"/>
      <c r="Q381" s="29"/>
      <c r="R381" s="29"/>
      <c r="S381" s="29"/>
      <c r="T381" s="29"/>
      <c r="U381" s="29"/>
      <c r="V381" s="10"/>
      <c r="W381" s="10"/>
      <c r="X381" s="10"/>
      <c r="Y381" s="10"/>
      <c r="Z381" s="10"/>
      <c r="AA381" s="10"/>
      <c r="AB381" s="10"/>
      <c r="AC381" s="10"/>
      <c r="AD381" s="10"/>
    </row>
    <row r="382" spans="1:30" ht="15.75" customHeight="1">
      <c r="A382" s="51"/>
      <c r="B382" s="41"/>
      <c r="C382" s="102"/>
      <c r="D382" s="26"/>
      <c r="E382" s="21" t="str">
        <f>IFERROR(VLOOKUP(D382,'DATOS ASIGNACIÓN'!B:I,7,0),"")</f>
        <v/>
      </c>
      <c r="F382" s="21" t="str">
        <f>IFERROR(VLOOKUP(D382,'DATOS ASIGNACIÓN'!B:I,6,0),"")</f>
        <v/>
      </c>
      <c r="G382" s="27"/>
      <c r="H382" s="27"/>
      <c r="I382" s="27"/>
      <c r="J382" s="26"/>
      <c r="K382" s="26"/>
      <c r="L382" s="26"/>
      <c r="M382" s="28"/>
      <c r="N382" s="28"/>
      <c r="O382" s="29"/>
      <c r="P382" s="29"/>
      <c r="Q382" s="29"/>
      <c r="R382" s="29"/>
      <c r="S382" s="29"/>
      <c r="T382" s="29"/>
      <c r="U382" s="29"/>
      <c r="V382" s="10"/>
      <c r="W382" s="10"/>
      <c r="X382" s="10"/>
      <c r="Y382" s="10"/>
      <c r="Z382" s="10"/>
      <c r="AA382" s="10"/>
      <c r="AB382" s="10"/>
      <c r="AC382" s="10"/>
      <c r="AD382" s="10"/>
    </row>
    <row r="383" spans="1:30" ht="15.75" customHeight="1">
      <c r="A383" s="51"/>
      <c r="B383" s="41"/>
      <c r="C383" s="102"/>
      <c r="D383" s="26"/>
      <c r="E383" s="21" t="str">
        <f>IFERROR(VLOOKUP(D383,'DATOS ASIGNACIÓN'!B:I,7,0),"")</f>
        <v/>
      </c>
      <c r="F383" s="21" t="str">
        <f>IFERROR(VLOOKUP(D383,'DATOS ASIGNACIÓN'!B:I,6,0),"")</f>
        <v/>
      </c>
      <c r="G383" s="27"/>
      <c r="H383" s="27"/>
      <c r="I383" s="27"/>
      <c r="J383" s="26"/>
      <c r="K383" s="26"/>
      <c r="L383" s="26"/>
      <c r="M383" s="28"/>
      <c r="N383" s="28"/>
      <c r="O383" s="29"/>
      <c r="P383" s="29"/>
      <c r="Q383" s="29"/>
      <c r="R383" s="29"/>
      <c r="S383" s="29"/>
      <c r="T383" s="29"/>
      <c r="U383" s="29"/>
      <c r="V383" s="10"/>
      <c r="W383" s="10"/>
      <c r="X383" s="10"/>
      <c r="Y383" s="10"/>
      <c r="Z383" s="10"/>
      <c r="AA383" s="10"/>
      <c r="AB383" s="10"/>
      <c r="AC383" s="10"/>
      <c r="AD383" s="10"/>
    </row>
    <row r="384" spans="1:30" ht="15.75" customHeight="1">
      <c r="A384" s="51"/>
      <c r="B384" s="41"/>
      <c r="C384" s="102"/>
      <c r="D384" s="26"/>
      <c r="E384" s="21" t="str">
        <f>IFERROR(VLOOKUP(D384,'DATOS ASIGNACIÓN'!B:I,7,0),"")</f>
        <v/>
      </c>
      <c r="F384" s="21" t="str">
        <f>IFERROR(VLOOKUP(D384,'DATOS ASIGNACIÓN'!B:I,6,0),"")</f>
        <v/>
      </c>
      <c r="G384" s="27"/>
      <c r="H384" s="27"/>
      <c r="I384" s="27"/>
      <c r="J384" s="26"/>
      <c r="K384" s="26"/>
      <c r="L384" s="26"/>
      <c r="M384" s="28"/>
      <c r="N384" s="28"/>
      <c r="O384" s="29"/>
      <c r="P384" s="29"/>
      <c r="Q384" s="29"/>
      <c r="R384" s="29"/>
      <c r="S384" s="29"/>
      <c r="T384" s="29"/>
      <c r="U384" s="29"/>
      <c r="V384" s="10"/>
      <c r="W384" s="10"/>
      <c r="X384" s="10"/>
      <c r="Y384" s="10"/>
      <c r="Z384" s="10"/>
      <c r="AA384" s="10"/>
      <c r="AB384" s="10"/>
      <c r="AC384" s="10"/>
      <c r="AD384" s="10"/>
    </row>
    <row r="385" spans="1:30" ht="15.75" customHeight="1">
      <c r="A385" s="51"/>
      <c r="B385" s="41"/>
      <c r="C385" s="102"/>
      <c r="D385" s="26"/>
      <c r="E385" s="21" t="str">
        <f>IFERROR(VLOOKUP(D385,'DATOS ASIGNACIÓN'!B:I,7,0),"")</f>
        <v/>
      </c>
      <c r="F385" s="21" t="str">
        <f>IFERROR(VLOOKUP(D385,'DATOS ASIGNACIÓN'!B:I,6,0),"")</f>
        <v/>
      </c>
      <c r="G385" s="27"/>
      <c r="H385" s="27"/>
      <c r="I385" s="27"/>
      <c r="J385" s="26"/>
      <c r="K385" s="26"/>
      <c r="L385" s="26"/>
      <c r="M385" s="28"/>
      <c r="N385" s="28"/>
      <c r="O385" s="29"/>
      <c r="P385" s="29"/>
      <c r="Q385" s="29"/>
      <c r="R385" s="29"/>
      <c r="S385" s="29"/>
      <c r="T385" s="29"/>
      <c r="U385" s="29"/>
      <c r="V385" s="10"/>
      <c r="W385" s="10"/>
      <c r="X385" s="10"/>
      <c r="Y385" s="10"/>
      <c r="Z385" s="10"/>
      <c r="AA385" s="10"/>
      <c r="AB385" s="10"/>
      <c r="AC385" s="10"/>
      <c r="AD385" s="10"/>
    </row>
    <row r="386" spans="1:30" ht="15.75" customHeight="1">
      <c r="A386" s="51"/>
      <c r="B386" s="41"/>
      <c r="C386" s="102"/>
      <c r="D386" s="26"/>
      <c r="E386" s="21" t="str">
        <f>IFERROR(VLOOKUP(D386,'DATOS ASIGNACIÓN'!B:I,7,0),"")</f>
        <v/>
      </c>
      <c r="F386" s="21" t="str">
        <f>IFERROR(VLOOKUP(D386,'DATOS ASIGNACIÓN'!B:I,6,0),"")</f>
        <v/>
      </c>
      <c r="G386" s="27"/>
      <c r="H386" s="27"/>
      <c r="I386" s="27"/>
      <c r="J386" s="26"/>
      <c r="K386" s="26"/>
      <c r="L386" s="26"/>
      <c r="M386" s="28"/>
      <c r="N386" s="28"/>
      <c r="O386" s="29"/>
      <c r="P386" s="29"/>
      <c r="Q386" s="29"/>
      <c r="R386" s="29"/>
      <c r="S386" s="29"/>
      <c r="T386" s="29"/>
      <c r="U386" s="29"/>
      <c r="V386" s="10"/>
      <c r="W386" s="10"/>
      <c r="X386" s="10"/>
      <c r="Y386" s="10"/>
      <c r="Z386" s="10"/>
      <c r="AA386" s="10"/>
      <c r="AB386" s="10"/>
      <c r="AC386" s="10"/>
      <c r="AD386" s="10"/>
    </row>
    <row r="387" spans="1:30" ht="15.75" customHeight="1">
      <c r="A387" s="51"/>
      <c r="B387" s="41"/>
      <c r="C387" s="102"/>
      <c r="D387" s="26"/>
      <c r="E387" s="21" t="str">
        <f>IFERROR(VLOOKUP(D387,'DATOS ASIGNACIÓN'!B:I,7,0),"")</f>
        <v/>
      </c>
      <c r="F387" s="21" t="str">
        <f>IFERROR(VLOOKUP(D387,'DATOS ASIGNACIÓN'!B:I,6,0),"")</f>
        <v/>
      </c>
      <c r="G387" s="27"/>
      <c r="H387" s="27"/>
      <c r="I387" s="27"/>
      <c r="J387" s="26"/>
      <c r="K387" s="26"/>
      <c r="L387" s="26"/>
      <c r="M387" s="28"/>
      <c r="N387" s="28"/>
      <c r="O387" s="29"/>
      <c r="P387" s="29"/>
      <c r="Q387" s="29"/>
      <c r="R387" s="29"/>
      <c r="S387" s="29"/>
      <c r="T387" s="29"/>
      <c r="U387" s="29"/>
      <c r="V387" s="10"/>
      <c r="W387" s="10"/>
      <c r="X387" s="10"/>
      <c r="Y387" s="10"/>
      <c r="Z387" s="10"/>
      <c r="AA387" s="10"/>
      <c r="AB387" s="10"/>
      <c r="AC387" s="10"/>
      <c r="AD387" s="10"/>
    </row>
    <row r="388" spans="1:30" ht="15.75" customHeight="1">
      <c r="A388" s="51"/>
      <c r="B388" s="41"/>
      <c r="C388" s="102"/>
      <c r="D388" s="26"/>
      <c r="E388" s="21" t="str">
        <f>IFERROR(VLOOKUP(D388,'DATOS ASIGNACIÓN'!B:I,7,0),"")</f>
        <v/>
      </c>
      <c r="F388" s="21" t="str">
        <f>IFERROR(VLOOKUP(D388,'DATOS ASIGNACIÓN'!B:I,6,0),"")</f>
        <v/>
      </c>
      <c r="G388" s="27"/>
      <c r="H388" s="27"/>
      <c r="I388" s="27"/>
      <c r="J388" s="26"/>
      <c r="K388" s="26"/>
      <c r="L388" s="26"/>
      <c r="M388" s="28"/>
      <c r="N388" s="28"/>
      <c r="O388" s="29"/>
      <c r="P388" s="29"/>
      <c r="Q388" s="29"/>
      <c r="R388" s="29"/>
      <c r="S388" s="29"/>
      <c r="T388" s="29"/>
      <c r="U388" s="29"/>
      <c r="V388" s="10"/>
      <c r="W388" s="10"/>
      <c r="X388" s="10"/>
      <c r="Y388" s="10"/>
      <c r="Z388" s="10"/>
      <c r="AA388" s="10"/>
      <c r="AB388" s="10"/>
      <c r="AC388" s="10"/>
      <c r="AD388" s="10"/>
    </row>
    <row r="389" spans="1:30" ht="15.75" customHeight="1">
      <c r="A389" s="51"/>
      <c r="B389" s="41"/>
      <c r="C389" s="102"/>
      <c r="D389" s="26"/>
      <c r="E389" s="21" t="str">
        <f>IFERROR(VLOOKUP(D389,'DATOS ASIGNACIÓN'!B:I,7,0),"")</f>
        <v/>
      </c>
      <c r="F389" s="21" t="str">
        <f>IFERROR(VLOOKUP(D389,'DATOS ASIGNACIÓN'!B:I,6,0),"")</f>
        <v/>
      </c>
      <c r="G389" s="27"/>
      <c r="H389" s="27"/>
      <c r="I389" s="27"/>
      <c r="J389" s="26"/>
      <c r="K389" s="26"/>
      <c r="L389" s="26"/>
      <c r="M389" s="28"/>
      <c r="N389" s="28"/>
      <c r="O389" s="29"/>
      <c r="P389" s="29"/>
      <c r="Q389" s="29"/>
      <c r="R389" s="29"/>
      <c r="S389" s="29"/>
      <c r="T389" s="29"/>
      <c r="U389" s="29"/>
      <c r="V389" s="10"/>
      <c r="W389" s="10"/>
      <c r="X389" s="10"/>
      <c r="Y389" s="10"/>
      <c r="Z389" s="10"/>
      <c r="AA389" s="10"/>
      <c r="AB389" s="10"/>
      <c r="AC389" s="10"/>
      <c r="AD389" s="10"/>
    </row>
    <row r="390" spans="1:30" ht="15.75" customHeight="1">
      <c r="A390" s="51"/>
      <c r="B390" s="41"/>
      <c r="C390" s="102"/>
      <c r="D390" s="26"/>
      <c r="E390" s="21" t="str">
        <f>IFERROR(VLOOKUP(D390,'DATOS ASIGNACIÓN'!B:I,7,0),"")</f>
        <v/>
      </c>
      <c r="F390" s="21" t="str">
        <f>IFERROR(VLOOKUP(D390,'DATOS ASIGNACIÓN'!B:I,6,0),"")</f>
        <v/>
      </c>
      <c r="G390" s="27"/>
      <c r="H390" s="27"/>
      <c r="I390" s="27"/>
      <c r="J390" s="26"/>
      <c r="K390" s="26"/>
      <c r="L390" s="26"/>
      <c r="M390" s="28"/>
      <c r="N390" s="28"/>
      <c r="O390" s="29"/>
      <c r="P390" s="29"/>
      <c r="Q390" s="29"/>
      <c r="R390" s="29"/>
      <c r="S390" s="29"/>
      <c r="T390" s="29"/>
      <c r="U390" s="29"/>
      <c r="V390" s="10"/>
      <c r="W390" s="10"/>
      <c r="X390" s="10"/>
      <c r="Y390" s="10"/>
      <c r="Z390" s="10"/>
      <c r="AA390" s="10"/>
      <c r="AB390" s="10"/>
      <c r="AC390" s="10"/>
      <c r="AD390" s="10"/>
    </row>
    <row r="391" spans="1:30" ht="15.75" customHeight="1">
      <c r="A391" s="51"/>
      <c r="B391" s="41"/>
      <c r="C391" s="102"/>
      <c r="D391" s="26"/>
      <c r="E391" s="21" t="str">
        <f>IFERROR(VLOOKUP(D391,'DATOS ASIGNACIÓN'!B:I,7,0),"")</f>
        <v/>
      </c>
      <c r="F391" s="21" t="str">
        <f>IFERROR(VLOOKUP(D391,'DATOS ASIGNACIÓN'!B:I,6,0),"")</f>
        <v/>
      </c>
      <c r="G391" s="27"/>
      <c r="H391" s="27"/>
      <c r="I391" s="27"/>
      <c r="J391" s="26"/>
      <c r="K391" s="26"/>
      <c r="L391" s="26"/>
      <c r="M391" s="28"/>
      <c r="N391" s="28"/>
      <c r="O391" s="29"/>
      <c r="P391" s="29"/>
      <c r="Q391" s="29"/>
      <c r="R391" s="29"/>
      <c r="S391" s="29"/>
      <c r="T391" s="29"/>
      <c r="U391" s="29"/>
      <c r="V391" s="10"/>
      <c r="W391" s="10"/>
      <c r="X391" s="10"/>
      <c r="Y391" s="10"/>
      <c r="Z391" s="10"/>
      <c r="AA391" s="10"/>
      <c r="AB391" s="10"/>
      <c r="AC391" s="10"/>
      <c r="AD391" s="10"/>
    </row>
    <row r="392" spans="1:30" ht="15.75" customHeight="1">
      <c r="A392" s="51"/>
      <c r="B392" s="41"/>
      <c r="C392" s="102"/>
      <c r="D392" s="26"/>
      <c r="E392" s="21" t="str">
        <f>IFERROR(VLOOKUP(D392,'DATOS ASIGNACIÓN'!B:I,7,0),"")</f>
        <v/>
      </c>
      <c r="F392" s="21" t="str">
        <f>IFERROR(VLOOKUP(D392,'DATOS ASIGNACIÓN'!B:I,6,0),"")</f>
        <v/>
      </c>
      <c r="G392" s="27"/>
      <c r="H392" s="27"/>
      <c r="I392" s="27"/>
      <c r="J392" s="26"/>
      <c r="K392" s="26"/>
      <c r="L392" s="26"/>
      <c r="M392" s="28"/>
      <c r="N392" s="28"/>
      <c r="O392" s="29"/>
      <c r="P392" s="29"/>
      <c r="Q392" s="29"/>
      <c r="R392" s="29"/>
      <c r="S392" s="29"/>
      <c r="T392" s="29"/>
      <c r="U392" s="29"/>
      <c r="V392" s="10"/>
      <c r="W392" s="10"/>
      <c r="X392" s="10"/>
      <c r="Y392" s="10"/>
      <c r="Z392" s="10"/>
      <c r="AA392" s="10"/>
      <c r="AB392" s="10"/>
      <c r="AC392" s="10"/>
      <c r="AD392" s="10"/>
    </row>
    <row r="393" spans="1:30" ht="15.75" customHeight="1">
      <c r="A393" s="51"/>
      <c r="B393" s="41"/>
      <c r="C393" s="102"/>
      <c r="D393" s="26"/>
      <c r="E393" s="21" t="str">
        <f>IFERROR(VLOOKUP(D393,'DATOS ASIGNACIÓN'!B:I,7,0),"")</f>
        <v/>
      </c>
      <c r="F393" s="21" t="str">
        <f>IFERROR(VLOOKUP(D393,'DATOS ASIGNACIÓN'!B:I,6,0),"")</f>
        <v/>
      </c>
      <c r="G393" s="27"/>
      <c r="H393" s="27"/>
      <c r="I393" s="27"/>
      <c r="J393" s="26"/>
      <c r="K393" s="26"/>
      <c r="L393" s="26"/>
      <c r="M393" s="28"/>
      <c r="N393" s="28"/>
      <c r="O393" s="29"/>
      <c r="P393" s="29"/>
      <c r="Q393" s="29"/>
      <c r="R393" s="29"/>
      <c r="S393" s="29"/>
      <c r="T393" s="29"/>
      <c r="U393" s="29"/>
      <c r="V393" s="10"/>
      <c r="W393" s="10"/>
      <c r="X393" s="10"/>
      <c r="Y393" s="10"/>
      <c r="Z393" s="10"/>
      <c r="AA393" s="10"/>
      <c r="AB393" s="10"/>
      <c r="AC393" s="10"/>
      <c r="AD393" s="10"/>
    </row>
    <row r="394" spans="1:30" ht="15.75" customHeight="1">
      <c r="A394" s="51"/>
      <c r="B394" s="41"/>
      <c r="C394" s="102"/>
      <c r="D394" s="26"/>
      <c r="E394" s="21" t="str">
        <f>IFERROR(VLOOKUP(D394,'DATOS ASIGNACIÓN'!B:I,7,0),"")</f>
        <v/>
      </c>
      <c r="F394" s="21" t="str">
        <f>IFERROR(VLOOKUP(D394,'DATOS ASIGNACIÓN'!B:I,6,0),"")</f>
        <v/>
      </c>
      <c r="G394" s="27"/>
      <c r="H394" s="27"/>
      <c r="I394" s="27"/>
      <c r="J394" s="26"/>
      <c r="K394" s="26"/>
      <c r="L394" s="26"/>
      <c r="M394" s="28"/>
      <c r="N394" s="28"/>
      <c r="O394" s="29"/>
      <c r="P394" s="29"/>
      <c r="Q394" s="29"/>
      <c r="R394" s="29"/>
      <c r="S394" s="29"/>
      <c r="T394" s="29"/>
      <c r="U394" s="29"/>
      <c r="V394" s="10"/>
      <c r="W394" s="10"/>
      <c r="X394" s="10"/>
      <c r="Y394" s="10"/>
      <c r="Z394" s="10"/>
      <c r="AA394" s="10"/>
      <c r="AB394" s="10"/>
      <c r="AC394" s="10"/>
      <c r="AD394" s="10"/>
    </row>
    <row r="395" spans="1:30" ht="15.75" customHeight="1">
      <c r="A395" s="51"/>
      <c r="B395" s="41"/>
      <c r="C395" s="102"/>
      <c r="D395" s="26"/>
      <c r="E395" s="21" t="str">
        <f>IFERROR(VLOOKUP(D395,'DATOS ASIGNACIÓN'!B:I,7,0),"")</f>
        <v/>
      </c>
      <c r="F395" s="21" t="str">
        <f>IFERROR(VLOOKUP(D395,'DATOS ASIGNACIÓN'!B:I,6,0),"")</f>
        <v/>
      </c>
      <c r="G395" s="27"/>
      <c r="H395" s="27"/>
      <c r="I395" s="27"/>
      <c r="J395" s="26"/>
      <c r="K395" s="26"/>
      <c r="L395" s="26"/>
      <c r="M395" s="28"/>
      <c r="N395" s="28"/>
      <c r="O395" s="29"/>
      <c r="P395" s="29"/>
      <c r="Q395" s="29"/>
      <c r="R395" s="29"/>
      <c r="S395" s="29"/>
      <c r="T395" s="29"/>
      <c r="U395" s="29"/>
      <c r="V395" s="10"/>
      <c r="W395" s="10"/>
      <c r="X395" s="10"/>
      <c r="Y395" s="10"/>
      <c r="Z395" s="10"/>
      <c r="AA395" s="10"/>
      <c r="AB395" s="10"/>
      <c r="AC395" s="10"/>
      <c r="AD395" s="10"/>
    </row>
    <row r="396" spans="1:30" ht="15.75" customHeight="1">
      <c r="A396" s="51"/>
      <c r="B396" s="41"/>
      <c r="C396" s="102"/>
      <c r="D396" s="26"/>
      <c r="E396" s="21" t="str">
        <f>IFERROR(VLOOKUP(D396,'DATOS ASIGNACIÓN'!B:I,7,0),"")</f>
        <v/>
      </c>
      <c r="F396" s="21" t="str">
        <f>IFERROR(VLOOKUP(D396,'DATOS ASIGNACIÓN'!B:I,6,0),"")</f>
        <v/>
      </c>
      <c r="G396" s="27"/>
      <c r="H396" s="27"/>
      <c r="I396" s="27"/>
      <c r="J396" s="26"/>
      <c r="K396" s="26"/>
      <c r="L396" s="26"/>
      <c r="M396" s="28"/>
      <c r="N396" s="28"/>
      <c r="O396" s="29"/>
      <c r="P396" s="29"/>
      <c r="Q396" s="29"/>
      <c r="R396" s="29"/>
      <c r="S396" s="29"/>
      <c r="T396" s="29"/>
      <c r="U396" s="29"/>
      <c r="V396" s="10"/>
      <c r="W396" s="10"/>
      <c r="X396" s="10"/>
      <c r="Y396" s="10"/>
      <c r="Z396" s="10"/>
      <c r="AA396" s="10"/>
      <c r="AB396" s="10"/>
      <c r="AC396" s="10"/>
      <c r="AD396" s="10"/>
    </row>
    <row r="397" spans="1:30" ht="15.75" customHeight="1">
      <c r="A397" s="51"/>
      <c r="B397" s="41"/>
      <c r="C397" s="102"/>
      <c r="D397" s="26"/>
      <c r="E397" s="21" t="str">
        <f>IFERROR(VLOOKUP(D397,'DATOS ASIGNACIÓN'!B:I,7,0),"")</f>
        <v/>
      </c>
      <c r="F397" s="21" t="str">
        <f>IFERROR(VLOOKUP(D397,'DATOS ASIGNACIÓN'!B:I,6,0),"")</f>
        <v/>
      </c>
      <c r="G397" s="27"/>
      <c r="H397" s="27"/>
      <c r="I397" s="27"/>
      <c r="J397" s="26"/>
      <c r="K397" s="26"/>
      <c r="L397" s="26"/>
      <c r="M397" s="28"/>
      <c r="N397" s="28"/>
      <c r="O397" s="29"/>
      <c r="P397" s="29"/>
      <c r="Q397" s="29"/>
      <c r="R397" s="29"/>
      <c r="S397" s="29"/>
      <c r="T397" s="29"/>
      <c r="U397" s="29"/>
      <c r="V397" s="10"/>
      <c r="W397" s="10"/>
      <c r="X397" s="10"/>
      <c r="Y397" s="10"/>
      <c r="Z397" s="10"/>
      <c r="AA397" s="10"/>
      <c r="AB397" s="10"/>
      <c r="AC397" s="10"/>
      <c r="AD397" s="10"/>
    </row>
    <row r="398" spans="1:30" ht="15.75" customHeight="1">
      <c r="A398" s="51"/>
      <c r="B398" s="41"/>
      <c r="C398" s="102"/>
      <c r="D398" s="26"/>
      <c r="E398" s="21" t="str">
        <f>IFERROR(VLOOKUP(D398,'DATOS ASIGNACIÓN'!B:I,7,0),"")</f>
        <v/>
      </c>
      <c r="F398" s="21" t="str">
        <f>IFERROR(VLOOKUP(D398,'DATOS ASIGNACIÓN'!B:I,6,0),"")</f>
        <v/>
      </c>
      <c r="G398" s="27"/>
      <c r="H398" s="27"/>
      <c r="I398" s="27"/>
      <c r="J398" s="26"/>
      <c r="K398" s="26"/>
      <c r="L398" s="26"/>
      <c r="M398" s="28"/>
      <c r="N398" s="28"/>
      <c r="O398" s="29"/>
      <c r="P398" s="29"/>
      <c r="Q398" s="29"/>
      <c r="R398" s="29"/>
      <c r="S398" s="29"/>
      <c r="T398" s="29"/>
      <c r="U398" s="29"/>
      <c r="V398" s="10"/>
      <c r="W398" s="10"/>
      <c r="X398" s="10"/>
      <c r="Y398" s="10"/>
      <c r="Z398" s="10"/>
      <c r="AA398" s="10"/>
      <c r="AB398" s="10"/>
      <c r="AC398" s="10"/>
      <c r="AD398" s="10"/>
    </row>
    <row r="399" spans="1:30" ht="15.75" customHeight="1">
      <c r="A399" s="51"/>
      <c r="B399" s="41"/>
      <c r="C399" s="102"/>
      <c r="D399" s="26"/>
      <c r="E399" s="21" t="str">
        <f>IFERROR(VLOOKUP(D399,'DATOS ASIGNACIÓN'!B:I,7,0),"")</f>
        <v/>
      </c>
      <c r="F399" s="21" t="str">
        <f>IFERROR(VLOOKUP(D399,'DATOS ASIGNACIÓN'!B:I,6,0),"")</f>
        <v/>
      </c>
      <c r="G399" s="27"/>
      <c r="H399" s="27"/>
      <c r="I399" s="27"/>
      <c r="J399" s="26"/>
      <c r="K399" s="26"/>
      <c r="L399" s="26"/>
      <c r="M399" s="28"/>
      <c r="N399" s="28"/>
      <c r="O399" s="29"/>
      <c r="P399" s="29"/>
      <c r="Q399" s="29"/>
      <c r="R399" s="29"/>
      <c r="S399" s="29"/>
      <c r="T399" s="29"/>
      <c r="U399" s="29"/>
      <c r="V399" s="10"/>
      <c r="W399" s="10"/>
      <c r="X399" s="10"/>
      <c r="Y399" s="10"/>
      <c r="Z399" s="10"/>
      <c r="AA399" s="10"/>
      <c r="AB399" s="10"/>
      <c r="AC399" s="10"/>
      <c r="AD399" s="10"/>
    </row>
    <row r="400" spans="1:30" ht="15.75" customHeight="1">
      <c r="A400" s="51"/>
      <c r="B400" s="41"/>
      <c r="C400" s="102"/>
      <c r="D400" s="26"/>
      <c r="E400" s="21" t="str">
        <f>IFERROR(VLOOKUP(D400,'DATOS ASIGNACIÓN'!B:I,7,0),"")</f>
        <v/>
      </c>
      <c r="F400" s="21" t="str">
        <f>IFERROR(VLOOKUP(D400,'DATOS ASIGNACIÓN'!B:I,6,0),"")</f>
        <v/>
      </c>
      <c r="G400" s="27"/>
      <c r="H400" s="27"/>
      <c r="I400" s="27"/>
      <c r="J400" s="26"/>
      <c r="K400" s="26"/>
      <c r="L400" s="26"/>
      <c r="M400" s="28"/>
      <c r="N400" s="28"/>
      <c r="O400" s="29"/>
      <c r="P400" s="29"/>
      <c r="Q400" s="29"/>
      <c r="R400" s="29"/>
      <c r="S400" s="29"/>
      <c r="T400" s="29"/>
      <c r="U400" s="29"/>
      <c r="V400" s="10"/>
      <c r="W400" s="10"/>
      <c r="X400" s="10"/>
      <c r="Y400" s="10"/>
      <c r="Z400" s="10"/>
      <c r="AA400" s="10"/>
      <c r="AB400" s="10"/>
      <c r="AC400" s="10"/>
      <c r="AD400" s="10"/>
    </row>
    <row r="401" spans="1:30" ht="15.75" customHeight="1">
      <c r="A401" s="51"/>
      <c r="B401" s="41"/>
      <c r="C401" s="102"/>
      <c r="D401" s="26"/>
      <c r="E401" s="21" t="str">
        <f>IFERROR(VLOOKUP(D401,'DATOS ASIGNACIÓN'!B:I,7,0),"")</f>
        <v/>
      </c>
      <c r="F401" s="21" t="str">
        <f>IFERROR(VLOOKUP(D401,'DATOS ASIGNACIÓN'!B:I,6,0),"")</f>
        <v/>
      </c>
      <c r="G401" s="27"/>
      <c r="H401" s="27"/>
      <c r="I401" s="27"/>
      <c r="J401" s="26"/>
      <c r="K401" s="26"/>
      <c r="L401" s="26"/>
      <c r="M401" s="28"/>
      <c r="N401" s="28"/>
      <c r="O401" s="29"/>
      <c r="P401" s="29"/>
      <c r="Q401" s="29"/>
      <c r="R401" s="29"/>
      <c r="S401" s="29"/>
      <c r="T401" s="29"/>
      <c r="U401" s="29"/>
      <c r="V401" s="10"/>
      <c r="W401" s="10"/>
      <c r="X401" s="10"/>
      <c r="Y401" s="10"/>
      <c r="Z401" s="10"/>
      <c r="AA401" s="10"/>
      <c r="AB401" s="10"/>
      <c r="AC401" s="10"/>
      <c r="AD401" s="10"/>
    </row>
    <row r="402" spans="1:30" ht="15.75" customHeight="1">
      <c r="A402" s="51"/>
      <c r="B402" s="41"/>
      <c r="C402" s="102"/>
      <c r="D402" s="26"/>
      <c r="E402" s="21" t="str">
        <f>IFERROR(VLOOKUP(D402,'DATOS ASIGNACIÓN'!B:I,7,0),"")</f>
        <v/>
      </c>
      <c r="F402" s="21" t="str">
        <f>IFERROR(VLOOKUP(D402,'DATOS ASIGNACIÓN'!B:I,6,0),"")</f>
        <v/>
      </c>
      <c r="G402" s="27"/>
      <c r="H402" s="27"/>
      <c r="I402" s="27"/>
      <c r="J402" s="26"/>
      <c r="K402" s="26"/>
      <c r="L402" s="26"/>
      <c r="M402" s="28"/>
      <c r="N402" s="28"/>
      <c r="O402" s="29"/>
      <c r="P402" s="29"/>
      <c r="Q402" s="29"/>
      <c r="R402" s="29"/>
      <c r="S402" s="29"/>
      <c r="T402" s="29"/>
      <c r="U402" s="29"/>
      <c r="V402" s="10"/>
      <c r="W402" s="10"/>
      <c r="X402" s="10"/>
      <c r="Y402" s="10"/>
      <c r="Z402" s="10"/>
      <c r="AA402" s="10"/>
      <c r="AB402" s="10"/>
      <c r="AC402" s="10"/>
      <c r="AD402" s="10"/>
    </row>
    <row r="403" spans="1:30" ht="15.75" customHeight="1">
      <c r="A403" s="51"/>
      <c r="B403" s="41"/>
      <c r="C403" s="102"/>
      <c r="D403" s="26"/>
      <c r="E403" s="21" t="str">
        <f>IFERROR(VLOOKUP(D403,'DATOS ASIGNACIÓN'!B:I,7,0),"")</f>
        <v/>
      </c>
      <c r="F403" s="21" t="str">
        <f>IFERROR(VLOOKUP(D403,'DATOS ASIGNACIÓN'!B:I,6,0),"")</f>
        <v/>
      </c>
      <c r="G403" s="27"/>
      <c r="H403" s="27"/>
      <c r="I403" s="27"/>
      <c r="J403" s="26"/>
      <c r="K403" s="26"/>
      <c r="L403" s="26"/>
      <c r="M403" s="28"/>
      <c r="N403" s="28"/>
      <c r="O403" s="29"/>
      <c r="P403" s="29"/>
      <c r="Q403" s="29"/>
      <c r="R403" s="29"/>
      <c r="S403" s="29"/>
      <c r="T403" s="29"/>
      <c r="U403" s="29"/>
      <c r="V403" s="10"/>
      <c r="W403" s="10"/>
      <c r="X403" s="10"/>
      <c r="Y403" s="10"/>
      <c r="Z403" s="10"/>
      <c r="AA403" s="10"/>
      <c r="AB403" s="10"/>
      <c r="AC403" s="10"/>
      <c r="AD403" s="10"/>
    </row>
    <row r="404" spans="1:30" ht="15.75" customHeight="1">
      <c r="A404" s="51"/>
      <c r="B404" s="41"/>
      <c r="C404" s="102"/>
      <c r="D404" s="26"/>
      <c r="E404" s="21" t="str">
        <f>IFERROR(VLOOKUP(D404,'DATOS ASIGNACIÓN'!B:I,7,0),"")</f>
        <v/>
      </c>
      <c r="F404" s="21" t="str">
        <f>IFERROR(VLOOKUP(D404,'DATOS ASIGNACIÓN'!B:I,6,0),"")</f>
        <v/>
      </c>
      <c r="G404" s="27"/>
      <c r="H404" s="27"/>
      <c r="I404" s="27"/>
      <c r="J404" s="26"/>
      <c r="K404" s="26"/>
      <c r="L404" s="26"/>
      <c r="M404" s="28"/>
      <c r="N404" s="28"/>
      <c r="O404" s="29"/>
      <c r="P404" s="29"/>
      <c r="Q404" s="29"/>
      <c r="R404" s="29"/>
      <c r="S404" s="29"/>
      <c r="T404" s="29"/>
      <c r="U404" s="29"/>
      <c r="V404" s="10"/>
      <c r="W404" s="10"/>
      <c r="X404" s="10"/>
      <c r="Y404" s="10"/>
      <c r="Z404" s="10"/>
      <c r="AA404" s="10"/>
      <c r="AB404" s="10"/>
      <c r="AC404" s="10"/>
      <c r="AD404" s="10"/>
    </row>
    <row r="405" spans="1:30" ht="15.75" customHeight="1">
      <c r="A405" s="51"/>
      <c r="B405" s="41"/>
      <c r="C405" s="102"/>
      <c r="D405" s="26"/>
      <c r="E405" s="21" t="str">
        <f>IFERROR(VLOOKUP(D405,'DATOS ASIGNACIÓN'!B:I,7,0),"")</f>
        <v/>
      </c>
      <c r="F405" s="21" t="str">
        <f>IFERROR(VLOOKUP(D405,'DATOS ASIGNACIÓN'!B:I,6,0),"")</f>
        <v/>
      </c>
      <c r="G405" s="27"/>
      <c r="H405" s="27"/>
      <c r="I405" s="27"/>
      <c r="J405" s="26"/>
      <c r="K405" s="26"/>
      <c r="L405" s="26"/>
      <c r="M405" s="28"/>
      <c r="N405" s="28"/>
      <c r="O405" s="29"/>
      <c r="P405" s="29"/>
      <c r="Q405" s="29"/>
      <c r="R405" s="29"/>
      <c r="S405" s="29"/>
      <c r="T405" s="29"/>
      <c r="U405" s="29"/>
      <c r="V405" s="10"/>
      <c r="W405" s="10"/>
      <c r="X405" s="10"/>
      <c r="Y405" s="10"/>
      <c r="Z405" s="10"/>
      <c r="AA405" s="10"/>
      <c r="AB405" s="10"/>
      <c r="AC405" s="10"/>
      <c r="AD405" s="10"/>
    </row>
    <row r="406" spans="1:30" ht="15.75" customHeight="1">
      <c r="A406" s="51"/>
      <c r="B406" s="41"/>
      <c r="C406" s="102"/>
      <c r="D406" s="26"/>
      <c r="E406" s="21" t="str">
        <f>IFERROR(VLOOKUP(D406,'DATOS ASIGNACIÓN'!B:I,7,0),"")</f>
        <v/>
      </c>
      <c r="F406" s="21" t="str">
        <f>IFERROR(VLOOKUP(D406,'DATOS ASIGNACIÓN'!B:I,6,0),"")</f>
        <v/>
      </c>
      <c r="G406" s="27"/>
      <c r="H406" s="27"/>
      <c r="I406" s="27"/>
      <c r="J406" s="26"/>
      <c r="K406" s="26"/>
      <c r="L406" s="26"/>
      <c r="M406" s="28"/>
      <c r="N406" s="28"/>
      <c r="O406" s="29"/>
      <c r="P406" s="29"/>
      <c r="Q406" s="29"/>
      <c r="R406" s="29"/>
      <c r="S406" s="29"/>
      <c r="T406" s="29"/>
      <c r="U406" s="29"/>
      <c r="V406" s="10"/>
      <c r="W406" s="10"/>
      <c r="X406" s="10"/>
      <c r="Y406" s="10"/>
      <c r="Z406" s="10"/>
      <c r="AA406" s="10"/>
      <c r="AB406" s="10"/>
      <c r="AC406" s="10"/>
      <c r="AD406" s="10"/>
    </row>
    <row r="407" spans="1:30" ht="15.75" customHeight="1">
      <c r="A407" s="51"/>
      <c r="B407" s="41"/>
      <c r="C407" s="102"/>
      <c r="D407" s="26"/>
      <c r="E407" s="21" t="str">
        <f>IFERROR(VLOOKUP(D407,'DATOS ASIGNACIÓN'!B:I,7,0),"")</f>
        <v/>
      </c>
      <c r="F407" s="21" t="str">
        <f>IFERROR(VLOOKUP(D407,'DATOS ASIGNACIÓN'!B:I,6,0),"")</f>
        <v/>
      </c>
      <c r="G407" s="27"/>
      <c r="H407" s="27"/>
      <c r="I407" s="27"/>
      <c r="J407" s="26"/>
      <c r="K407" s="26"/>
      <c r="L407" s="26"/>
      <c r="M407" s="28"/>
      <c r="N407" s="28"/>
      <c r="O407" s="29"/>
      <c r="P407" s="29"/>
      <c r="Q407" s="29"/>
      <c r="R407" s="29"/>
      <c r="S407" s="29"/>
      <c r="T407" s="29"/>
      <c r="U407" s="29"/>
      <c r="V407" s="10"/>
      <c r="W407" s="10"/>
      <c r="X407" s="10"/>
      <c r="Y407" s="10"/>
      <c r="Z407" s="10"/>
      <c r="AA407" s="10"/>
      <c r="AB407" s="10"/>
      <c r="AC407" s="10"/>
      <c r="AD407" s="10"/>
    </row>
    <row r="408" spans="1:30" ht="15.75" customHeight="1">
      <c r="A408" s="51"/>
      <c r="B408" s="41"/>
      <c r="C408" s="102"/>
      <c r="D408" s="26"/>
      <c r="E408" s="21" t="str">
        <f>IFERROR(VLOOKUP(D408,'DATOS ASIGNACIÓN'!B:I,7,0),"")</f>
        <v/>
      </c>
      <c r="F408" s="21" t="str">
        <f>IFERROR(VLOOKUP(D408,'DATOS ASIGNACIÓN'!B:I,6,0),"")</f>
        <v/>
      </c>
      <c r="G408" s="27"/>
      <c r="H408" s="27"/>
      <c r="I408" s="27"/>
      <c r="J408" s="26"/>
      <c r="K408" s="26"/>
      <c r="L408" s="26"/>
      <c r="M408" s="28"/>
      <c r="N408" s="28"/>
      <c r="O408" s="29"/>
      <c r="P408" s="29"/>
      <c r="Q408" s="29"/>
      <c r="R408" s="29"/>
      <c r="S408" s="29"/>
      <c r="T408" s="29"/>
      <c r="U408" s="29"/>
      <c r="V408" s="10"/>
      <c r="W408" s="10"/>
      <c r="X408" s="10"/>
      <c r="Y408" s="10"/>
      <c r="Z408" s="10"/>
      <c r="AA408" s="10"/>
      <c r="AB408" s="10"/>
      <c r="AC408" s="10"/>
      <c r="AD408" s="10"/>
    </row>
    <row r="409" spans="1:30" ht="15.75" customHeight="1">
      <c r="A409" s="51"/>
      <c r="B409" s="41"/>
      <c r="C409" s="102"/>
      <c r="D409" s="26"/>
      <c r="E409" s="21" t="str">
        <f>IFERROR(VLOOKUP(D409,'DATOS ASIGNACIÓN'!B:I,7,0),"")</f>
        <v/>
      </c>
      <c r="F409" s="21" t="str">
        <f>IFERROR(VLOOKUP(D409,'DATOS ASIGNACIÓN'!B:I,6,0),"")</f>
        <v/>
      </c>
      <c r="G409" s="27"/>
      <c r="H409" s="27"/>
      <c r="I409" s="27"/>
      <c r="J409" s="26"/>
      <c r="K409" s="26"/>
      <c r="L409" s="26"/>
      <c r="M409" s="28"/>
      <c r="N409" s="28"/>
      <c r="O409" s="29"/>
      <c r="P409" s="29"/>
      <c r="Q409" s="29"/>
      <c r="R409" s="29"/>
      <c r="S409" s="29"/>
      <c r="T409" s="29"/>
      <c r="U409" s="29"/>
      <c r="V409" s="10"/>
      <c r="W409" s="10"/>
      <c r="X409" s="10"/>
      <c r="Y409" s="10"/>
      <c r="Z409" s="10"/>
      <c r="AA409" s="10"/>
      <c r="AB409" s="10"/>
      <c r="AC409" s="10"/>
      <c r="AD409" s="10"/>
    </row>
    <row r="410" spans="1:30" ht="15.75" customHeight="1">
      <c r="A410" s="51"/>
      <c r="B410" s="41"/>
      <c r="C410" s="102"/>
      <c r="D410" s="26"/>
      <c r="E410" s="21" t="str">
        <f>IFERROR(VLOOKUP(D410,'DATOS ASIGNACIÓN'!B:I,7,0),"")</f>
        <v/>
      </c>
      <c r="F410" s="21" t="str">
        <f>IFERROR(VLOOKUP(D410,'DATOS ASIGNACIÓN'!B:I,6,0),"")</f>
        <v/>
      </c>
      <c r="G410" s="27"/>
      <c r="H410" s="27"/>
      <c r="I410" s="27"/>
      <c r="J410" s="26"/>
      <c r="K410" s="26"/>
      <c r="L410" s="26"/>
      <c r="M410" s="28"/>
      <c r="N410" s="28"/>
      <c r="O410" s="29"/>
      <c r="P410" s="29"/>
      <c r="Q410" s="29"/>
      <c r="R410" s="29"/>
      <c r="S410" s="29"/>
      <c r="T410" s="29"/>
      <c r="U410" s="29"/>
      <c r="V410" s="10"/>
      <c r="W410" s="10"/>
      <c r="X410" s="10"/>
      <c r="Y410" s="10"/>
      <c r="Z410" s="10"/>
      <c r="AA410" s="10"/>
      <c r="AB410" s="10"/>
      <c r="AC410" s="10"/>
      <c r="AD410" s="10"/>
    </row>
    <row r="411" spans="1:30" ht="15.75" customHeight="1">
      <c r="A411" s="51"/>
      <c r="B411" s="41"/>
      <c r="C411" s="102"/>
      <c r="D411" s="26"/>
      <c r="E411" s="21" t="str">
        <f>IFERROR(VLOOKUP(D411,'DATOS ASIGNACIÓN'!B:I,7,0),"")</f>
        <v/>
      </c>
      <c r="F411" s="21" t="str">
        <f>IFERROR(VLOOKUP(D411,'DATOS ASIGNACIÓN'!B:I,6,0),"")</f>
        <v/>
      </c>
      <c r="G411" s="27"/>
      <c r="H411" s="27"/>
      <c r="I411" s="27"/>
      <c r="J411" s="26"/>
      <c r="K411" s="26"/>
      <c r="L411" s="26"/>
      <c r="M411" s="28"/>
      <c r="N411" s="28"/>
      <c r="O411" s="29"/>
      <c r="P411" s="29"/>
      <c r="Q411" s="29"/>
      <c r="R411" s="29"/>
      <c r="S411" s="29"/>
      <c r="T411" s="29"/>
      <c r="U411" s="29"/>
      <c r="V411" s="10"/>
      <c r="W411" s="10"/>
      <c r="X411" s="10"/>
      <c r="Y411" s="10"/>
      <c r="Z411" s="10"/>
      <c r="AA411" s="10"/>
      <c r="AB411" s="10"/>
      <c r="AC411" s="10"/>
      <c r="AD411" s="10"/>
    </row>
    <row r="412" spans="1:30" ht="15.75" customHeight="1">
      <c r="A412" s="51"/>
      <c r="B412" s="41"/>
      <c r="C412" s="102"/>
      <c r="D412" s="26"/>
      <c r="E412" s="21" t="str">
        <f>IFERROR(VLOOKUP(D412,'DATOS ASIGNACIÓN'!B:I,7,0),"")</f>
        <v/>
      </c>
      <c r="F412" s="21" t="str">
        <f>IFERROR(VLOOKUP(D412,'DATOS ASIGNACIÓN'!B:I,6,0),"")</f>
        <v/>
      </c>
      <c r="G412" s="27"/>
      <c r="H412" s="27"/>
      <c r="I412" s="27"/>
      <c r="J412" s="26"/>
      <c r="K412" s="26"/>
      <c r="L412" s="26"/>
      <c r="M412" s="28"/>
      <c r="N412" s="28"/>
      <c r="O412" s="29"/>
      <c r="P412" s="29"/>
      <c r="Q412" s="29"/>
      <c r="R412" s="29"/>
      <c r="S412" s="29"/>
      <c r="T412" s="29"/>
      <c r="U412" s="29"/>
      <c r="V412" s="10"/>
      <c r="W412" s="10"/>
      <c r="X412" s="10"/>
      <c r="Y412" s="10"/>
      <c r="Z412" s="10"/>
      <c r="AA412" s="10"/>
      <c r="AB412" s="10"/>
      <c r="AC412" s="10"/>
      <c r="AD412" s="10"/>
    </row>
    <row r="413" spans="1:30" ht="15.75" customHeight="1">
      <c r="A413" s="51"/>
      <c r="B413" s="41"/>
      <c r="C413" s="102"/>
      <c r="D413" s="26"/>
      <c r="E413" s="21" t="str">
        <f>IFERROR(VLOOKUP(D413,'DATOS ASIGNACIÓN'!B:I,7,0),"")</f>
        <v/>
      </c>
      <c r="F413" s="21" t="str">
        <f>IFERROR(VLOOKUP(D413,'DATOS ASIGNACIÓN'!B:I,6,0),"")</f>
        <v/>
      </c>
      <c r="G413" s="27"/>
      <c r="H413" s="27"/>
      <c r="I413" s="27"/>
      <c r="J413" s="26"/>
      <c r="K413" s="26"/>
      <c r="L413" s="26"/>
      <c r="M413" s="28"/>
      <c r="N413" s="28"/>
      <c r="O413" s="29"/>
      <c r="P413" s="29"/>
      <c r="Q413" s="29"/>
      <c r="R413" s="29"/>
      <c r="S413" s="29"/>
      <c r="T413" s="29"/>
      <c r="U413" s="29"/>
      <c r="V413" s="10"/>
      <c r="W413" s="10"/>
      <c r="X413" s="10"/>
      <c r="Y413" s="10"/>
      <c r="Z413" s="10"/>
      <c r="AA413" s="10"/>
      <c r="AB413" s="10"/>
      <c r="AC413" s="10"/>
      <c r="AD413" s="10"/>
    </row>
    <row r="414" spans="1:30" ht="15.75" customHeight="1">
      <c r="A414" s="51"/>
      <c r="B414" s="41"/>
      <c r="C414" s="102"/>
      <c r="D414" s="26"/>
      <c r="E414" s="21" t="str">
        <f>IFERROR(VLOOKUP(D414,'DATOS ASIGNACIÓN'!B:I,7,0),"")</f>
        <v/>
      </c>
      <c r="F414" s="21" t="str">
        <f>IFERROR(VLOOKUP(D414,'DATOS ASIGNACIÓN'!B:I,6,0),"")</f>
        <v/>
      </c>
      <c r="G414" s="27"/>
      <c r="H414" s="27"/>
      <c r="I414" s="27"/>
      <c r="J414" s="26"/>
      <c r="K414" s="26"/>
      <c r="L414" s="26"/>
      <c r="M414" s="28"/>
      <c r="N414" s="28"/>
      <c r="O414" s="29"/>
      <c r="P414" s="29"/>
      <c r="Q414" s="29"/>
      <c r="R414" s="29"/>
      <c r="S414" s="29"/>
      <c r="T414" s="29"/>
      <c r="U414" s="29"/>
      <c r="V414" s="10"/>
      <c r="W414" s="10"/>
      <c r="X414" s="10"/>
      <c r="Y414" s="10"/>
      <c r="Z414" s="10"/>
      <c r="AA414" s="10"/>
      <c r="AB414" s="10"/>
      <c r="AC414" s="10"/>
      <c r="AD414" s="10"/>
    </row>
    <row r="415" spans="1:30" ht="15.75" customHeight="1">
      <c r="A415" s="51"/>
      <c r="B415" s="41"/>
      <c r="C415" s="102"/>
      <c r="D415" s="26"/>
      <c r="E415" s="21" t="str">
        <f>IFERROR(VLOOKUP(D415,'DATOS ASIGNACIÓN'!B:I,7,0),"")</f>
        <v/>
      </c>
      <c r="F415" s="21" t="str">
        <f>IFERROR(VLOOKUP(D415,'DATOS ASIGNACIÓN'!B:I,6,0),"")</f>
        <v/>
      </c>
      <c r="G415" s="27"/>
      <c r="H415" s="27"/>
      <c r="I415" s="27"/>
      <c r="J415" s="26"/>
      <c r="K415" s="26"/>
      <c r="L415" s="26"/>
      <c r="M415" s="28"/>
      <c r="N415" s="28"/>
      <c r="O415" s="29"/>
      <c r="P415" s="29"/>
      <c r="Q415" s="29"/>
      <c r="R415" s="29"/>
      <c r="S415" s="29"/>
      <c r="T415" s="29"/>
      <c r="U415" s="29"/>
      <c r="V415" s="10"/>
      <c r="W415" s="10"/>
      <c r="X415" s="10"/>
      <c r="Y415" s="10"/>
      <c r="Z415" s="10"/>
      <c r="AA415" s="10"/>
      <c r="AB415" s="10"/>
      <c r="AC415" s="10"/>
      <c r="AD415" s="10"/>
    </row>
    <row r="416" spans="1:30" ht="15.75" customHeight="1">
      <c r="A416" s="51"/>
      <c r="B416" s="41"/>
      <c r="C416" s="102"/>
      <c r="D416" s="26"/>
      <c r="E416" s="21" t="str">
        <f>IFERROR(VLOOKUP(D416,'DATOS ASIGNACIÓN'!B:I,7,0),"")</f>
        <v/>
      </c>
      <c r="F416" s="21" t="str">
        <f>IFERROR(VLOOKUP(D416,'DATOS ASIGNACIÓN'!B:I,6,0),"")</f>
        <v/>
      </c>
      <c r="G416" s="27"/>
      <c r="H416" s="27"/>
      <c r="I416" s="27"/>
      <c r="J416" s="26"/>
      <c r="K416" s="26"/>
      <c r="L416" s="26"/>
      <c r="M416" s="28"/>
      <c r="N416" s="28"/>
      <c r="O416" s="29"/>
      <c r="P416" s="29"/>
      <c r="Q416" s="29"/>
      <c r="R416" s="29"/>
      <c r="S416" s="29"/>
      <c r="T416" s="29"/>
      <c r="U416" s="29"/>
      <c r="V416" s="10"/>
      <c r="W416" s="10"/>
      <c r="X416" s="10"/>
      <c r="Y416" s="10"/>
      <c r="Z416" s="10"/>
      <c r="AA416" s="10"/>
      <c r="AB416" s="10"/>
      <c r="AC416" s="10"/>
      <c r="AD416" s="10"/>
    </row>
    <row r="417" spans="1:30" ht="15.75" customHeight="1">
      <c r="A417" s="51"/>
      <c r="B417" s="41"/>
      <c r="C417" s="102"/>
      <c r="D417" s="26"/>
      <c r="E417" s="21" t="str">
        <f>IFERROR(VLOOKUP(D417,'DATOS ASIGNACIÓN'!B:I,7,0),"")</f>
        <v/>
      </c>
      <c r="F417" s="21" t="str">
        <f>IFERROR(VLOOKUP(D417,'DATOS ASIGNACIÓN'!B:I,6,0),"")</f>
        <v/>
      </c>
      <c r="G417" s="27"/>
      <c r="H417" s="27"/>
      <c r="I417" s="27"/>
      <c r="J417" s="26"/>
      <c r="K417" s="26"/>
      <c r="L417" s="26"/>
      <c r="M417" s="28"/>
      <c r="N417" s="28"/>
      <c r="O417" s="29"/>
      <c r="P417" s="29"/>
      <c r="Q417" s="29"/>
      <c r="R417" s="29"/>
      <c r="S417" s="29"/>
      <c r="T417" s="29"/>
      <c r="U417" s="29"/>
      <c r="V417" s="10"/>
      <c r="W417" s="10"/>
      <c r="X417" s="10"/>
      <c r="Y417" s="10"/>
      <c r="Z417" s="10"/>
      <c r="AA417" s="10"/>
      <c r="AB417" s="10"/>
      <c r="AC417" s="10"/>
      <c r="AD417" s="10"/>
    </row>
    <row r="418" spans="1:30" ht="15.75" customHeight="1">
      <c r="A418" s="51"/>
      <c r="B418" s="41"/>
      <c r="C418" s="102"/>
      <c r="D418" s="26"/>
      <c r="E418" s="21" t="str">
        <f>IFERROR(VLOOKUP(D418,'DATOS ASIGNACIÓN'!B:I,7,0),"")</f>
        <v/>
      </c>
      <c r="F418" s="21" t="str">
        <f>IFERROR(VLOOKUP(D418,'DATOS ASIGNACIÓN'!B:I,6,0),"")</f>
        <v/>
      </c>
      <c r="G418" s="27"/>
      <c r="H418" s="27"/>
      <c r="I418" s="27"/>
      <c r="J418" s="26"/>
      <c r="K418" s="26"/>
      <c r="L418" s="26"/>
      <c r="M418" s="28"/>
      <c r="N418" s="28"/>
      <c r="O418" s="29"/>
      <c r="P418" s="29"/>
      <c r="Q418" s="29"/>
      <c r="R418" s="29"/>
      <c r="S418" s="29"/>
      <c r="T418" s="29"/>
      <c r="U418" s="29"/>
      <c r="V418" s="10"/>
      <c r="W418" s="10"/>
      <c r="X418" s="10"/>
      <c r="Y418" s="10"/>
      <c r="Z418" s="10"/>
      <c r="AA418" s="10"/>
      <c r="AB418" s="10"/>
      <c r="AC418" s="10"/>
      <c r="AD418" s="10"/>
    </row>
    <row r="419" spans="1:30" ht="15.75" customHeight="1">
      <c r="A419" s="51"/>
      <c r="B419" s="41"/>
      <c r="C419" s="102"/>
      <c r="D419" s="26"/>
      <c r="E419" s="21" t="str">
        <f>IFERROR(VLOOKUP(D419,'DATOS ASIGNACIÓN'!B:I,7,0),"")</f>
        <v/>
      </c>
      <c r="F419" s="21" t="str">
        <f>IFERROR(VLOOKUP(D419,'DATOS ASIGNACIÓN'!B:I,6,0),"")</f>
        <v/>
      </c>
      <c r="G419" s="27"/>
      <c r="H419" s="27"/>
      <c r="I419" s="27"/>
      <c r="J419" s="26"/>
      <c r="K419" s="26"/>
      <c r="L419" s="26"/>
      <c r="M419" s="28"/>
      <c r="N419" s="28"/>
      <c r="O419" s="29"/>
      <c r="P419" s="29"/>
      <c r="Q419" s="29"/>
      <c r="R419" s="29"/>
      <c r="S419" s="29"/>
      <c r="T419" s="29"/>
      <c r="U419" s="29"/>
      <c r="V419" s="10"/>
      <c r="W419" s="10"/>
      <c r="X419" s="10"/>
      <c r="Y419" s="10"/>
      <c r="Z419" s="10"/>
      <c r="AA419" s="10"/>
      <c r="AB419" s="10"/>
      <c r="AC419" s="10"/>
      <c r="AD419" s="10"/>
    </row>
    <row r="420" spans="1:30" ht="15.75" customHeight="1">
      <c r="A420" s="51"/>
      <c r="B420" s="41"/>
      <c r="C420" s="102"/>
      <c r="D420" s="26"/>
      <c r="E420" s="21" t="str">
        <f>IFERROR(VLOOKUP(D420,'DATOS ASIGNACIÓN'!B:I,7,0),"")</f>
        <v/>
      </c>
      <c r="F420" s="21" t="str">
        <f>IFERROR(VLOOKUP(D420,'DATOS ASIGNACIÓN'!B:I,6,0),"")</f>
        <v/>
      </c>
      <c r="G420" s="27"/>
      <c r="H420" s="27"/>
      <c r="I420" s="27"/>
      <c r="J420" s="26"/>
      <c r="K420" s="26"/>
      <c r="L420" s="26"/>
      <c r="M420" s="28"/>
      <c r="N420" s="28"/>
      <c r="O420" s="29"/>
      <c r="P420" s="29"/>
      <c r="Q420" s="29"/>
      <c r="R420" s="29"/>
      <c r="S420" s="29"/>
      <c r="T420" s="29"/>
      <c r="U420" s="29"/>
      <c r="V420" s="10"/>
      <c r="W420" s="10"/>
      <c r="X420" s="10"/>
      <c r="Y420" s="10"/>
      <c r="Z420" s="10"/>
      <c r="AA420" s="10"/>
      <c r="AB420" s="10"/>
      <c r="AC420" s="10"/>
      <c r="AD420" s="10"/>
    </row>
    <row r="421" spans="1:30" ht="15.75" customHeight="1">
      <c r="A421" s="51"/>
      <c r="B421" s="41"/>
      <c r="C421" s="102"/>
      <c r="D421" s="26"/>
      <c r="E421" s="21" t="str">
        <f>IFERROR(VLOOKUP(D421,'DATOS ASIGNACIÓN'!B:I,7,0),"")</f>
        <v/>
      </c>
      <c r="F421" s="21" t="str">
        <f>IFERROR(VLOOKUP(D421,'DATOS ASIGNACIÓN'!B:I,6,0),"")</f>
        <v/>
      </c>
      <c r="G421" s="27"/>
      <c r="H421" s="27"/>
      <c r="I421" s="27"/>
      <c r="J421" s="26"/>
      <c r="K421" s="26"/>
      <c r="L421" s="26"/>
      <c r="M421" s="28"/>
      <c r="N421" s="28"/>
      <c r="O421" s="29"/>
      <c r="P421" s="29"/>
      <c r="Q421" s="29"/>
      <c r="R421" s="29"/>
      <c r="S421" s="29"/>
      <c r="T421" s="29"/>
      <c r="U421" s="29"/>
      <c r="V421" s="10"/>
      <c r="W421" s="10"/>
      <c r="X421" s="10"/>
      <c r="Y421" s="10"/>
      <c r="Z421" s="10"/>
      <c r="AA421" s="10"/>
      <c r="AB421" s="10"/>
      <c r="AC421" s="10"/>
      <c r="AD421" s="10"/>
    </row>
    <row r="422" spans="1:30" ht="15.75" customHeight="1">
      <c r="A422" s="51"/>
      <c r="B422" s="41"/>
      <c r="C422" s="102"/>
      <c r="D422" s="26"/>
      <c r="E422" s="21" t="str">
        <f>IFERROR(VLOOKUP(D422,'DATOS ASIGNACIÓN'!B:I,7,0),"")</f>
        <v/>
      </c>
      <c r="F422" s="21" t="str">
        <f>IFERROR(VLOOKUP(D422,'DATOS ASIGNACIÓN'!B:I,6,0),"")</f>
        <v/>
      </c>
      <c r="G422" s="27"/>
      <c r="H422" s="27"/>
      <c r="I422" s="27"/>
      <c r="J422" s="26"/>
      <c r="K422" s="26"/>
      <c r="L422" s="26"/>
      <c r="M422" s="28"/>
      <c r="N422" s="28"/>
      <c r="O422" s="29"/>
      <c r="P422" s="29"/>
      <c r="Q422" s="29"/>
      <c r="R422" s="29"/>
      <c r="S422" s="29"/>
      <c r="T422" s="29"/>
      <c r="U422" s="29"/>
      <c r="V422" s="10"/>
      <c r="W422" s="10"/>
      <c r="X422" s="10"/>
      <c r="Y422" s="10"/>
      <c r="Z422" s="10"/>
      <c r="AA422" s="10"/>
      <c r="AB422" s="10"/>
      <c r="AC422" s="10"/>
      <c r="AD422" s="10"/>
    </row>
    <row r="423" spans="1:30" ht="15.75" customHeight="1">
      <c r="A423" s="51"/>
      <c r="B423" s="41"/>
      <c r="C423" s="102"/>
      <c r="D423" s="26"/>
      <c r="E423" s="21" t="str">
        <f>IFERROR(VLOOKUP(D423,'DATOS ASIGNACIÓN'!B:I,7,0),"")</f>
        <v/>
      </c>
      <c r="F423" s="21" t="str">
        <f>IFERROR(VLOOKUP(D423,'DATOS ASIGNACIÓN'!B:I,6,0),"")</f>
        <v/>
      </c>
      <c r="G423" s="27"/>
      <c r="H423" s="27"/>
      <c r="I423" s="27"/>
      <c r="J423" s="26"/>
      <c r="K423" s="26"/>
      <c r="L423" s="26"/>
      <c r="M423" s="28"/>
      <c r="N423" s="28"/>
      <c r="O423" s="29"/>
      <c r="P423" s="29"/>
      <c r="Q423" s="29"/>
      <c r="R423" s="29"/>
      <c r="S423" s="29"/>
      <c r="T423" s="29"/>
      <c r="U423" s="29"/>
      <c r="V423" s="10"/>
      <c r="W423" s="10"/>
      <c r="X423" s="10"/>
      <c r="Y423" s="10"/>
      <c r="Z423" s="10"/>
      <c r="AA423" s="10"/>
      <c r="AB423" s="10"/>
      <c r="AC423" s="10"/>
      <c r="AD423" s="10"/>
    </row>
    <row r="424" spans="1:30" ht="15.75" customHeight="1">
      <c r="A424" s="51"/>
      <c r="B424" s="41"/>
      <c r="C424" s="102"/>
      <c r="D424" s="26"/>
      <c r="E424" s="21" t="str">
        <f>IFERROR(VLOOKUP(D424,'DATOS ASIGNACIÓN'!B:I,7,0),"")</f>
        <v/>
      </c>
      <c r="F424" s="21" t="str">
        <f>IFERROR(VLOOKUP(D424,'DATOS ASIGNACIÓN'!B:I,6,0),"")</f>
        <v/>
      </c>
      <c r="G424" s="27"/>
      <c r="H424" s="27"/>
      <c r="I424" s="27"/>
      <c r="J424" s="26"/>
      <c r="K424" s="26"/>
      <c r="L424" s="26"/>
      <c r="M424" s="28"/>
      <c r="N424" s="28"/>
      <c r="O424" s="29"/>
      <c r="P424" s="29"/>
      <c r="Q424" s="29"/>
      <c r="R424" s="29"/>
      <c r="S424" s="29"/>
      <c r="T424" s="29"/>
      <c r="U424" s="29"/>
      <c r="V424" s="10"/>
      <c r="W424" s="10"/>
      <c r="X424" s="10"/>
      <c r="Y424" s="10"/>
      <c r="Z424" s="10"/>
      <c r="AA424" s="10"/>
      <c r="AB424" s="10"/>
      <c r="AC424" s="10"/>
      <c r="AD424" s="10"/>
    </row>
    <row r="425" spans="1:30" ht="15.75" customHeight="1">
      <c r="A425" s="51"/>
      <c r="B425" s="41"/>
      <c r="C425" s="102"/>
      <c r="D425" s="26"/>
      <c r="E425" s="21" t="str">
        <f>IFERROR(VLOOKUP(D425,'DATOS ASIGNACIÓN'!B:I,7,0),"")</f>
        <v/>
      </c>
      <c r="F425" s="21" t="str">
        <f>IFERROR(VLOOKUP(D425,'DATOS ASIGNACIÓN'!B:I,6,0),"")</f>
        <v/>
      </c>
      <c r="G425" s="27"/>
      <c r="H425" s="27"/>
      <c r="I425" s="27"/>
      <c r="J425" s="26"/>
      <c r="K425" s="26"/>
      <c r="L425" s="26"/>
      <c r="M425" s="28"/>
      <c r="N425" s="28"/>
      <c r="O425" s="29"/>
      <c r="P425" s="29"/>
      <c r="Q425" s="29"/>
      <c r="R425" s="29"/>
      <c r="S425" s="29"/>
      <c r="T425" s="29"/>
      <c r="U425" s="29"/>
      <c r="V425" s="10"/>
      <c r="W425" s="10"/>
      <c r="X425" s="10"/>
      <c r="Y425" s="10"/>
      <c r="Z425" s="10"/>
      <c r="AA425" s="10"/>
      <c r="AB425" s="10"/>
      <c r="AC425" s="10"/>
      <c r="AD425" s="10"/>
    </row>
    <row r="426" spans="1:30" ht="15.75" customHeight="1">
      <c r="A426" s="51"/>
      <c r="B426" s="41"/>
      <c r="C426" s="102"/>
      <c r="D426" s="26"/>
      <c r="E426" s="21" t="str">
        <f>IFERROR(VLOOKUP(D426,'DATOS ASIGNACIÓN'!B:I,7,0),"")</f>
        <v/>
      </c>
      <c r="F426" s="21" t="str">
        <f>IFERROR(VLOOKUP(D426,'DATOS ASIGNACIÓN'!B:I,6,0),"")</f>
        <v/>
      </c>
      <c r="G426" s="27"/>
      <c r="H426" s="27"/>
      <c r="I426" s="27"/>
      <c r="J426" s="26"/>
      <c r="K426" s="26"/>
      <c r="L426" s="26"/>
      <c r="M426" s="28"/>
      <c r="N426" s="28"/>
      <c r="O426" s="29"/>
      <c r="P426" s="29"/>
      <c r="Q426" s="29"/>
      <c r="R426" s="29"/>
      <c r="S426" s="29"/>
      <c r="T426" s="29"/>
      <c r="U426" s="29"/>
      <c r="V426" s="10"/>
      <c r="W426" s="10"/>
      <c r="X426" s="10"/>
      <c r="Y426" s="10"/>
      <c r="Z426" s="10"/>
      <c r="AA426" s="10"/>
      <c r="AB426" s="10"/>
      <c r="AC426" s="10"/>
      <c r="AD426" s="10"/>
    </row>
    <row r="427" spans="1:30" ht="15.75" customHeight="1">
      <c r="A427" s="51"/>
      <c r="B427" s="41"/>
      <c r="C427" s="102"/>
      <c r="D427" s="26"/>
      <c r="E427" s="21" t="str">
        <f>IFERROR(VLOOKUP(D427,'DATOS ASIGNACIÓN'!B:I,7,0),"")</f>
        <v/>
      </c>
      <c r="F427" s="21" t="str">
        <f>IFERROR(VLOOKUP(D427,'DATOS ASIGNACIÓN'!B:I,6,0),"")</f>
        <v/>
      </c>
      <c r="G427" s="27"/>
      <c r="H427" s="27"/>
      <c r="I427" s="27"/>
      <c r="J427" s="26"/>
      <c r="K427" s="26"/>
      <c r="L427" s="26"/>
      <c r="M427" s="28"/>
      <c r="N427" s="28"/>
      <c r="O427" s="29"/>
      <c r="P427" s="29"/>
      <c r="Q427" s="29"/>
      <c r="R427" s="29"/>
      <c r="S427" s="29"/>
      <c r="T427" s="29"/>
      <c r="U427" s="29"/>
      <c r="V427" s="10"/>
      <c r="W427" s="10"/>
      <c r="X427" s="10"/>
      <c r="Y427" s="10"/>
      <c r="Z427" s="10"/>
      <c r="AA427" s="10"/>
      <c r="AB427" s="10"/>
      <c r="AC427" s="10"/>
      <c r="AD427" s="10"/>
    </row>
    <row r="428" spans="1:30" ht="15.75" customHeight="1">
      <c r="A428" s="51"/>
      <c r="B428" s="41"/>
      <c r="C428" s="102"/>
      <c r="D428" s="26"/>
      <c r="E428" s="21" t="str">
        <f>IFERROR(VLOOKUP(D428,'DATOS ASIGNACIÓN'!B:I,7,0),"")</f>
        <v/>
      </c>
      <c r="F428" s="21" t="str">
        <f>IFERROR(VLOOKUP(D428,'DATOS ASIGNACIÓN'!B:I,6,0),"")</f>
        <v/>
      </c>
      <c r="G428" s="27"/>
      <c r="H428" s="27"/>
      <c r="I428" s="27"/>
      <c r="J428" s="26"/>
      <c r="K428" s="26"/>
      <c r="L428" s="26"/>
      <c r="M428" s="28"/>
      <c r="N428" s="28"/>
      <c r="O428" s="29"/>
      <c r="P428" s="29"/>
      <c r="Q428" s="29"/>
      <c r="R428" s="29"/>
      <c r="S428" s="29"/>
      <c r="T428" s="29"/>
      <c r="U428" s="29"/>
      <c r="V428" s="10"/>
      <c r="W428" s="10"/>
      <c r="X428" s="10"/>
      <c r="Y428" s="10"/>
      <c r="Z428" s="10"/>
      <c r="AA428" s="10"/>
      <c r="AB428" s="10"/>
      <c r="AC428" s="10"/>
      <c r="AD428" s="10"/>
    </row>
    <row r="429" spans="1:30" ht="15.75" customHeight="1">
      <c r="A429" s="51"/>
      <c r="B429" s="41"/>
      <c r="C429" s="102"/>
      <c r="D429" s="26"/>
      <c r="E429" s="21" t="str">
        <f>IFERROR(VLOOKUP(D429,'DATOS ASIGNACIÓN'!B:I,7,0),"")</f>
        <v/>
      </c>
      <c r="F429" s="21" t="str">
        <f>IFERROR(VLOOKUP(D429,'DATOS ASIGNACIÓN'!B:I,6,0),"")</f>
        <v/>
      </c>
      <c r="G429" s="27"/>
      <c r="H429" s="27"/>
      <c r="I429" s="27"/>
      <c r="J429" s="26"/>
      <c r="K429" s="26"/>
      <c r="L429" s="26"/>
      <c r="M429" s="28"/>
      <c r="N429" s="28"/>
      <c r="O429" s="29"/>
      <c r="P429" s="29"/>
      <c r="Q429" s="29"/>
      <c r="R429" s="29"/>
      <c r="S429" s="29"/>
      <c r="T429" s="29"/>
      <c r="U429" s="29"/>
      <c r="V429" s="10"/>
      <c r="W429" s="10"/>
      <c r="X429" s="10"/>
      <c r="Y429" s="10"/>
      <c r="Z429" s="10"/>
      <c r="AA429" s="10"/>
      <c r="AB429" s="10"/>
      <c r="AC429" s="10"/>
      <c r="AD429" s="10"/>
    </row>
    <row r="430" spans="1:30" ht="15.75" customHeight="1">
      <c r="A430" s="51"/>
      <c r="B430" s="41"/>
      <c r="C430" s="102"/>
      <c r="D430" s="26"/>
      <c r="E430" s="21" t="str">
        <f>IFERROR(VLOOKUP(D430,'DATOS ASIGNACIÓN'!B:I,7,0),"")</f>
        <v/>
      </c>
      <c r="F430" s="21" t="str">
        <f>IFERROR(VLOOKUP(D430,'DATOS ASIGNACIÓN'!B:I,6,0),"")</f>
        <v/>
      </c>
      <c r="G430" s="27"/>
      <c r="H430" s="27"/>
      <c r="I430" s="27"/>
      <c r="J430" s="26"/>
      <c r="K430" s="26"/>
      <c r="L430" s="26"/>
      <c r="M430" s="28"/>
      <c r="N430" s="28"/>
      <c r="O430" s="29"/>
      <c r="P430" s="29"/>
      <c r="Q430" s="29"/>
      <c r="R430" s="29"/>
      <c r="S430" s="29"/>
      <c r="T430" s="29"/>
      <c r="U430" s="29"/>
      <c r="V430" s="10"/>
      <c r="W430" s="10"/>
      <c r="X430" s="10"/>
      <c r="Y430" s="10"/>
      <c r="Z430" s="10"/>
      <c r="AA430" s="10"/>
      <c r="AB430" s="10"/>
      <c r="AC430" s="10"/>
      <c r="AD430" s="10"/>
    </row>
    <row r="431" spans="1:30" ht="15.75" customHeight="1">
      <c r="A431" s="51"/>
      <c r="B431" s="41"/>
      <c r="C431" s="102"/>
      <c r="D431" s="26"/>
      <c r="E431" s="21" t="str">
        <f>IFERROR(VLOOKUP(D431,'DATOS ASIGNACIÓN'!B:I,7,0),"")</f>
        <v/>
      </c>
      <c r="F431" s="21" t="str">
        <f>IFERROR(VLOOKUP(D431,'DATOS ASIGNACIÓN'!B:I,6,0),"")</f>
        <v/>
      </c>
      <c r="G431" s="27"/>
      <c r="H431" s="27"/>
      <c r="I431" s="27"/>
      <c r="J431" s="26"/>
      <c r="K431" s="26"/>
      <c r="L431" s="26"/>
      <c r="M431" s="28"/>
      <c r="N431" s="28"/>
      <c r="O431" s="29"/>
      <c r="P431" s="29"/>
      <c r="Q431" s="29"/>
      <c r="R431" s="29"/>
      <c r="S431" s="29"/>
      <c r="T431" s="29"/>
      <c r="U431" s="29"/>
      <c r="V431" s="10"/>
      <c r="W431" s="10"/>
      <c r="X431" s="10"/>
      <c r="Y431" s="10"/>
      <c r="Z431" s="10"/>
      <c r="AA431" s="10"/>
      <c r="AB431" s="10"/>
      <c r="AC431" s="10"/>
      <c r="AD431" s="10"/>
    </row>
    <row r="432" spans="1:30" ht="15.75" customHeight="1">
      <c r="A432" s="51"/>
      <c r="B432" s="41"/>
      <c r="C432" s="102"/>
      <c r="D432" s="26"/>
      <c r="E432" s="21" t="str">
        <f>IFERROR(VLOOKUP(D432,'DATOS ASIGNACIÓN'!B:I,7,0),"")</f>
        <v/>
      </c>
      <c r="F432" s="21" t="str">
        <f>IFERROR(VLOOKUP(D432,'DATOS ASIGNACIÓN'!B:I,6,0),"")</f>
        <v/>
      </c>
      <c r="G432" s="27"/>
      <c r="H432" s="27"/>
      <c r="I432" s="27"/>
      <c r="J432" s="26"/>
      <c r="K432" s="26"/>
      <c r="L432" s="26"/>
      <c r="M432" s="28"/>
      <c r="N432" s="28"/>
      <c r="O432" s="29"/>
      <c r="P432" s="29"/>
      <c r="Q432" s="29"/>
      <c r="R432" s="29"/>
      <c r="S432" s="29"/>
      <c r="T432" s="29"/>
      <c r="U432" s="29"/>
      <c r="V432" s="10"/>
      <c r="W432" s="10"/>
      <c r="X432" s="10"/>
      <c r="Y432" s="10"/>
      <c r="Z432" s="10"/>
      <c r="AA432" s="10"/>
      <c r="AB432" s="10"/>
      <c r="AC432" s="10"/>
      <c r="AD432" s="10"/>
    </row>
    <row r="433" spans="1:30" ht="15.75" customHeight="1">
      <c r="A433" s="51"/>
      <c r="B433" s="41"/>
      <c r="C433" s="102"/>
      <c r="D433" s="26"/>
      <c r="E433" s="21" t="str">
        <f>IFERROR(VLOOKUP(D433,'DATOS ASIGNACIÓN'!B:I,7,0),"")</f>
        <v/>
      </c>
      <c r="F433" s="21" t="str">
        <f>IFERROR(VLOOKUP(D433,'DATOS ASIGNACIÓN'!B:I,6,0),"")</f>
        <v/>
      </c>
      <c r="G433" s="27"/>
      <c r="H433" s="27"/>
      <c r="I433" s="27"/>
      <c r="J433" s="26"/>
      <c r="K433" s="26"/>
      <c r="L433" s="26"/>
      <c r="M433" s="28"/>
      <c r="N433" s="28"/>
      <c r="O433" s="29"/>
      <c r="P433" s="29"/>
      <c r="Q433" s="29"/>
      <c r="R433" s="29"/>
      <c r="S433" s="29"/>
      <c r="T433" s="29"/>
      <c r="U433" s="29"/>
      <c r="V433" s="10"/>
      <c r="W433" s="10"/>
      <c r="X433" s="10"/>
      <c r="Y433" s="10"/>
      <c r="Z433" s="10"/>
      <c r="AA433" s="10"/>
      <c r="AB433" s="10"/>
      <c r="AC433" s="10"/>
      <c r="AD433" s="10"/>
    </row>
    <row r="434" spans="1:30" ht="15.75" customHeight="1">
      <c r="A434" s="51"/>
      <c r="B434" s="41"/>
      <c r="C434" s="102"/>
      <c r="D434" s="26"/>
      <c r="E434" s="21" t="str">
        <f>IFERROR(VLOOKUP(D434,'DATOS ASIGNACIÓN'!B:I,7,0),"")</f>
        <v/>
      </c>
      <c r="F434" s="21" t="str">
        <f>IFERROR(VLOOKUP(D434,'DATOS ASIGNACIÓN'!B:I,6,0),"")</f>
        <v/>
      </c>
      <c r="G434" s="27"/>
      <c r="H434" s="27"/>
      <c r="I434" s="27"/>
      <c r="J434" s="26"/>
      <c r="K434" s="26"/>
      <c r="L434" s="26"/>
      <c r="M434" s="28"/>
      <c r="N434" s="28"/>
      <c r="O434" s="29"/>
      <c r="P434" s="29"/>
      <c r="Q434" s="29"/>
      <c r="R434" s="29"/>
      <c r="S434" s="29"/>
      <c r="T434" s="29"/>
      <c r="U434" s="29"/>
      <c r="V434" s="10"/>
      <c r="W434" s="10"/>
      <c r="X434" s="10"/>
      <c r="Y434" s="10"/>
      <c r="Z434" s="10"/>
      <c r="AA434" s="10"/>
      <c r="AB434" s="10"/>
      <c r="AC434" s="10"/>
      <c r="AD434" s="10"/>
    </row>
    <row r="435" spans="1:30" ht="15.75" customHeight="1">
      <c r="A435" s="51"/>
      <c r="B435" s="41"/>
      <c r="C435" s="102"/>
      <c r="D435" s="26"/>
      <c r="E435" s="21" t="str">
        <f>IFERROR(VLOOKUP(D435,'DATOS ASIGNACIÓN'!B:I,7,0),"")</f>
        <v/>
      </c>
      <c r="F435" s="21" t="str">
        <f>IFERROR(VLOOKUP(D435,'DATOS ASIGNACIÓN'!B:I,6,0),"")</f>
        <v/>
      </c>
      <c r="G435" s="27"/>
      <c r="H435" s="27"/>
      <c r="I435" s="27"/>
      <c r="J435" s="26"/>
      <c r="K435" s="26"/>
      <c r="L435" s="26"/>
      <c r="M435" s="28"/>
      <c r="N435" s="28"/>
      <c r="O435" s="29"/>
      <c r="P435" s="29"/>
      <c r="Q435" s="29"/>
      <c r="R435" s="29"/>
      <c r="S435" s="29"/>
      <c r="T435" s="29"/>
      <c r="U435" s="29"/>
      <c r="V435" s="10"/>
      <c r="W435" s="10"/>
      <c r="X435" s="10"/>
      <c r="Y435" s="10"/>
      <c r="Z435" s="10"/>
      <c r="AA435" s="10"/>
      <c r="AB435" s="10"/>
      <c r="AC435" s="10"/>
      <c r="AD435" s="10"/>
    </row>
    <row r="436" spans="1:30" ht="15.75" customHeight="1">
      <c r="A436" s="51"/>
      <c r="B436" s="41"/>
      <c r="C436" s="102"/>
      <c r="D436" s="26"/>
      <c r="E436" s="21" t="str">
        <f>IFERROR(VLOOKUP(D436,'DATOS ASIGNACIÓN'!B:I,7,0),"")</f>
        <v/>
      </c>
      <c r="F436" s="21" t="str">
        <f>IFERROR(VLOOKUP(D436,'DATOS ASIGNACIÓN'!B:I,6,0),"")</f>
        <v/>
      </c>
      <c r="G436" s="27"/>
      <c r="H436" s="27"/>
      <c r="I436" s="27"/>
      <c r="J436" s="26"/>
      <c r="K436" s="26"/>
      <c r="L436" s="26"/>
      <c r="M436" s="28"/>
      <c r="N436" s="28"/>
      <c r="O436" s="29"/>
      <c r="P436" s="29"/>
      <c r="Q436" s="29"/>
      <c r="R436" s="29"/>
      <c r="S436" s="29"/>
      <c r="T436" s="29"/>
      <c r="U436" s="29"/>
      <c r="V436" s="10"/>
      <c r="W436" s="10"/>
      <c r="X436" s="10"/>
      <c r="Y436" s="10"/>
      <c r="Z436" s="10"/>
      <c r="AA436" s="10"/>
      <c r="AB436" s="10"/>
      <c r="AC436" s="10"/>
      <c r="AD436" s="10"/>
    </row>
    <row r="437" spans="1:30" ht="15.75" customHeight="1">
      <c r="A437" s="51"/>
      <c r="B437" s="41"/>
      <c r="C437" s="102"/>
      <c r="D437" s="26"/>
      <c r="E437" s="21" t="str">
        <f>IFERROR(VLOOKUP(D437,'DATOS ASIGNACIÓN'!B:I,7,0),"")</f>
        <v/>
      </c>
      <c r="F437" s="21" t="str">
        <f>IFERROR(VLOOKUP(D437,'DATOS ASIGNACIÓN'!B:I,6,0),"")</f>
        <v/>
      </c>
      <c r="G437" s="27"/>
      <c r="H437" s="27"/>
      <c r="I437" s="27"/>
      <c r="J437" s="26"/>
      <c r="K437" s="26"/>
      <c r="L437" s="26"/>
      <c r="M437" s="28"/>
      <c r="N437" s="28"/>
      <c r="O437" s="29"/>
      <c r="P437" s="29"/>
      <c r="Q437" s="29"/>
      <c r="R437" s="29"/>
      <c r="S437" s="29"/>
      <c r="T437" s="29"/>
      <c r="U437" s="29"/>
      <c r="V437" s="10"/>
      <c r="W437" s="10"/>
      <c r="X437" s="10"/>
      <c r="Y437" s="10"/>
      <c r="Z437" s="10"/>
      <c r="AA437" s="10"/>
      <c r="AB437" s="10"/>
      <c r="AC437" s="10"/>
      <c r="AD437" s="10"/>
    </row>
    <row r="438" spans="1:30" ht="15.75" customHeight="1">
      <c r="A438" s="51"/>
      <c r="B438" s="41"/>
      <c r="C438" s="102"/>
      <c r="D438" s="26"/>
      <c r="E438" s="21" t="str">
        <f>IFERROR(VLOOKUP(D438,'DATOS ASIGNACIÓN'!B:I,7,0),"")</f>
        <v/>
      </c>
      <c r="F438" s="21" t="str">
        <f>IFERROR(VLOOKUP(D438,'DATOS ASIGNACIÓN'!B:I,6,0),"")</f>
        <v/>
      </c>
      <c r="G438" s="27"/>
      <c r="H438" s="27"/>
      <c r="I438" s="27"/>
      <c r="J438" s="26"/>
      <c r="K438" s="26"/>
      <c r="L438" s="26"/>
      <c r="M438" s="28"/>
      <c r="N438" s="28"/>
      <c r="O438" s="29"/>
      <c r="P438" s="29"/>
      <c r="Q438" s="29"/>
      <c r="R438" s="29"/>
      <c r="S438" s="29"/>
      <c r="T438" s="29"/>
      <c r="U438" s="29"/>
      <c r="V438" s="10"/>
      <c r="W438" s="10"/>
      <c r="X438" s="10"/>
      <c r="Y438" s="10"/>
      <c r="Z438" s="10"/>
      <c r="AA438" s="10"/>
      <c r="AB438" s="10"/>
      <c r="AC438" s="10"/>
      <c r="AD438" s="10"/>
    </row>
    <row r="439" spans="1:30" ht="15.75" customHeight="1">
      <c r="A439" s="51"/>
      <c r="B439" s="41"/>
      <c r="C439" s="102"/>
      <c r="D439" s="26"/>
      <c r="E439" s="21" t="str">
        <f>IFERROR(VLOOKUP(D439,'DATOS ASIGNACIÓN'!B:I,7,0),"")</f>
        <v/>
      </c>
      <c r="F439" s="21" t="str">
        <f>IFERROR(VLOOKUP(D439,'DATOS ASIGNACIÓN'!B:I,6,0),"")</f>
        <v/>
      </c>
      <c r="G439" s="27"/>
      <c r="H439" s="27"/>
      <c r="I439" s="27"/>
      <c r="J439" s="26"/>
      <c r="K439" s="26"/>
      <c r="L439" s="26"/>
      <c r="M439" s="28"/>
      <c r="N439" s="28"/>
      <c r="O439" s="29"/>
      <c r="P439" s="29"/>
      <c r="Q439" s="29"/>
      <c r="R439" s="29"/>
      <c r="S439" s="29"/>
      <c r="T439" s="29"/>
      <c r="U439" s="29"/>
      <c r="V439" s="10"/>
      <c r="W439" s="10"/>
      <c r="X439" s="10"/>
      <c r="Y439" s="10"/>
      <c r="Z439" s="10"/>
      <c r="AA439" s="10"/>
      <c r="AB439" s="10"/>
      <c r="AC439" s="10"/>
      <c r="AD439" s="10"/>
    </row>
    <row r="440" spans="1:30" ht="15.75" customHeight="1">
      <c r="A440" s="51"/>
      <c r="B440" s="41"/>
      <c r="C440" s="102"/>
      <c r="D440" s="26"/>
      <c r="E440" s="21" t="str">
        <f>IFERROR(VLOOKUP(D440,'DATOS ASIGNACIÓN'!B:I,7,0),"")</f>
        <v/>
      </c>
      <c r="F440" s="21" t="str">
        <f>IFERROR(VLOOKUP(D440,'DATOS ASIGNACIÓN'!B:I,6,0),"")</f>
        <v/>
      </c>
      <c r="G440" s="27"/>
      <c r="H440" s="27"/>
      <c r="I440" s="27"/>
      <c r="J440" s="26"/>
      <c r="K440" s="26"/>
      <c r="L440" s="26"/>
      <c r="M440" s="28"/>
      <c r="N440" s="28"/>
      <c r="O440" s="29"/>
      <c r="P440" s="29"/>
      <c r="Q440" s="29"/>
      <c r="R440" s="29"/>
      <c r="S440" s="29"/>
      <c r="T440" s="29"/>
      <c r="U440" s="29"/>
      <c r="V440" s="10"/>
      <c r="W440" s="10"/>
      <c r="X440" s="10"/>
      <c r="Y440" s="10"/>
      <c r="Z440" s="10"/>
      <c r="AA440" s="10"/>
      <c r="AB440" s="10"/>
      <c r="AC440" s="10"/>
      <c r="AD440" s="10"/>
    </row>
    <row r="441" spans="1:30" ht="15.75" customHeight="1">
      <c r="A441" s="51"/>
      <c r="B441" s="41"/>
      <c r="C441" s="102"/>
      <c r="D441" s="26"/>
      <c r="E441" s="21" t="str">
        <f>IFERROR(VLOOKUP(D441,'DATOS ASIGNACIÓN'!B:I,7,0),"")</f>
        <v/>
      </c>
      <c r="F441" s="21" t="str">
        <f>IFERROR(VLOOKUP(D441,'DATOS ASIGNACIÓN'!B:I,6,0),"")</f>
        <v/>
      </c>
      <c r="G441" s="27"/>
      <c r="H441" s="27"/>
      <c r="I441" s="27"/>
      <c r="J441" s="26"/>
      <c r="K441" s="26"/>
      <c r="L441" s="26"/>
      <c r="M441" s="28"/>
      <c r="N441" s="28"/>
      <c r="O441" s="29"/>
      <c r="P441" s="29"/>
      <c r="Q441" s="29"/>
      <c r="R441" s="29"/>
      <c r="S441" s="29"/>
      <c r="T441" s="29"/>
      <c r="U441" s="29"/>
      <c r="V441" s="10"/>
      <c r="W441" s="10"/>
      <c r="X441" s="10"/>
      <c r="Y441" s="10"/>
      <c r="Z441" s="10"/>
      <c r="AA441" s="10"/>
      <c r="AB441" s="10"/>
      <c r="AC441" s="10"/>
      <c r="AD441" s="10"/>
    </row>
    <row r="442" spans="1:30" ht="15.75" customHeight="1">
      <c r="A442" s="51"/>
      <c r="B442" s="41"/>
      <c r="C442" s="102"/>
      <c r="D442" s="26"/>
      <c r="E442" s="21" t="str">
        <f>IFERROR(VLOOKUP(D442,'DATOS ASIGNACIÓN'!B:I,7,0),"")</f>
        <v/>
      </c>
      <c r="F442" s="21" t="str">
        <f>IFERROR(VLOOKUP(D442,'DATOS ASIGNACIÓN'!B:I,6,0),"")</f>
        <v/>
      </c>
      <c r="G442" s="27"/>
      <c r="H442" s="27"/>
      <c r="I442" s="27"/>
      <c r="J442" s="26"/>
      <c r="K442" s="26"/>
      <c r="L442" s="26"/>
      <c r="M442" s="28"/>
      <c r="N442" s="28"/>
      <c r="O442" s="29"/>
      <c r="P442" s="29"/>
      <c r="Q442" s="29"/>
      <c r="R442" s="29"/>
      <c r="S442" s="29"/>
      <c r="T442" s="29"/>
      <c r="U442" s="29"/>
      <c r="V442" s="10"/>
      <c r="W442" s="10"/>
      <c r="X442" s="10"/>
      <c r="Y442" s="10"/>
      <c r="Z442" s="10"/>
      <c r="AA442" s="10"/>
      <c r="AB442" s="10"/>
      <c r="AC442" s="10"/>
      <c r="AD442" s="10"/>
    </row>
    <row r="443" spans="1:30" ht="15.75" customHeight="1">
      <c r="A443" s="51"/>
      <c r="B443" s="41"/>
      <c r="C443" s="102"/>
      <c r="D443" s="26"/>
      <c r="E443" s="21" t="str">
        <f>IFERROR(VLOOKUP(D443,'DATOS ASIGNACIÓN'!B:I,7,0),"")</f>
        <v/>
      </c>
      <c r="F443" s="21" t="str">
        <f>IFERROR(VLOOKUP(D443,'DATOS ASIGNACIÓN'!B:I,6,0),"")</f>
        <v/>
      </c>
      <c r="G443" s="27"/>
      <c r="H443" s="27"/>
      <c r="I443" s="27"/>
      <c r="J443" s="26"/>
      <c r="K443" s="26"/>
      <c r="L443" s="26"/>
      <c r="M443" s="28"/>
      <c r="N443" s="28"/>
      <c r="O443" s="29"/>
      <c r="P443" s="29"/>
      <c r="Q443" s="29"/>
      <c r="R443" s="29"/>
      <c r="S443" s="29"/>
      <c r="T443" s="29"/>
      <c r="U443" s="29"/>
      <c r="V443" s="10"/>
      <c r="W443" s="10"/>
      <c r="X443" s="10"/>
      <c r="Y443" s="10"/>
      <c r="Z443" s="10"/>
      <c r="AA443" s="10"/>
      <c r="AB443" s="10"/>
      <c r="AC443" s="10"/>
      <c r="AD443" s="10"/>
    </row>
    <row r="444" spans="1:30" ht="15.75" customHeight="1">
      <c r="A444" s="51"/>
      <c r="B444" s="41"/>
      <c r="C444" s="102"/>
      <c r="D444" s="26"/>
      <c r="E444" s="21" t="str">
        <f>IFERROR(VLOOKUP(D444,'DATOS ASIGNACIÓN'!B:I,7,0),"")</f>
        <v/>
      </c>
      <c r="F444" s="21" t="str">
        <f>IFERROR(VLOOKUP(D444,'DATOS ASIGNACIÓN'!B:I,6,0),"")</f>
        <v/>
      </c>
      <c r="G444" s="27"/>
      <c r="H444" s="27"/>
      <c r="I444" s="27"/>
      <c r="J444" s="26"/>
      <c r="K444" s="26"/>
      <c r="L444" s="26"/>
      <c r="M444" s="28"/>
      <c r="N444" s="28"/>
      <c r="O444" s="29"/>
      <c r="P444" s="29"/>
      <c r="Q444" s="29"/>
      <c r="R444" s="29"/>
      <c r="S444" s="29"/>
      <c r="T444" s="29"/>
      <c r="U444" s="29"/>
      <c r="V444" s="10"/>
      <c r="W444" s="10"/>
      <c r="X444" s="10"/>
      <c r="Y444" s="10"/>
      <c r="Z444" s="10"/>
      <c r="AA444" s="10"/>
      <c r="AB444" s="10"/>
      <c r="AC444" s="10"/>
      <c r="AD444" s="10"/>
    </row>
    <row r="445" spans="1:30" ht="15.75" customHeight="1">
      <c r="A445" s="51"/>
      <c r="B445" s="41"/>
      <c r="C445" s="102"/>
      <c r="D445" s="26"/>
      <c r="E445" s="21" t="str">
        <f>IFERROR(VLOOKUP(D445,'DATOS ASIGNACIÓN'!B:I,7,0),"")</f>
        <v/>
      </c>
      <c r="F445" s="21" t="str">
        <f>IFERROR(VLOOKUP(D445,'DATOS ASIGNACIÓN'!B:I,6,0),"")</f>
        <v/>
      </c>
      <c r="G445" s="27"/>
      <c r="H445" s="27"/>
      <c r="I445" s="27"/>
      <c r="J445" s="26"/>
      <c r="K445" s="26"/>
      <c r="L445" s="26"/>
      <c r="M445" s="28"/>
      <c r="N445" s="28"/>
      <c r="O445" s="29"/>
      <c r="P445" s="29"/>
      <c r="Q445" s="29"/>
      <c r="R445" s="29"/>
      <c r="S445" s="29"/>
      <c r="T445" s="29"/>
      <c r="U445" s="29"/>
      <c r="V445" s="10"/>
      <c r="W445" s="10"/>
      <c r="X445" s="10"/>
      <c r="Y445" s="10"/>
      <c r="Z445" s="10"/>
      <c r="AA445" s="10"/>
      <c r="AB445" s="10"/>
      <c r="AC445" s="10"/>
      <c r="AD445" s="10"/>
    </row>
    <row r="446" spans="1:30" ht="15.75" customHeight="1">
      <c r="A446" s="51"/>
      <c r="B446" s="41"/>
      <c r="C446" s="102"/>
      <c r="D446" s="26"/>
      <c r="E446" s="21" t="str">
        <f>IFERROR(VLOOKUP(D446,'DATOS ASIGNACIÓN'!B:I,7,0),"")</f>
        <v/>
      </c>
      <c r="F446" s="21" t="str">
        <f>IFERROR(VLOOKUP(D446,'DATOS ASIGNACIÓN'!B:I,6,0),"")</f>
        <v/>
      </c>
      <c r="G446" s="27"/>
      <c r="H446" s="27"/>
      <c r="I446" s="27"/>
      <c r="J446" s="26"/>
      <c r="K446" s="26"/>
      <c r="L446" s="26"/>
      <c r="M446" s="28"/>
      <c r="N446" s="28"/>
      <c r="O446" s="29"/>
      <c r="P446" s="29"/>
      <c r="Q446" s="29"/>
      <c r="R446" s="29"/>
      <c r="S446" s="29"/>
      <c r="T446" s="29"/>
      <c r="U446" s="29"/>
      <c r="V446" s="10"/>
      <c r="W446" s="10"/>
      <c r="X446" s="10"/>
      <c r="Y446" s="10"/>
      <c r="Z446" s="10"/>
      <c r="AA446" s="10"/>
      <c r="AB446" s="10"/>
      <c r="AC446" s="10"/>
      <c r="AD446" s="10"/>
    </row>
    <row r="447" spans="1:30" ht="15.75" customHeight="1">
      <c r="A447" s="51"/>
      <c r="B447" s="41"/>
      <c r="C447" s="102"/>
      <c r="D447" s="26"/>
      <c r="E447" s="21" t="str">
        <f>IFERROR(VLOOKUP(D447,'DATOS ASIGNACIÓN'!B:I,7,0),"")</f>
        <v/>
      </c>
      <c r="F447" s="21" t="str">
        <f>IFERROR(VLOOKUP(D447,'DATOS ASIGNACIÓN'!B:I,6,0),"")</f>
        <v/>
      </c>
      <c r="G447" s="27"/>
      <c r="H447" s="27"/>
      <c r="I447" s="27"/>
      <c r="J447" s="26"/>
      <c r="K447" s="26"/>
      <c r="L447" s="26"/>
      <c r="M447" s="28"/>
      <c r="N447" s="28"/>
      <c r="O447" s="29"/>
      <c r="P447" s="29"/>
      <c r="Q447" s="29"/>
      <c r="R447" s="29"/>
      <c r="S447" s="29"/>
      <c r="T447" s="29"/>
      <c r="U447" s="29"/>
      <c r="V447" s="10"/>
      <c r="W447" s="10"/>
      <c r="X447" s="10"/>
      <c r="Y447" s="10"/>
      <c r="Z447" s="10"/>
      <c r="AA447" s="10"/>
      <c r="AB447" s="10"/>
      <c r="AC447" s="10"/>
      <c r="AD447" s="10"/>
    </row>
    <row r="448" spans="1:30" ht="15.75" customHeight="1">
      <c r="A448" s="51"/>
      <c r="B448" s="41"/>
      <c r="C448" s="102"/>
      <c r="D448" s="26"/>
      <c r="E448" s="21" t="str">
        <f>IFERROR(VLOOKUP(D448,'DATOS ASIGNACIÓN'!B:I,7,0),"")</f>
        <v/>
      </c>
      <c r="F448" s="21" t="str">
        <f>IFERROR(VLOOKUP(D448,'DATOS ASIGNACIÓN'!B:I,6,0),"")</f>
        <v/>
      </c>
      <c r="G448" s="27"/>
      <c r="H448" s="27"/>
      <c r="I448" s="27"/>
      <c r="J448" s="26"/>
      <c r="K448" s="26"/>
      <c r="L448" s="26"/>
      <c r="M448" s="28"/>
      <c r="N448" s="28"/>
      <c r="O448" s="29"/>
      <c r="P448" s="29"/>
      <c r="Q448" s="29"/>
      <c r="R448" s="29"/>
      <c r="S448" s="29"/>
      <c r="T448" s="29"/>
      <c r="U448" s="29"/>
      <c r="V448" s="10"/>
      <c r="W448" s="10"/>
      <c r="X448" s="10"/>
      <c r="Y448" s="10"/>
      <c r="Z448" s="10"/>
      <c r="AA448" s="10"/>
      <c r="AB448" s="10"/>
      <c r="AC448" s="10"/>
      <c r="AD448" s="10"/>
    </row>
    <row r="449" spans="1:30" ht="15.75" customHeight="1">
      <c r="A449" s="51"/>
      <c r="B449" s="41"/>
      <c r="C449" s="102"/>
      <c r="D449" s="26"/>
      <c r="E449" s="21" t="str">
        <f>IFERROR(VLOOKUP(D449,'DATOS ASIGNACIÓN'!B:I,7,0),"")</f>
        <v/>
      </c>
      <c r="F449" s="21" t="str">
        <f>IFERROR(VLOOKUP(D449,'DATOS ASIGNACIÓN'!B:I,6,0),"")</f>
        <v/>
      </c>
      <c r="G449" s="27"/>
      <c r="H449" s="27"/>
      <c r="I449" s="27"/>
      <c r="J449" s="26"/>
      <c r="K449" s="26"/>
      <c r="L449" s="26"/>
      <c r="M449" s="28"/>
      <c r="N449" s="28"/>
      <c r="O449" s="29"/>
      <c r="P449" s="29"/>
      <c r="Q449" s="29"/>
      <c r="R449" s="29"/>
      <c r="S449" s="29"/>
      <c r="T449" s="29"/>
      <c r="U449" s="29"/>
      <c r="V449" s="10"/>
      <c r="W449" s="10"/>
      <c r="X449" s="10"/>
      <c r="Y449" s="10"/>
      <c r="Z449" s="10"/>
      <c r="AA449" s="10"/>
      <c r="AB449" s="10"/>
      <c r="AC449" s="10"/>
      <c r="AD449" s="10"/>
    </row>
    <row r="450" spans="1:30" ht="15.75" customHeight="1">
      <c r="A450" s="51"/>
      <c r="B450" s="41"/>
      <c r="C450" s="102"/>
      <c r="D450" s="26"/>
      <c r="E450" s="21" t="str">
        <f>IFERROR(VLOOKUP(D450,'DATOS ASIGNACIÓN'!B:I,7,0),"")</f>
        <v/>
      </c>
      <c r="F450" s="21" t="str">
        <f>IFERROR(VLOOKUP(D450,'DATOS ASIGNACIÓN'!B:I,6,0),"")</f>
        <v/>
      </c>
      <c r="G450" s="27"/>
      <c r="H450" s="27"/>
      <c r="I450" s="27"/>
      <c r="J450" s="26"/>
      <c r="K450" s="26"/>
      <c r="L450" s="26"/>
      <c r="M450" s="28"/>
      <c r="N450" s="28"/>
      <c r="O450" s="29"/>
      <c r="P450" s="29"/>
      <c r="Q450" s="29"/>
      <c r="R450" s="29"/>
      <c r="S450" s="29"/>
      <c r="T450" s="29"/>
      <c r="U450" s="29"/>
      <c r="V450" s="10"/>
      <c r="W450" s="10"/>
      <c r="X450" s="10"/>
      <c r="Y450" s="10"/>
      <c r="Z450" s="10"/>
      <c r="AA450" s="10"/>
      <c r="AB450" s="10"/>
      <c r="AC450" s="10"/>
      <c r="AD450" s="10"/>
    </row>
    <row r="451" spans="1:30" ht="15.75" customHeight="1">
      <c r="A451" s="51"/>
      <c r="B451" s="41"/>
      <c r="C451" s="102"/>
      <c r="D451" s="26"/>
      <c r="E451" s="21" t="str">
        <f>IFERROR(VLOOKUP(D451,'DATOS ASIGNACIÓN'!B:I,7,0),"")</f>
        <v/>
      </c>
      <c r="F451" s="21" t="str">
        <f>IFERROR(VLOOKUP(D451,'DATOS ASIGNACIÓN'!B:I,6,0),"")</f>
        <v/>
      </c>
      <c r="G451" s="27"/>
      <c r="H451" s="27"/>
      <c r="I451" s="27"/>
      <c r="J451" s="26"/>
      <c r="K451" s="26"/>
      <c r="L451" s="26"/>
      <c r="M451" s="28"/>
      <c r="N451" s="28"/>
      <c r="O451" s="29"/>
      <c r="P451" s="29"/>
      <c r="Q451" s="29"/>
      <c r="R451" s="29"/>
      <c r="S451" s="29"/>
      <c r="T451" s="29"/>
      <c r="U451" s="29"/>
      <c r="V451" s="10"/>
      <c r="W451" s="10"/>
      <c r="X451" s="10"/>
      <c r="Y451" s="10"/>
      <c r="Z451" s="10"/>
      <c r="AA451" s="10"/>
      <c r="AB451" s="10"/>
      <c r="AC451" s="10"/>
      <c r="AD451" s="10"/>
    </row>
    <row r="452" spans="1:30" ht="15.75" customHeight="1">
      <c r="A452" s="51"/>
      <c r="B452" s="41"/>
      <c r="C452" s="102"/>
      <c r="D452" s="26"/>
      <c r="E452" s="21" t="str">
        <f>IFERROR(VLOOKUP(D452,'DATOS ASIGNACIÓN'!B:I,7,0),"")</f>
        <v/>
      </c>
      <c r="F452" s="21" t="str">
        <f>IFERROR(VLOOKUP(D452,'DATOS ASIGNACIÓN'!B:I,6,0),"")</f>
        <v/>
      </c>
      <c r="G452" s="27"/>
      <c r="H452" s="27"/>
      <c r="I452" s="27"/>
      <c r="J452" s="26"/>
      <c r="K452" s="26"/>
      <c r="L452" s="26"/>
      <c r="M452" s="28"/>
      <c r="N452" s="28"/>
      <c r="O452" s="29"/>
      <c r="P452" s="29"/>
      <c r="Q452" s="29"/>
      <c r="R452" s="29"/>
      <c r="S452" s="29"/>
      <c r="T452" s="29"/>
      <c r="U452" s="29"/>
      <c r="V452" s="10"/>
      <c r="W452" s="10"/>
      <c r="X452" s="10"/>
      <c r="Y452" s="10"/>
      <c r="Z452" s="10"/>
      <c r="AA452" s="10"/>
      <c r="AB452" s="10"/>
      <c r="AC452" s="10"/>
      <c r="AD452" s="10"/>
    </row>
    <row r="453" spans="1:30" ht="15.75" customHeight="1">
      <c r="A453" s="51"/>
      <c r="B453" s="41"/>
      <c r="C453" s="102"/>
      <c r="D453" s="26"/>
      <c r="E453" s="21" t="str">
        <f>IFERROR(VLOOKUP(D453,'DATOS ASIGNACIÓN'!B:I,7,0),"")</f>
        <v/>
      </c>
      <c r="F453" s="21" t="str">
        <f>IFERROR(VLOOKUP(D453,'DATOS ASIGNACIÓN'!B:I,6,0),"")</f>
        <v/>
      </c>
      <c r="G453" s="27"/>
      <c r="H453" s="27"/>
      <c r="I453" s="27"/>
      <c r="J453" s="26"/>
      <c r="K453" s="26"/>
      <c r="L453" s="26"/>
      <c r="M453" s="28"/>
      <c r="N453" s="28"/>
      <c r="O453" s="29"/>
      <c r="P453" s="29"/>
      <c r="Q453" s="29"/>
      <c r="R453" s="29"/>
      <c r="S453" s="29"/>
      <c r="T453" s="29"/>
      <c r="U453" s="29"/>
      <c r="V453" s="10"/>
      <c r="W453" s="10"/>
      <c r="X453" s="10"/>
      <c r="Y453" s="10"/>
      <c r="Z453" s="10"/>
      <c r="AA453" s="10"/>
      <c r="AB453" s="10"/>
      <c r="AC453" s="10"/>
      <c r="AD453" s="10"/>
    </row>
    <row r="454" spans="1:30" ht="15.75" customHeight="1">
      <c r="A454" s="51"/>
      <c r="B454" s="41"/>
      <c r="C454" s="102"/>
      <c r="D454" s="26"/>
      <c r="E454" s="21" t="str">
        <f>IFERROR(VLOOKUP(D454,'DATOS ASIGNACIÓN'!B:I,7,0),"")</f>
        <v/>
      </c>
      <c r="F454" s="21" t="str">
        <f>IFERROR(VLOOKUP(D454,'DATOS ASIGNACIÓN'!B:I,6,0),"")</f>
        <v/>
      </c>
      <c r="G454" s="27"/>
      <c r="H454" s="27"/>
      <c r="I454" s="27"/>
      <c r="J454" s="26"/>
      <c r="K454" s="26"/>
      <c r="L454" s="26"/>
      <c r="M454" s="28"/>
      <c r="N454" s="28"/>
      <c r="O454" s="29"/>
      <c r="P454" s="29"/>
      <c r="Q454" s="29"/>
      <c r="R454" s="29"/>
      <c r="S454" s="29"/>
      <c r="T454" s="29"/>
      <c r="U454" s="29"/>
      <c r="V454" s="10"/>
      <c r="W454" s="10"/>
      <c r="X454" s="10"/>
      <c r="Y454" s="10"/>
      <c r="Z454" s="10"/>
      <c r="AA454" s="10"/>
      <c r="AB454" s="10"/>
      <c r="AC454" s="10"/>
      <c r="AD454" s="10"/>
    </row>
    <row r="455" spans="1:30" ht="15.75" customHeight="1">
      <c r="A455" s="51"/>
      <c r="B455" s="41"/>
      <c r="C455" s="102"/>
      <c r="D455" s="26"/>
      <c r="E455" s="21" t="str">
        <f>IFERROR(VLOOKUP(D455,'DATOS ASIGNACIÓN'!B:I,7,0),"")</f>
        <v/>
      </c>
      <c r="F455" s="21" t="str">
        <f>IFERROR(VLOOKUP(D455,'DATOS ASIGNACIÓN'!B:I,6,0),"")</f>
        <v/>
      </c>
      <c r="G455" s="27"/>
      <c r="H455" s="27"/>
      <c r="I455" s="27"/>
      <c r="J455" s="26"/>
      <c r="K455" s="26"/>
      <c r="L455" s="26"/>
      <c r="M455" s="28"/>
      <c r="N455" s="28"/>
      <c r="O455" s="29"/>
      <c r="P455" s="29"/>
      <c r="Q455" s="29"/>
      <c r="R455" s="29"/>
      <c r="S455" s="29"/>
      <c r="T455" s="29"/>
      <c r="U455" s="29"/>
      <c r="V455" s="10"/>
      <c r="W455" s="10"/>
      <c r="X455" s="10"/>
      <c r="Y455" s="10"/>
      <c r="Z455" s="10"/>
      <c r="AA455" s="10"/>
      <c r="AB455" s="10"/>
      <c r="AC455" s="10"/>
      <c r="AD455" s="10"/>
    </row>
    <row r="456" spans="1:30" ht="15.75" customHeight="1">
      <c r="A456" s="51"/>
      <c r="B456" s="41"/>
      <c r="C456" s="102"/>
      <c r="D456" s="26"/>
      <c r="E456" s="21" t="str">
        <f>IFERROR(VLOOKUP(D456,'DATOS ASIGNACIÓN'!B:I,7,0),"")</f>
        <v/>
      </c>
      <c r="F456" s="21" t="str">
        <f>IFERROR(VLOOKUP(D456,'DATOS ASIGNACIÓN'!B:I,6,0),"")</f>
        <v/>
      </c>
      <c r="G456" s="27"/>
      <c r="H456" s="27"/>
      <c r="I456" s="27"/>
      <c r="J456" s="26"/>
      <c r="K456" s="26"/>
      <c r="L456" s="26"/>
      <c r="M456" s="28"/>
      <c r="N456" s="28"/>
      <c r="O456" s="29"/>
      <c r="P456" s="29"/>
      <c r="Q456" s="29"/>
      <c r="R456" s="29"/>
      <c r="S456" s="29"/>
      <c r="T456" s="29"/>
      <c r="U456" s="29"/>
      <c r="V456" s="10"/>
      <c r="W456" s="10"/>
      <c r="X456" s="10"/>
      <c r="Y456" s="10"/>
      <c r="Z456" s="10"/>
      <c r="AA456" s="10"/>
      <c r="AB456" s="10"/>
      <c r="AC456" s="10"/>
      <c r="AD456" s="10"/>
    </row>
    <row r="457" spans="1:30" ht="15.75" customHeight="1">
      <c r="A457" s="51"/>
      <c r="B457" s="41"/>
      <c r="C457" s="102"/>
      <c r="D457" s="26"/>
      <c r="E457" s="21" t="str">
        <f>IFERROR(VLOOKUP(D457,'DATOS ASIGNACIÓN'!B:I,7,0),"")</f>
        <v/>
      </c>
      <c r="F457" s="21" t="str">
        <f>IFERROR(VLOOKUP(D457,'DATOS ASIGNACIÓN'!B:I,6,0),"")</f>
        <v/>
      </c>
      <c r="G457" s="27"/>
      <c r="H457" s="27"/>
      <c r="I457" s="27"/>
      <c r="J457" s="26"/>
      <c r="K457" s="26"/>
      <c r="L457" s="26"/>
      <c r="M457" s="28"/>
      <c r="N457" s="28"/>
      <c r="O457" s="29"/>
      <c r="P457" s="29"/>
      <c r="Q457" s="29"/>
      <c r="R457" s="29"/>
      <c r="S457" s="29"/>
      <c r="T457" s="29"/>
      <c r="U457" s="29"/>
      <c r="V457" s="10"/>
      <c r="W457" s="10"/>
      <c r="X457" s="10"/>
      <c r="Y457" s="10"/>
      <c r="Z457" s="10"/>
      <c r="AA457" s="10"/>
      <c r="AB457" s="10"/>
      <c r="AC457" s="10"/>
      <c r="AD457" s="10"/>
    </row>
    <row r="458" spans="1:30" ht="15.75" customHeight="1">
      <c r="A458" s="51"/>
      <c r="B458" s="41"/>
      <c r="C458" s="102"/>
      <c r="D458" s="26"/>
      <c r="E458" s="21" t="str">
        <f>IFERROR(VLOOKUP(D458,'DATOS ASIGNACIÓN'!B:I,7,0),"")</f>
        <v/>
      </c>
      <c r="F458" s="21" t="str">
        <f>IFERROR(VLOOKUP(D458,'DATOS ASIGNACIÓN'!B:I,6,0),"")</f>
        <v/>
      </c>
      <c r="G458" s="27"/>
      <c r="H458" s="27"/>
      <c r="I458" s="27"/>
      <c r="J458" s="26"/>
      <c r="K458" s="26"/>
      <c r="L458" s="26"/>
      <c r="M458" s="28"/>
      <c r="N458" s="28"/>
      <c r="O458" s="29"/>
      <c r="P458" s="29"/>
      <c r="Q458" s="29"/>
      <c r="R458" s="29"/>
      <c r="S458" s="29"/>
      <c r="T458" s="29"/>
      <c r="U458" s="29"/>
      <c r="V458" s="10"/>
      <c r="W458" s="10"/>
      <c r="X458" s="10"/>
      <c r="Y458" s="10"/>
      <c r="Z458" s="10"/>
      <c r="AA458" s="10"/>
      <c r="AB458" s="10"/>
      <c r="AC458" s="10"/>
      <c r="AD458" s="10"/>
    </row>
    <row r="459" spans="1:30" ht="15.75" customHeight="1">
      <c r="A459" s="51"/>
      <c r="B459" s="41"/>
      <c r="C459" s="102"/>
      <c r="D459" s="26"/>
      <c r="E459" s="21" t="str">
        <f>IFERROR(VLOOKUP(D459,'DATOS ASIGNACIÓN'!B:I,7,0),"")</f>
        <v/>
      </c>
      <c r="F459" s="21" t="str">
        <f>IFERROR(VLOOKUP(D459,'DATOS ASIGNACIÓN'!B:I,6,0),"")</f>
        <v/>
      </c>
      <c r="G459" s="27"/>
      <c r="H459" s="27"/>
      <c r="I459" s="27"/>
      <c r="J459" s="26"/>
      <c r="K459" s="26"/>
      <c r="L459" s="26"/>
      <c r="M459" s="28"/>
      <c r="N459" s="28"/>
      <c r="O459" s="29"/>
      <c r="P459" s="29"/>
      <c r="Q459" s="29"/>
      <c r="R459" s="29"/>
      <c r="S459" s="29"/>
      <c r="T459" s="29"/>
      <c r="U459" s="29"/>
      <c r="V459" s="10"/>
      <c r="W459" s="10"/>
      <c r="X459" s="10"/>
      <c r="Y459" s="10"/>
      <c r="Z459" s="10"/>
      <c r="AA459" s="10"/>
      <c r="AB459" s="10"/>
      <c r="AC459" s="10"/>
      <c r="AD459" s="10"/>
    </row>
    <row r="460" spans="1:30" ht="15.75" customHeight="1">
      <c r="A460" s="51"/>
      <c r="B460" s="41"/>
      <c r="C460" s="102"/>
      <c r="D460" s="26"/>
      <c r="E460" s="21" t="str">
        <f>IFERROR(VLOOKUP(D460,'DATOS ASIGNACIÓN'!B:I,7,0),"")</f>
        <v/>
      </c>
      <c r="F460" s="21" t="str">
        <f>IFERROR(VLOOKUP(D460,'DATOS ASIGNACIÓN'!B:I,6,0),"")</f>
        <v/>
      </c>
      <c r="G460" s="27"/>
      <c r="H460" s="27"/>
      <c r="I460" s="27"/>
      <c r="J460" s="26"/>
      <c r="K460" s="26"/>
      <c r="L460" s="26"/>
      <c r="M460" s="28"/>
      <c r="N460" s="28"/>
      <c r="O460" s="29"/>
      <c r="P460" s="29"/>
      <c r="Q460" s="29"/>
      <c r="R460" s="29"/>
      <c r="S460" s="29"/>
      <c r="T460" s="29"/>
      <c r="U460" s="29"/>
      <c r="V460" s="10"/>
      <c r="W460" s="10"/>
      <c r="X460" s="10"/>
      <c r="Y460" s="10"/>
      <c r="Z460" s="10"/>
      <c r="AA460" s="10"/>
      <c r="AB460" s="10"/>
      <c r="AC460" s="10"/>
      <c r="AD460" s="10"/>
    </row>
    <row r="461" spans="1:30" ht="15.75" customHeight="1">
      <c r="A461" s="51"/>
      <c r="B461" s="41"/>
      <c r="C461" s="102"/>
      <c r="D461" s="26"/>
      <c r="E461" s="21" t="str">
        <f>IFERROR(VLOOKUP(D461,'DATOS ASIGNACIÓN'!B:I,7,0),"")</f>
        <v/>
      </c>
      <c r="F461" s="21" t="str">
        <f>IFERROR(VLOOKUP(D461,'DATOS ASIGNACIÓN'!B:I,6,0),"")</f>
        <v/>
      </c>
      <c r="G461" s="27"/>
      <c r="H461" s="27"/>
      <c r="I461" s="27"/>
      <c r="J461" s="26"/>
      <c r="K461" s="26"/>
      <c r="L461" s="26"/>
      <c r="M461" s="28"/>
      <c r="N461" s="28"/>
      <c r="O461" s="29"/>
      <c r="P461" s="29"/>
      <c r="Q461" s="29"/>
      <c r="R461" s="29"/>
      <c r="S461" s="29"/>
      <c r="T461" s="29"/>
      <c r="U461" s="29"/>
      <c r="V461" s="10"/>
      <c r="W461" s="10"/>
      <c r="X461" s="10"/>
      <c r="Y461" s="10"/>
      <c r="Z461" s="10"/>
      <c r="AA461" s="10"/>
      <c r="AB461" s="10"/>
      <c r="AC461" s="10"/>
      <c r="AD461" s="10"/>
    </row>
    <row r="462" spans="1:30" ht="15.75" customHeight="1">
      <c r="A462" s="51"/>
      <c r="B462" s="41"/>
      <c r="C462" s="102"/>
      <c r="D462" s="26"/>
      <c r="E462" s="21" t="str">
        <f>IFERROR(VLOOKUP(D462,'DATOS ASIGNACIÓN'!B:I,7,0),"")</f>
        <v/>
      </c>
      <c r="F462" s="21" t="str">
        <f>IFERROR(VLOOKUP(D462,'DATOS ASIGNACIÓN'!B:I,6,0),"")</f>
        <v/>
      </c>
      <c r="G462" s="27"/>
      <c r="H462" s="27"/>
      <c r="I462" s="27"/>
      <c r="J462" s="26"/>
      <c r="K462" s="26"/>
      <c r="L462" s="26"/>
      <c r="M462" s="28"/>
      <c r="N462" s="28"/>
      <c r="O462" s="29"/>
      <c r="P462" s="29"/>
      <c r="Q462" s="29"/>
      <c r="R462" s="29"/>
      <c r="S462" s="29"/>
      <c r="T462" s="29"/>
      <c r="U462" s="29"/>
      <c r="V462" s="10"/>
      <c r="W462" s="10"/>
      <c r="X462" s="10"/>
      <c r="Y462" s="10"/>
      <c r="Z462" s="10"/>
      <c r="AA462" s="10"/>
      <c r="AB462" s="10"/>
      <c r="AC462" s="10"/>
      <c r="AD462" s="10"/>
    </row>
    <row r="463" spans="1:30" ht="15.75" customHeight="1">
      <c r="A463" s="51"/>
      <c r="B463" s="41"/>
      <c r="C463" s="102"/>
      <c r="D463" s="26"/>
      <c r="E463" s="21" t="str">
        <f>IFERROR(VLOOKUP(D463,'DATOS ASIGNACIÓN'!B:I,7,0),"")</f>
        <v/>
      </c>
      <c r="F463" s="21" t="str">
        <f>IFERROR(VLOOKUP(D463,'DATOS ASIGNACIÓN'!B:I,6,0),"")</f>
        <v/>
      </c>
      <c r="G463" s="27"/>
      <c r="H463" s="27"/>
      <c r="I463" s="27"/>
      <c r="J463" s="26"/>
      <c r="K463" s="26"/>
      <c r="L463" s="26"/>
      <c r="M463" s="28"/>
      <c r="N463" s="28"/>
      <c r="O463" s="29"/>
      <c r="P463" s="29"/>
      <c r="Q463" s="29"/>
      <c r="R463" s="29"/>
      <c r="S463" s="29"/>
      <c r="T463" s="29"/>
      <c r="U463" s="29"/>
      <c r="V463" s="10"/>
      <c r="W463" s="10"/>
      <c r="X463" s="10"/>
      <c r="Y463" s="10"/>
      <c r="Z463" s="10"/>
      <c r="AA463" s="10"/>
      <c r="AB463" s="10"/>
      <c r="AC463" s="10"/>
      <c r="AD463" s="10"/>
    </row>
    <row r="464" spans="1:30" ht="15.75" customHeight="1">
      <c r="A464" s="51"/>
      <c r="B464" s="41"/>
      <c r="C464" s="102"/>
      <c r="D464" s="26"/>
      <c r="E464" s="21" t="str">
        <f>IFERROR(VLOOKUP(D464,'DATOS ASIGNACIÓN'!B:I,7,0),"")</f>
        <v/>
      </c>
      <c r="F464" s="21" t="str">
        <f>IFERROR(VLOOKUP(D464,'DATOS ASIGNACIÓN'!B:I,6,0),"")</f>
        <v/>
      </c>
      <c r="G464" s="27"/>
      <c r="H464" s="27"/>
      <c r="I464" s="27"/>
      <c r="J464" s="26"/>
      <c r="K464" s="26"/>
      <c r="L464" s="26"/>
      <c r="M464" s="28"/>
      <c r="N464" s="28"/>
      <c r="O464" s="29"/>
      <c r="P464" s="29"/>
      <c r="Q464" s="29"/>
      <c r="R464" s="29"/>
      <c r="S464" s="29"/>
      <c r="T464" s="29"/>
      <c r="U464" s="29"/>
      <c r="V464" s="10"/>
      <c r="W464" s="10"/>
      <c r="X464" s="10"/>
      <c r="Y464" s="10"/>
      <c r="Z464" s="10"/>
      <c r="AA464" s="10"/>
      <c r="AB464" s="10"/>
      <c r="AC464" s="10"/>
      <c r="AD464" s="10"/>
    </row>
    <row r="465" spans="1:30" ht="15.75" customHeight="1">
      <c r="A465" s="51"/>
      <c r="B465" s="41"/>
      <c r="C465" s="102"/>
      <c r="D465" s="26"/>
      <c r="E465" s="21" t="str">
        <f>IFERROR(VLOOKUP(D465,'DATOS ASIGNACIÓN'!B:I,7,0),"")</f>
        <v/>
      </c>
      <c r="F465" s="21" t="str">
        <f>IFERROR(VLOOKUP(D465,'DATOS ASIGNACIÓN'!B:I,6,0),"")</f>
        <v/>
      </c>
      <c r="G465" s="27"/>
      <c r="H465" s="27"/>
      <c r="I465" s="27"/>
      <c r="J465" s="26"/>
      <c r="K465" s="26"/>
      <c r="L465" s="26"/>
      <c r="M465" s="28"/>
      <c r="N465" s="28"/>
      <c r="O465" s="29"/>
      <c r="P465" s="29"/>
      <c r="Q465" s="29"/>
      <c r="R465" s="29"/>
      <c r="S465" s="29"/>
      <c r="T465" s="29"/>
      <c r="U465" s="29"/>
      <c r="V465" s="10"/>
      <c r="W465" s="10"/>
      <c r="X465" s="10"/>
      <c r="Y465" s="10"/>
      <c r="Z465" s="10"/>
      <c r="AA465" s="10"/>
      <c r="AB465" s="10"/>
      <c r="AC465" s="10"/>
      <c r="AD465" s="10"/>
    </row>
    <row r="466" spans="1:30" ht="15.75" customHeight="1">
      <c r="A466" s="51"/>
      <c r="B466" s="41"/>
      <c r="C466" s="102"/>
      <c r="D466" s="26"/>
      <c r="E466" s="21" t="str">
        <f>IFERROR(VLOOKUP(D466,'DATOS ASIGNACIÓN'!B:I,7,0),"")</f>
        <v/>
      </c>
      <c r="F466" s="21" t="str">
        <f>IFERROR(VLOOKUP(D466,'DATOS ASIGNACIÓN'!B:I,6,0),"")</f>
        <v/>
      </c>
      <c r="G466" s="27"/>
      <c r="H466" s="27"/>
      <c r="I466" s="27"/>
      <c r="J466" s="26"/>
      <c r="K466" s="26"/>
      <c r="L466" s="26"/>
      <c r="M466" s="28"/>
      <c r="N466" s="28"/>
      <c r="O466" s="29"/>
      <c r="P466" s="29"/>
      <c r="Q466" s="29"/>
      <c r="R466" s="29"/>
      <c r="S466" s="29"/>
      <c r="T466" s="29"/>
      <c r="U466" s="29"/>
      <c r="V466" s="10"/>
      <c r="W466" s="10"/>
      <c r="X466" s="10"/>
      <c r="Y466" s="10"/>
      <c r="Z466" s="10"/>
      <c r="AA466" s="10"/>
      <c r="AB466" s="10"/>
      <c r="AC466" s="10"/>
      <c r="AD466" s="10"/>
    </row>
    <row r="467" spans="1:30" ht="15.75" customHeight="1">
      <c r="A467" s="51"/>
      <c r="B467" s="41"/>
      <c r="C467" s="102"/>
      <c r="D467" s="26"/>
      <c r="E467" s="21" t="str">
        <f>IFERROR(VLOOKUP(D467,'DATOS ASIGNACIÓN'!B:I,7,0),"")</f>
        <v/>
      </c>
      <c r="F467" s="21" t="str">
        <f>IFERROR(VLOOKUP(D467,'DATOS ASIGNACIÓN'!B:I,6,0),"")</f>
        <v/>
      </c>
      <c r="G467" s="27"/>
      <c r="H467" s="27"/>
      <c r="I467" s="27"/>
      <c r="J467" s="26"/>
      <c r="K467" s="26"/>
      <c r="L467" s="26"/>
      <c r="M467" s="28"/>
      <c r="N467" s="28"/>
      <c r="O467" s="29"/>
      <c r="P467" s="29"/>
      <c r="Q467" s="29"/>
      <c r="R467" s="29"/>
      <c r="S467" s="29"/>
      <c r="T467" s="29"/>
      <c r="U467" s="29"/>
      <c r="V467" s="10"/>
      <c r="W467" s="10"/>
      <c r="X467" s="10"/>
      <c r="Y467" s="10"/>
      <c r="Z467" s="10"/>
      <c r="AA467" s="10"/>
      <c r="AB467" s="10"/>
      <c r="AC467" s="10"/>
      <c r="AD467" s="10"/>
    </row>
    <row r="468" spans="1:30" ht="15.75" customHeight="1">
      <c r="A468" s="51"/>
      <c r="B468" s="41"/>
      <c r="C468" s="102"/>
      <c r="D468" s="26"/>
      <c r="E468" s="21" t="str">
        <f>IFERROR(VLOOKUP(D468,'DATOS ASIGNACIÓN'!B:I,7,0),"")</f>
        <v/>
      </c>
      <c r="F468" s="21" t="str">
        <f>IFERROR(VLOOKUP(D468,'DATOS ASIGNACIÓN'!B:I,6,0),"")</f>
        <v/>
      </c>
      <c r="G468" s="27"/>
      <c r="H468" s="27"/>
      <c r="I468" s="27"/>
      <c r="J468" s="26"/>
      <c r="K468" s="26"/>
      <c r="L468" s="26"/>
      <c r="M468" s="28"/>
      <c r="N468" s="28"/>
      <c r="O468" s="29"/>
      <c r="P468" s="29"/>
      <c r="Q468" s="29"/>
      <c r="R468" s="29"/>
      <c r="S468" s="29"/>
      <c r="T468" s="29"/>
      <c r="U468" s="29"/>
      <c r="V468" s="10"/>
      <c r="W468" s="10"/>
      <c r="X468" s="10"/>
      <c r="Y468" s="10"/>
      <c r="Z468" s="10"/>
      <c r="AA468" s="10"/>
      <c r="AB468" s="10"/>
      <c r="AC468" s="10"/>
      <c r="AD468" s="10"/>
    </row>
    <row r="469" spans="1:30" ht="15.75" customHeight="1">
      <c r="A469" s="51"/>
      <c r="B469" s="41"/>
      <c r="C469" s="102"/>
      <c r="D469" s="26"/>
      <c r="E469" s="21" t="str">
        <f>IFERROR(VLOOKUP(D469,'DATOS ASIGNACIÓN'!B:I,7,0),"")</f>
        <v/>
      </c>
      <c r="F469" s="21" t="str">
        <f>IFERROR(VLOOKUP(D469,'DATOS ASIGNACIÓN'!B:I,6,0),"")</f>
        <v/>
      </c>
      <c r="G469" s="27"/>
      <c r="H469" s="27"/>
      <c r="I469" s="27"/>
      <c r="J469" s="26"/>
      <c r="K469" s="26"/>
      <c r="L469" s="26"/>
      <c r="M469" s="28"/>
      <c r="N469" s="28"/>
      <c r="O469" s="29"/>
      <c r="P469" s="29"/>
      <c r="Q469" s="29"/>
      <c r="R469" s="29"/>
      <c r="S469" s="29"/>
      <c r="T469" s="29"/>
      <c r="U469" s="29"/>
      <c r="V469" s="10"/>
      <c r="W469" s="10"/>
      <c r="X469" s="10"/>
      <c r="Y469" s="10"/>
      <c r="Z469" s="10"/>
      <c r="AA469" s="10"/>
      <c r="AB469" s="10"/>
      <c r="AC469" s="10"/>
      <c r="AD469" s="10"/>
    </row>
    <row r="470" spans="1:30" ht="15.75" customHeight="1">
      <c r="A470" s="51"/>
      <c r="B470" s="41"/>
      <c r="C470" s="102"/>
      <c r="D470" s="26"/>
      <c r="E470" s="21" t="str">
        <f>IFERROR(VLOOKUP(D470,'DATOS ASIGNACIÓN'!B:I,7,0),"")</f>
        <v/>
      </c>
      <c r="F470" s="21" t="str">
        <f>IFERROR(VLOOKUP(D470,'DATOS ASIGNACIÓN'!B:I,6,0),"")</f>
        <v/>
      </c>
      <c r="G470" s="27"/>
      <c r="H470" s="27"/>
      <c r="I470" s="27"/>
      <c r="J470" s="26"/>
      <c r="K470" s="26"/>
      <c r="L470" s="26"/>
      <c r="M470" s="28"/>
      <c r="N470" s="28"/>
      <c r="O470" s="29"/>
      <c r="P470" s="29"/>
      <c r="Q470" s="29"/>
      <c r="R470" s="29"/>
      <c r="S470" s="29"/>
      <c r="T470" s="29"/>
      <c r="U470" s="29"/>
      <c r="V470" s="10"/>
      <c r="W470" s="10"/>
      <c r="X470" s="10"/>
      <c r="Y470" s="10"/>
      <c r="Z470" s="10"/>
      <c r="AA470" s="10"/>
      <c r="AB470" s="10"/>
      <c r="AC470" s="10"/>
      <c r="AD470" s="10"/>
    </row>
    <row r="471" spans="1:30" ht="15.75" customHeight="1">
      <c r="A471" s="51"/>
      <c r="B471" s="41"/>
      <c r="C471" s="102"/>
      <c r="D471" s="26"/>
      <c r="E471" s="21" t="str">
        <f>IFERROR(VLOOKUP(D471,'DATOS ASIGNACIÓN'!B:I,7,0),"")</f>
        <v/>
      </c>
      <c r="F471" s="21" t="str">
        <f>IFERROR(VLOOKUP(D471,'DATOS ASIGNACIÓN'!B:I,6,0),"")</f>
        <v/>
      </c>
      <c r="G471" s="27"/>
      <c r="H471" s="27"/>
      <c r="I471" s="27"/>
      <c r="J471" s="26"/>
      <c r="K471" s="26"/>
      <c r="L471" s="26"/>
      <c r="M471" s="28"/>
      <c r="N471" s="28"/>
      <c r="O471" s="29"/>
      <c r="P471" s="29"/>
      <c r="Q471" s="29"/>
      <c r="R471" s="29"/>
      <c r="S471" s="29"/>
      <c r="T471" s="29"/>
      <c r="U471" s="29"/>
      <c r="V471" s="10"/>
      <c r="W471" s="10"/>
      <c r="X471" s="10"/>
      <c r="Y471" s="10"/>
      <c r="Z471" s="10"/>
      <c r="AA471" s="10"/>
      <c r="AB471" s="10"/>
      <c r="AC471" s="10"/>
      <c r="AD471" s="10"/>
    </row>
    <row r="472" spans="1:30" ht="15.75" customHeight="1">
      <c r="A472" s="51"/>
      <c r="B472" s="41"/>
      <c r="C472" s="102"/>
      <c r="D472" s="26"/>
      <c r="E472" s="21" t="str">
        <f>IFERROR(VLOOKUP(D472,'DATOS ASIGNACIÓN'!B:I,7,0),"")</f>
        <v/>
      </c>
      <c r="F472" s="21" t="str">
        <f>IFERROR(VLOOKUP(D472,'DATOS ASIGNACIÓN'!B:I,6,0),"")</f>
        <v/>
      </c>
      <c r="G472" s="27"/>
      <c r="H472" s="27"/>
      <c r="I472" s="27"/>
      <c r="J472" s="26"/>
      <c r="K472" s="26"/>
      <c r="L472" s="26"/>
      <c r="M472" s="28"/>
      <c r="N472" s="28"/>
      <c r="O472" s="29"/>
      <c r="P472" s="29"/>
      <c r="Q472" s="29"/>
      <c r="R472" s="29"/>
      <c r="S472" s="29"/>
      <c r="T472" s="29"/>
      <c r="U472" s="29"/>
      <c r="V472" s="10"/>
      <c r="W472" s="10"/>
      <c r="X472" s="10"/>
      <c r="Y472" s="10"/>
      <c r="Z472" s="10"/>
      <c r="AA472" s="10"/>
      <c r="AB472" s="10"/>
      <c r="AC472" s="10"/>
      <c r="AD472" s="10"/>
    </row>
    <row r="473" spans="1:30" ht="15.75" customHeight="1">
      <c r="A473" s="51"/>
      <c r="B473" s="41"/>
      <c r="C473" s="102"/>
      <c r="D473" s="26"/>
      <c r="E473" s="21" t="str">
        <f>IFERROR(VLOOKUP(D473,'DATOS ASIGNACIÓN'!B:I,7,0),"")</f>
        <v/>
      </c>
      <c r="F473" s="21" t="str">
        <f>IFERROR(VLOOKUP(D473,'DATOS ASIGNACIÓN'!B:I,6,0),"")</f>
        <v/>
      </c>
      <c r="G473" s="27"/>
      <c r="H473" s="27"/>
      <c r="I473" s="27"/>
      <c r="J473" s="26"/>
      <c r="K473" s="26"/>
      <c r="L473" s="26"/>
      <c r="M473" s="28"/>
      <c r="N473" s="28"/>
      <c r="O473" s="29"/>
      <c r="P473" s="29"/>
      <c r="Q473" s="29"/>
      <c r="R473" s="29"/>
      <c r="S473" s="29"/>
      <c r="T473" s="29"/>
      <c r="U473" s="29"/>
      <c r="V473" s="10"/>
      <c r="W473" s="10"/>
      <c r="X473" s="10"/>
      <c r="Y473" s="10"/>
      <c r="Z473" s="10"/>
      <c r="AA473" s="10"/>
      <c r="AB473" s="10"/>
      <c r="AC473" s="10"/>
      <c r="AD473" s="10"/>
    </row>
    <row r="474" spans="1:30" ht="15.75" customHeight="1">
      <c r="A474" s="51"/>
      <c r="B474" s="41"/>
      <c r="C474" s="102"/>
      <c r="D474" s="26"/>
      <c r="E474" s="21" t="str">
        <f>IFERROR(VLOOKUP(D474,'DATOS ASIGNACIÓN'!B:I,7,0),"")</f>
        <v/>
      </c>
      <c r="F474" s="21" t="str">
        <f>IFERROR(VLOOKUP(D474,'DATOS ASIGNACIÓN'!B:I,6,0),"")</f>
        <v/>
      </c>
      <c r="G474" s="27"/>
      <c r="H474" s="27"/>
      <c r="I474" s="27"/>
      <c r="J474" s="26"/>
      <c r="K474" s="26"/>
      <c r="L474" s="26"/>
      <c r="M474" s="28"/>
      <c r="N474" s="28"/>
      <c r="O474" s="29"/>
      <c r="P474" s="29"/>
      <c r="Q474" s="29"/>
      <c r="R474" s="29"/>
      <c r="S474" s="29"/>
      <c r="T474" s="29"/>
      <c r="U474" s="29"/>
      <c r="V474" s="10"/>
      <c r="W474" s="10"/>
      <c r="X474" s="10"/>
      <c r="Y474" s="10"/>
      <c r="Z474" s="10"/>
      <c r="AA474" s="10"/>
      <c r="AB474" s="10"/>
      <c r="AC474" s="10"/>
      <c r="AD474" s="10"/>
    </row>
    <row r="475" spans="1:30" ht="15.75" customHeight="1">
      <c r="A475" s="51"/>
      <c r="B475" s="41"/>
      <c r="C475" s="102"/>
      <c r="D475" s="26"/>
      <c r="E475" s="21" t="str">
        <f>IFERROR(VLOOKUP(D475,'DATOS ASIGNACIÓN'!B:I,7,0),"")</f>
        <v/>
      </c>
      <c r="F475" s="21" t="str">
        <f>IFERROR(VLOOKUP(D475,'DATOS ASIGNACIÓN'!B:I,6,0),"")</f>
        <v/>
      </c>
      <c r="G475" s="27"/>
      <c r="H475" s="27"/>
      <c r="I475" s="27"/>
      <c r="J475" s="26"/>
      <c r="K475" s="26"/>
      <c r="L475" s="26"/>
      <c r="M475" s="28"/>
      <c r="N475" s="28"/>
      <c r="O475" s="29"/>
      <c r="P475" s="29"/>
      <c r="Q475" s="29"/>
      <c r="R475" s="29"/>
      <c r="S475" s="29"/>
      <c r="T475" s="29"/>
      <c r="U475" s="29"/>
      <c r="V475" s="10"/>
      <c r="W475" s="10"/>
      <c r="X475" s="10"/>
      <c r="Y475" s="10"/>
      <c r="Z475" s="10"/>
      <c r="AA475" s="10"/>
      <c r="AB475" s="10"/>
      <c r="AC475" s="10"/>
      <c r="AD475" s="10"/>
    </row>
    <row r="476" spans="1:30" ht="15.75" customHeight="1">
      <c r="A476" s="51"/>
      <c r="B476" s="41"/>
      <c r="C476" s="102"/>
      <c r="D476" s="26"/>
      <c r="E476" s="21" t="str">
        <f>IFERROR(VLOOKUP(D476,'DATOS ASIGNACIÓN'!B:I,7,0),"")</f>
        <v/>
      </c>
      <c r="F476" s="21" t="str">
        <f>IFERROR(VLOOKUP(D476,'DATOS ASIGNACIÓN'!B:I,6,0),"")</f>
        <v/>
      </c>
      <c r="G476" s="27"/>
      <c r="H476" s="27"/>
      <c r="I476" s="27"/>
      <c r="J476" s="26"/>
      <c r="K476" s="26"/>
      <c r="L476" s="26"/>
      <c r="M476" s="28"/>
      <c r="N476" s="28"/>
      <c r="O476" s="29"/>
      <c r="P476" s="29"/>
      <c r="Q476" s="29"/>
      <c r="R476" s="29"/>
      <c r="S476" s="29"/>
      <c r="T476" s="29"/>
      <c r="U476" s="29"/>
      <c r="V476" s="10"/>
      <c r="W476" s="10"/>
      <c r="X476" s="10"/>
      <c r="Y476" s="10"/>
      <c r="Z476" s="10"/>
      <c r="AA476" s="10"/>
      <c r="AB476" s="10"/>
      <c r="AC476" s="10"/>
      <c r="AD476" s="10"/>
    </row>
    <row r="477" spans="1:30" ht="15.75" customHeight="1">
      <c r="A477" s="51"/>
      <c r="B477" s="41"/>
      <c r="C477" s="102"/>
      <c r="D477" s="26"/>
      <c r="E477" s="21" t="str">
        <f>IFERROR(VLOOKUP(D477,'DATOS ASIGNACIÓN'!B:I,7,0),"")</f>
        <v/>
      </c>
      <c r="F477" s="21" t="str">
        <f>IFERROR(VLOOKUP(D477,'DATOS ASIGNACIÓN'!B:I,6,0),"")</f>
        <v/>
      </c>
      <c r="G477" s="27"/>
      <c r="H477" s="27"/>
      <c r="I477" s="27"/>
      <c r="J477" s="26"/>
      <c r="K477" s="26"/>
      <c r="L477" s="26"/>
      <c r="M477" s="28"/>
      <c r="N477" s="28"/>
      <c r="O477" s="29"/>
      <c r="P477" s="29"/>
      <c r="Q477" s="29"/>
      <c r="R477" s="29"/>
      <c r="S477" s="29"/>
      <c r="T477" s="29"/>
      <c r="U477" s="29"/>
      <c r="V477" s="10"/>
      <c r="W477" s="10"/>
      <c r="X477" s="10"/>
      <c r="Y477" s="10"/>
      <c r="Z477" s="10"/>
      <c r="AA477" s="10"/>
      <c r="AB477" s="10"/>
      <c r="AC477" s="10"/>
      <c r="AD477" s="10"/>
    </row>
    <row r="478" spans="1:30" ht="15.75" customHeight="1">
      <c r="A478" s="51"/>
      <c r="B478" s="41"/>
      <c r="C478" s="102"/>
      <c r="D478" s="26"/>
      <c r="E478" s="21" t="str">
        <f>IFERROR(VLOOKUP(D478,'DATOS ASIGNACIÓN'!B:I,7,0),"")</f>
        <v/>
      </c>
      <c r="F478" s="21" t="str">
        <f>IFERROR(VLOOKUP(D478,'DATOS ASIGNACIÓN'!B:I,6,0),"")</f>
        <v/>
      </c>
      <c r="G478" s="27"/>
      <c r="H478" s="27"/>
      <c r="I478" s="27"/>
      <c r="J478" s="26"/>
      <c r="K478" s="26"/>
      <c r="L478" s="26"/>
      <c r="M478" s="28"/>
      <c r="N478" s="28"/>
      <c r="O478" s="29"/>
      <c r="P478" s="29"/>
      <c r="Q478" s="29"/>
      <c r="R478" s="29"/>
      <c r="S478" s="29"/>
      <c r="T478" s="29"/>
      <c r="U478" s="29"/>
      <c r="V478" s="10"/>
      <c r="W478" s="10"/>
      <c r="X478" s="10"/>
      <c r="Y478" s="10"/>
      <c r="Z478" s="10"/>
      <c r="AA478" s="10"/>
      <c r="AB478" s="10"/>
      <c r="AC478" s="10"/>
      <c r="AD478" s="10"/>
    </row>
    <row r="479" spans="1:30" ht="15.75" customHeight="1">
      <c r="A479" s="51"/>
      <c r="B479" s="41"/>
      <c r="C479" s="102"/>
      <c r="D479" s="26"/>
      <c r="E479" s="21" t="str">
        <f>IFERROR(VLOOKUP(D479,'DATOS ASIGNACIÓN'!B:I,7,0),"")</f>
        <v/>
      </c>
      <c r="F479" s="21" t="str">
        <f>IFERROR(VLOOKUP(D479,'DATOS ASIGNACIÓN'!B:I,6,0),"")</f>
        <v/>
      </c>
      <c r="G479" s="27"/>
      <c r="H479" s="27"/>
      <c r="I479" s="27"/>
      <c r="J479" s="26"/>
      <c r="K479" s="26"/>
      <c r="L479" s="26"/>
      <c r="M479" s="28"/>
      <c r="N479" s="28"/>
      <c r="O479" s="29"/>
      <c r="P479" s="29"/>
      <c r="Q479" s="29"/>
      <c r="R479" s="29"/>
      <c r="S479" s="29"/>
      <c r="T479" s="29"/>
      <c r="U479" s="29"/>
      <c r="V479" s="10"/>
      <c r="W479" s="10"/>
      <c r="X479" s="10"/>
      <c r="Y479" s="10"/>
      <c r="Z479" s="10"/>
      <c r="AA479" s="10"/>
      <c r="AB479" s="10"/>
      <c r="AC479" s="10"/>
      <c r="AD479" s="10"/>
    </row>
    <row r="480" spans="1:30" ht="15.75" customHeight="1">
      <c r="A480" s="51"/>
      <c r="B480" s="41"/>
      <c r="C480" s="102"/>
      <c r="D480" s="26"/>
      <c r="E480" s="21" t="str">
        <f>IFERROR(VLOOKUP(D480,'DATOS ASIGNACIÓN'!B:I,7,0),"")</f>
        <v/>
      </c>
      <c r="F480" s="21" t="str">
        <f>IFERROR(VLOOKUP(D480,'DATOS ASIGNACIÓN'!B:I,6,0),"")</f>
        <v/>
      </c>
      <c r="G480" s="27"/>
      <c r="H480" s="27"/>
      <c r="I480" s="27"/>
      <c r="J480" s="26"/>
      <c r="K480" s="26"/>
      <c r="L480" s="26"/>
      <c r="M480" s="28"/>
      <c r="N480" s="28"/>
      <c r="O480" s="29"/>
      <c r="P480" s="29"/>
      <c r="Q480" s="29"/>
      <c r="R480" s="29"/>
      <c r="S480" s="29"/>
      <c r="T480" s="29"/>
      <c r="U480" s="29"/>
      <c r="V480" s="10"/>
      <c r="W480" s="10"/>
      <c r="X480" s="10"/>
      <c r="Y480" s="10"/>
      <c r="Z480" s="10"/>
      <c r="AA480" s="10"/>
      <c r="AB480" s="10"/>
      <c r="AC480" s="10"/>
      <c r="AD480" s="10"/>
    </row>
    <row r="481" spans="1:30" ht="15.75" customHeight="1">
      <c r="A481" s="51"/>
      <c r="B481" s="41"/>
      <c r="C481" s="102"/>
      <c r="D481" s="26"/>
      <c r="E481" s="21" t="str">
        <f>IFERROR(VLOOKUP(D481,'DATOS ASIGNACIÓN'!B:I,7,0),"")</f>
        <v/>
      </c>
      <c r="F481" s="21" t="str">
        <f>IFERROR(VLOOKUP(D481,'DATOS ASIGNACIÓN'!B:I,6,0),"")</f>
        <v/>
      </c>
      <c r="G481" s="27"/>
      <c r="H481" s="27"/>
      <c r="I481" s="27"/>
      <c r="J481" s="26"/>
      <c r="K481" s="26"/>
      <c r="L481" s="26"/>
      <c r="M481" s="28"/>
      <c r="N481" s="28"/>
      <c r="O481" s="29"/>
      <c r="P481" s="29"/>
      <c r="Q481" s="29"/>
      <c r="R481" s="29"/>
      <c r="S481" s="29"/>
      <c r="T481" s="29"/>
      <c r="U481" s="29"/>
      <c r="V481" s="10"/>
      <c r="W481" s="10"/>
      <c r="X481" s="10"/>
      <c r="Y481" s="10"/>
      <c r="Z481" s="10"/>
      <c r="AA481" s="10"/>
      <c r="AB481" s="10"/>
      <c r="AC481" s="10"/>
      <c r="AD481" s="10"/>
    </row>
    <row r="482" spans="1:30" ht="15.75" customHeight="1">
      <c r="A482" s="51"/>
      <c r="B482" s="41"/>
      <c r="C482" s="102"/>
      <c r="D482" s="26"/>
      <c r="E482" s="21" t="str">
        <f>IFERROR(VLOOKUP(D482,'DATOS ASIGNACIÓN'!B:I,7,0),"")</f>
        <v/>
      </c>
      <c r="F482" s="21" t="str">
        <f>IFERROR(VLOOKUP(D482,'DATOS ASIGNACIÓN'!B:I,6,0),"")</f>
        <v/>
      </c>
      <c r="G482" s="27"/>
      <c r="H482" s="27"/>
      <c r="I482" s="27"/>
      <c r="J482" s="26"/>
      <c r="K482" s="26"/>
      <c r="L482" s="26"/>
      <c r="M482" s="28"/>
      <c r="N482" s="28"/>
      <c r="O482" s="29"/>
      <c r="P482" s="29"/>
      <c r="Q482" s="29"/>
      <c r="R482" s="29"/>
      <c r="S482" s="29"/>
      <c r="T482" s="29"/>
      <c r="U482" s="29"/>
      <c r="V482" s="10"/>
      <c r="W482" s="10"/>
      <c r="X482" s="10"/>
      <c r="Y482" s="10"/>
      <c r="Z482" s="10"/>
      <c r="AA482" s="10"/>
      <c r="AB482" s="10"/>
      <c r="AC482" s="10"/>
      <c r="AD482" s="10"/>
    </row>
    <row r="483" spans="1:30" ht="15.75" customHeight="1">
      <c r="A483" s="51"/>
      <c r="B483" s="41"/>
      <c r="C483" s="102"/>
      <c r="D483" s="26"/>
      <c r="E483" s="21" t="str">
        <f>IFERROR(VLOOKUP(D483,'DATOS ASIGNACIÓN'!B:I,7,0),"")</f>
        <v/>
      </c>
      <c r="F483" s="21" t="str">
        <f>IFERROR(VLOOKUP(D483,'DATOS ASIGNACIÓN'!B:I,6,0),"")</f>
        <v/>
      </c>
      <c r="G483" s="27"/>
      <c r="H483" s="27"/>
      <c r="I483" s="27"/>
      <c r="J483" s="26"/>
      <c r="K483" s="26"/>
      <c r="L483" s="26"/>
      <c r="M483" s="28"/>
      <c r="N483" s="28"/>
      <c r="O483" s="29"/>
      <c r="P483" s="29"/>
      <c r="Q483" s="29"/>
      <c r="R483" s="29"/>
      <c r="S483" s="29"/>
      <c r="T483" s="29"/>
      <c r="U483" s="29"/>
      <c r="V483" s="10"/>
      <c r="W483" s="10"/>
      <c r="X483" s="10"/>
      <c r="Y483" s="10"/>
      <c r="Z483" s="10"/>
      <c r="AA483" s="10"/>
      <c r="AB483" s="10"/>
      <c r="AC483" s="10"/>
      <c r="AD483" s="10"/>
    </row>
    <row r="484" spans="1:30" ht="15.75" customHeight="1">
      <c r="A484" s="51"/>
      <c r="B484" s="41"/>
      <c r="C484" s="102"/>
      <c r="D484" s="26"/>
      <c r="E484" s="21" t="str">
        <f>IFERROR(VLOOKUP(D484,'DATOS ASIGNACIÓN'!B:I,7,0),"")</f>
        <v/>
      </c>
      <c r="F484" s="21" t="str">
        <f>IFERROR(VLOOKUP(D484,'DATOS ASIGNACIÓN'!B:I,6,0),"")</f>
        <v/>
      </c>
      <c r="G484" s="27"/>
      <c r="H484" s="27"/>
      <c r="I484" s="27"/>
      <c r="J484" s="26"/>
      <c r="K484" s="26"/>
      <c r="L484" s="26"/>
      <c r="M484" s="28"/>
      <c r="N484" s="28"/>
      <c r="O484" s="29"/>
      <c r="P484" s="29"/>
      <c r="Q484" s="29"/>
      <c r="R484" s="29"/>
      <c r="S484" s="29"/>
      <c r="T484" s="29"/>
      <c r="U484" s="29"/>
      <c r="V484" s="10"/>
      <c r="W484" s="10"/>
      <c r="X484" s="10"/>
      <c r="Y484" s="10"/>
      <c r="Z484" s="10"/>
      <c r="AA484" s="10"/>
      <c r="AB484" s="10"/>
      <c r="AC484" s="10"/>
      <c r="AD484" s="10"/>
    </row>
    <row r="485" spans="1:30" ht="15.75" customHeight="1">
      <c r="A485" s="51"/>
      <c r="B485" s="41"/>
      <c r="C485" s="102"/>
      <c r="D485" s="26"/>
      <c r="E485" s="21" t="str">
        <f>IFERROR(VLOOKUP(D485,'DATOS ASIGNACIÓN'!B:I,7,0),"")</f>
        <v/>
      </c>
      <c r="F485" s="21" t="str">
        <f>IFERROR(VLOOKUP(D485,'DATOS ASIGNACIÓN'!B:I,6,0),"")</f>
        <v/>
      </c>
      <c r="G485" s="27"/>
      <c r="H485" s="27"/>
      <c r="I485" s="27"/>
      <c r="J485" s="26"/>
      <c r="K485" s="26"/>
      <c r="L485" s="26"/>
      <c r="M485" s="28"/>
      <c r="N485" s="28"/>
      <c r="O485" s="29"/>
      <c r="P485" s="29"/>
      <c r="Q485" s="29"/>
      <c r="R485" s="29"/>
      <c r="S485" s="29"/>
      <c r="T485" s="29"/>
      <c r="U485" s="29"/>
      <c r="V485" s="10"/>
      <c r="W485" s="10"/>
      <c r="X485" s="10"/>
      <c r="Y485" s="10"/>
      <c r="Z485" s="10"/>
      <c r="AA485" s="10"/>
      <c r="AB485" s="10"/>
      <c r="AC485" s="10"/>
      <c r="AD485" s="10"/>
    </row>
    <row r="486" spans="1:30" ht="15.75" customHeight="1">
      <c r="A486" s="51"/>
      <c r="B486" s="41"/>
      <c r="C486" s="102"/>
      <c r="D486" s="26"/>
      <c r="E486" s="21" t="str">
        <f>IFERROR(VLOOKUP(D486,'DATOS ASIGNACIÓN'!B:I,7,0),"")</f>
        <v/>
      </c>
      <c r="F486" s="21" t="str">
        <f>IFERROR(VLOOKUP(D486,'DATOS ASIGNACIÓN'!B:I,6,0),"")</f>
        <v/>
      </c>
      <c r="G486" s="27"/>
      <c r="H486" s="27"/>
      <c r="I486" s="27"/>
      <c r="J486" s="26"/>
      <c r="K486" s="26"/>
      <c r="L486" s="26"/>
      <c r="M486" s="28"/>
      <c r="N486" s="28"/>
      <c r="O486" s="29"/>
      <c r="P486" s="29"/>
      <c r="Q486" s="29"/>
      <c r="R486" s="29"/>
      <c r="S486" s="29"/>
      <c r="T486" s="29"/>
      <c r="U486" s="29"/>
      <c r="V486" s="10"/>
      <c r="W486" s="10"/>
      <c r="X486" s="10"/>
      <c r="Y486" s="10"/>
      <c r="Z486" s="10"/>
      <c r="AA486" s="10"/>
      <c r="AB486" s="10"/>
      <c r="AC486" s="10"/>
      <c r="AD486" s="10"/>
    </row>
    <row r="487" spans="1:30" ht="15.75" customHeight="1">
      <c r="A487" s="51"/>
      <c r="B487" s="41"/>
      <c r="C487" s="102"/>
      <c r="D487" s="26"/>
      <c r="E487" s="21" t="str">
        <f>IFERROR(VLOOKUP(D487,'DATOS ASIGNACIÓN'!B:I,7,0),"")</f>
        <v/>
      </c>
      <c r="F487" s="21" t="str">
        <f>IFERROR(VLOOKUP(D487,'DATOS ASIGNACIÓN'!B:I,6,0),"")</f>
        <v/>
      </c>
      <c r="G487" s="27"/>
      <c r="H487" s="27"/>
      <c r="I487" s="27"/>
      <c r="J487" s="26"/>
      <c r="K487" s="26"/>
      <c r="L487" s="26"/>
      <c r="M487" s="28"/>
      <c r="N487" s="28"/>
      <c r="O487" s="29"/>
      <c r="P487" s="29"/>
      <c r="Q487" s="29"/>
      <c r="R487" s="29"/>
      <c r="S487" s="29"/>
      <c r="T487" s="29"/>
      <c r="U487" s="29"/>
      <c r="V487" s="10"/>
      <c r="W487" s="10"/>
      <c r="X487" s="10"/>
      <c r="Y487" s="10"/>
      <c r="Z487" s="10"/>
      <c r="AA487" s="10"/>
      <c r="AB487" s="10"/>
      <c r="AC487" s="10"/>
      <c r="AD487" s="10"/>
    </row>
    <row r="488" spans="1:30" ht="15.75" customHeight="1">
      <c r="A488" s="51"/>
      <c r="B488" s="41"/>
      <c r="C488" s="102"/>
      <c r="D488" s="26"/>
      <c r="E488" s="21" t="str">
        <f>IFERROR(VLOOKUP(D488,'DATOS ASIGNACIÓN'!B:I,7,0),"")</f>
        <v/>
      </c>
      <c r="F488" s="21" t="str">
        <f>IFERROR(VLOOKUP(D488,'DATOS ASIGNACIÓN'!B:I,6,0),"")</f>
        <v/>
      </c>
      <c r="G488" s="27"/>
      <c r="H488" s="27"/>
      <c r="I488" s="27"/>
      <c r="J488" s="26"/>
      <c r="K488" s="26"/>
      <c r="L488" s="26"/>
      <c r="M488" s="28"/>
      <c r="N488" s="28"/>
      <c r="O488" s="29"/>
      <c r="P488" s="29"/>
      <c r="Q488" s="29"/>
      <c r="R488" s="29"/>
      <c r="S488" s="29"/>
      <c r="T488" s="29"/>
      <c r="U488" s="29"/>
      <c r="V488" s="10"/>
      <c r="W488" s="10"/>
      <c r="X488" s="10"/>
      <c r="Y488" s="10"/>
      <c r="Z488" s="10"/>
      <c r="AA488" s="10"/>
      <c r="AB488" s="10"/>
      <c r="AC488" s="10"/>
      <c r="AD488" s="10"/>
    </row>
    <row r="489" spans="1:30" ht="15.75" customHeight="1">
      <c r="A489" s="51"/>
      <c r="B489" s="41"/>
      <c r="C489" s="102"/>
      <c r="D489" s="26"/>
      <c r="E489" s="21" t="str">
        <f>IFERROR(VLOOKUP(D489,'DATOS ASIGNACIÓN'!B:I,7,0),"")</f>
        <v/>
      </c>
      <c r="F489" s="21" t="str">
        <f>IFERROR(VLOOKUP(D489,'DATOS ASIGNACIÓN'!B:I,6,0),"")</f>
        <v/>
      </c>
      <c r="G489" s="27"/>
      <c r="H489" s="27"/>
      <c r="I489" s="27"/>
      <c r="J489" s="26"/>
      <c r="K489" s="26"/>
      <c r="L489" s="26"/>
      <c r="M489" s="28"/>
      <c r="N489" s="28"/>
      <c r="O489" s="29"/>
      <c r="P489" s="29"/>
      <c r="Q489" s="29"/>
      <c r="R489" s="29"/>
      <c r="S489" s="29"/>
      <c r="T489" s="29"/>
      <c r="U489" s="29"/>
      <c r="V489" s="10"/>
      <c r="W489" s="10"/>
      <c r="X489" s="10"/>
      <c r="Y489" s="10"/>
      <c r="Z489" s="10"/>
      <c r="AA489" s="10"/>
      <c r="AB489" s="10"/>
      <c r="AC489" s="10"/>
      <c r="AD489" s="10"/>
    </row>
    <row r="490" spans="1:30" ht="15.75" customHeight="1">
      <c r="A490" s="51"/>
      <c r="B490" s="41"/>
      <c r="C490" s="102"/>
      <c r="D490" s="26"/>
      <c r="E490" s="21" t="str">
        <f>IFERROR(VLOOKUP(D490,'DATOS ASIGNACIÓN'!B:I,7,0),"")</f>
        <v/>
      </c>
      <c r="F490" s="21" t="str">
        <f>IFERROR(VLOOKUP(D490,'DATOS ASIGNACIÓN'!B:I,6,0),"")</f>
        <v/>
      </c>
      <c r="G490" s="27"/>
      <c r="H490" s="27"/>
      <c r="I490" s="27"/>
      <c r="J490" s="26"/>
      <c r="K490" s="26"/>
      <c r="L490" s="26"/>
      <c r="M490" s="28"/>
      <c r="N490" s="28"/>
      <c r="O490" s="29"/>
      <c r="P490" s="29"/>
      <c r="Q490" s="29"/>
      <c r="R490" s="29"/>
      <c r="S490" s="29"/>
      <c r="T490" s="29"/>
      <c r="U490" s="29"/>
      <c r="V490" s="10"/>
      <c r="W490" s="10"/>
      <c r="X490" s="10"/>
      <c r="Y490" s="10"/>
      <c r="Z490" s="10"/>
      <c r="AA490" s="10"/>
      <c r="AB490" s="10"/>
      <c r="AC490" s="10"/>
      <c r="AD490" s="10"/>
    </row>
    <row r="491" spans="1:30" ht="15.75" customHeight="1">
      <c r="A491" s="51"/>
      <c r="B491" s="41"/>
      <c r="C491" s="102"/>
      <c r="D491" s="26"/>
      <c r="E491" s="21" t="str">
        <f>IFERROR(VLOOKUP(D491,'DATOS ASIGNACIÓN'!B:I,7,0),"")</f>
        <v/>
      </c>
      <c r="F491" s="21" t="str">
        <f>IFERROR(VLOOKUP(D491,'DATOS ASIGNACIÓN'!B:I,6,0),"")</f>
        <v/>
      </c>
      <c r="G491" s="27"/>
      <c r="H491" s="27"/>
      <c r="I491" s="27"/>
      <c r="J491" s="26"/>
      <c r="K491" s="26"/>
      <c r="L491" s="26"/>
      <c r="M491" s="28"/>
      <c r="N491" s="28"/>
      <c r="O491" s="29"/>
      <c r="P491" s="29"/>
      <c r="Q491" s="29"/>
      <c r="R491" s="29"/>
      <c r="S491" s="29"/>
      <c r="T491" s="29"/>
      <c r="U491" s="29"/>
      <c r="V491" s="10"/>
      <c r="W491" s="10"/>
      <c r="X491" s="10"/>
      <c r="Y491" s="10"/>
      <c r="Z491" s="10"/>
      <c r="AA491" s="10"/>
      <c r="AB491" s="10"/>
      <c r="AC491" s="10"/>
      <c r="AD491" s="10"/>
    </row>
    <row r="492" spans="1:30" ht="15.75" customHeight="1">
      <c r="A492" s="51"/>
      <c r="B492" s="41"/>
      <c r="C492" s="102"/>
      <c r="D492" s="26"/>
      <c r="E492" s="21" t="str">
        <f>IFERROR(VLOOKUP(D492,'DATOS ASIGNACIÓN'!B:I,7,0),"")</f>
        <v/>
      </c>
      <c r="F492" s="21" t="str">
        <f>IFERROR(VLOOKUP(D492,'DATOS ASIGNACIÓN'!B:I,6,0),"")</f>
        <v/>
      </c>
      <c r="G492" s="27"/>
      <c r="H492" s="27"/>
      <c r="I492" s="27"/>
      <c r="J492" s="26"/>
      <c r="K492" s="26"/>
      <c r="L492" s="26"/>
      <c r="M492" s="28"/>
      <c r="N492" s="28"/>
      <c r="O492" s="29"/>
      <c r="P492" s="29"/>
      <c r="Q492" s="29"/>
      <c r="R492" s="29"/>
      <c r="S492" s="29"/>
      <c r="T492" s="29"/>
      <c r="U492" s="29"/>
      <c r="V492" s="10"/>
      <c r="W492" s="10"/>
      <c r="X492" s="10"/>
      <c r="Y492" s="10"/>
      <c r="Z492" s="10"/>
      <c r="AA492" s="10"/>
      <c r="AB492" s="10"/>
      <c r="AC492" s="10"/>
      <c r="AD492" s="10"/>
    </row>
    <row r="493" spans="1:30" ht="15.75" customHeight="1">
      <c r="A493" s="51"/>
      <c r="B493" s="41"/>
      <c r="C493" s="102"/>
      <c r="D493" s="26"/>
      <c r="E493" s="21" t="str">
        <f>IFERROR(VLOOKUP(D493,'DATOS ASIGNACIÓN'!B:I,7,0),"")</f>
        <v/>
      </c>
      <c r="F493" s="21" t="str">
        <f>IFERROR(VLOOKUP(D493,'DATOS ASIGNACIÓN'!B:I,6,0),"")</f>
        <v/>
      </c>
      <c r="G493" s="27"/>
      <c r="H493" s="27"/>
      <c r="I493" s="27"/>
      <c r="J493" s="26"/>
      <c r="K493" s="26"/>
      <c r="L493" s="26"/>
      <c r="M493" s="28"/>
      <c r="N493" s="28"/>
      <c r="O493" s="29"/>
      <c r="P493" s="29"/>
      <c r="Q493" s="29"/>
      <c r="R493" s="29"/>
      <c r="S493" s="29"/>
      <c r="T493" s="29"/>
      <c r="U493" s="29"/>
      <c r="V493" s="10"/>
      <c r="W493" s="10"/>
      <c r="X493" s="10"/>
      <c r="Y493" s="10"/>
      <c r="Z493" s="10"/>
      <c r="AA493" s="10"/>
      <c r="AB493" s="10"/>
      <c r="AC493" s="10"/>
      <c r="AD493" s="10"/>
    </row>
    <row r="494" spans="1:30" ht="15.75" customHeight="1">
      <c r="A494" s="51"/>
      <c r="B494" s="41"/>
      <c r="C494" s="102"/>
      <c r="D494" s="26"/>
      <c r="E494" s="21" t="str">
        <f>IFERROR(VLOOKUP(D494,'DATOS ASIGNACIÓN'!B:I,7,0),"")</f>
        <v/>
      </c>
      <c r="F494" s="21" t="str">
        <f>IFERROR(VLOOKUP(D494,'DATOS ASIGNACIÓN'!B:I,6,0),"")</f>
        <v/>
      </c>
      <c r="G494" s="27"/>
      <c r="H494" s="27"/>
      <c r="I494" s="27"/>
      <c r="J494" s="26"/>
      <c r="K494" s="26"/>
      <c r="L494" s="26"/>
      <c r="M494" s="28"/>
      <c r="N494" s="28"/>
      <c r="O494" s="29"/>
      <c r="P494" s="29"/>
      <c r="Q494" s="29"/>
      <c r="R494" s="29"/>
      <c r="S494" s="29"/>
      <c r="T494" s="29"/>
      <c r="U494" s="29"/>
      <c r="V494" s="10"/>
      <c r="W494" s="10"/>
      <c r="X494" s="10"/>
      <c r="Y494" s="10"/>
      <c r="Z494" s="10"/>
      <c r="AA494" s="10"/>
      <c r="AB494" s="10"/>
      <c r="AC494" s="10"/>
      <c r="AD494" s="10"/>
    </row>
    <row r="495" spans="1:30" ht="15.75" customHeight="1">
      <c r="A495" s="51"/>
      <c r="B495" s="41"/>
      <c r="C495" s="102"/>
      <c r="D495" s="26"/>
      <c r="E495" s="21" t="str">
        <f>IFERROR(VLOOKUP(D495,'DATOS ASIGNACIÓN'!B:I,7,0),"")</f>
        <v/>
      </c>
      <c r="F495" s="21" t="str">
        <f>IFERROR(VLOOKUP(D495,'DATOS ASIGNACIÓN'!B:I,6,0),"")</f>
        <v/>
      </c>
      <c r="G495" s="27"/>
      <c r="H495" s="27"/>
      <c r="I495" s="27"/>
      <c r="J495" s="26"/>
      <c r="K495" s="26"/>
      <c r="L495" s="26"/>
      <c r="M495" s="28"/>
      <c r="N495" s="28"/>
      <c r="O495" s="29"/>
      <c r="P495" s="29"/>
      <c r="Q495" s="29"/>
      <c r="R495" s="29"/>
      <c r="S495" s="29"/>
      <c r="T495" s="29"/>
      <c r="U495" s="29"/>
      <c r="V495" s="10"/>
      <c r="W495" s="10"/>
      <c r="X495" s="10"/>
      <c r="Y495" s="10"/>
      <c r="Z495" s="10"/>
      <c r="AA495" s="10"/>
      <c r="AB495" s="10"/>
      <c r="AC495" s="10"/>
      <c r="AD495" s="10"/>
    </row>
    <row r="496" spans="1:30" ht="15.75" customHeight="1">
      <c r="A496" s="51"/>
      <c r="B496" s="41"/>
      <c r="C496" s="102"/>
      <c r="D496" s="26"/>
      <c r="E496" s="21" t="str">
        <f>IFERROR(VLOOKUP(D496,'DATOS ASIGNACIÓN'!B:I,7,0),"")</f>
        <v/>
      </c>
      <c r="F496" s="21" t="str">
        <f>IFERROR(VLOOKUP(D496,'DATOS ASIGNACIÓN'!B:I,6,0),"")</f>
        <v/>
      </c>
      <c r="G496" s="27"/>
      <c r="H496" s="27"/>
      <c r="I496" s="27"/>
      <c r="J496" s="26"/>
      <c r="K496" s="26"/>
      <c r="L496" s="26"/>
      <c r="M496" s="28"/>
      <c r="N496" s="28"/>
      <c r="O496" s="29"/>
      <c r="P496" s="29"/>
      <c r="Q496" s="29"/>
      <c r="R496" s="29"/>
      <c r="S496" s="29"/>
      <c r="T496" s="29"/>
      <c r="U496" s="29"/>
      <c r="V496" s="10"/>
      <c r="W496" s="10"/>
      <c r="X496" s="10"/>
      <c r="Y496" s="10"/>
      <c r="Z496" s="10"/>
      <c r="AA496" s="10"/>
      <c r="AB496" s="10"/>
      <c r="AC496" s="10"/>
      <c r="AD496" s="10"/>
    </row>
    <row r="497" spans="1:30" ht="15.75" customHeight="1">
      <c r="A497" s="51"/>
      <c r="B497" s="41"/>
      <c r="C497" s="102"/>
      <c r="D497" s="26"/>
      <c r="E497" s="21" t="str">
        <f>IFERROR(VLOOKUP(D497,'DATOS ASIGNACIÓN'!B:I,7,0),"")</f>
        <v/>
      </c>
      <c r="F497" s="21" t="str">
        <f>IFERROR(VLOOKUP(D497,'DATOS ASIGNACIÓN'!B:I,6,0),"")</f>
        <v/>
      </c>
      <c r="G497" s="27"/>
      <c r="H497" s="27"/>
      <c r="I497" s="27"/>
      <c r="J497" s="26"/>
      <c r="K497" s="26"/>
      <c r="L497" s="26"/>
      <c r="M497" s="28"/>
      <c r="N497" s="28"/>
      <c r="O497" s="29"/>
      <c r="P497" s="29"/>
      <c r="Q497" s="29"/>
      <c r="R497" s="29"/>
      <c r="S497" s="29"/>
      <c r="T497" s="29"/>
      <c r="U497" s="29"/>
      <c r="V497" s="10"/>
      <c r="W497" s="10"/>
      <c r="X497" s="10"/>
      <c r="Y497" s="10"/>
      <c r="Z497" s="10"/>
      <c r="AA497" s="10"/>
      <c r="AB497" s="10"/>
      <c r="AC497" s="10"/>
      <c r="AD497" s="10"/>
    </row>
    <row r="498" spans="1:30" ht="15.75" customHeight="1">
      <c r="A498" s="51"/>
      <c r="B498" s="41"/>
      <c r="C498" s="102"/>
      <c r="D498" s="26"/>
      <c r="E498" s="21" t="str">
        <f>IFERROR(VLOOKUP(D498,'DATOS ASIGNACIÓN'!B:I,7,0),"")</f>
        <v/>
      </c>
      <c r="F498" s="21" t="str">
        <f>IFERROR(VLOOKUP(D498,'DATOS ASIGNACIÓN'!B:I,6,0),"")</f>
        <v/>
      </c>
      <c r="G498" s="27"/>
      <c r="H498" s="27"/>
      <c r="I498" s="27"/>
      <c r="J498" s="26"/>
      <c r="K498" s="26"/>
      <c r="L498" s="26"/>
      <c r="M498" s="28"/>
      <c r="N498" s="28"/>
      <c r="O498" s="29"/>
      <c r="P498" s="29"/>
      <c r="Q498" s="29"/>
      <c r="R498" s="29"/>
      <c r="S498" s="29"/>
      <c r="T498" s="29"/>
      <c r="U498" s="29"/>
      <c r="V498" s="10"/>
      <c r="W498" s="10"/>
      <c r="X498" s="10"/>
      <c r="Y498" s="10"/>
      <c r="Z498" s="10"/>
      <c r="AA498" s="10"/>
      <c r="AB498" s="10"/>
      <c r="AC498" s="10"/>
      <c r="AD498" s="10"/>
    </row>
    <row r="499" spans="1:30" ht="15.75" customHeight="1">
      <c r="A499" s="51"/>
      <c r="B499" s="41"/>
      <c r="C499" s="102"/>
      <c r="D499" s="26"/>
      <c r="E499" s="21" t="str">
        <f>IFERROR(VLOOKUP(D499,'DATOS ASIGNACIÓN'!B:I,7,0),"")</f>
        <v/>
      </c>
      <c r="F499" s="21" t="str">
        <f>IFERROR(VLOOKUP(D499,'DATOS ASIGNACIÓN'!B:I,6,0),"")</f>
        <v/>
      </c>
      <c r="G499" s="27"/>
      <c r="H499" s="27"/>
      <c r="I499" s="27"/>
      <c r="J499" s="26"/>
      <c r="K499" s="26"/>
      <c r="L499" s="26"/>
      <c r="M499" s="28"/>
      <c r="N499" s="28"/>
      <c r="O499" s="29"/>
      <c r="P499" s="29"/>
      <c r="Q499" s="29"/>
      <c r="R499" s="29"/>
      <c r="S499" s="29"/>
      <c r="T499" s="29"/>
      <c r="U499" s="29"/>
      <c r="V499" s="10"/>
      <c r="W499" s="10"/>
      <c r="X499" s="10"/>
      <c r="Y499" s="10"/>
      <c r="Z499" s="10"/>
      <c r="AA499" s="10"/>
      <c r="AB499" s="10"/>
      <c r="AC499" s="10"/>
      <c r="AD499" s="10"/>
    </row>
    <row r="500" spans="1:30" ht="15.75" customHeight="1">
      <c r="A500" s="51"/>
      <c r="B500" s="41"/>
      <c r="C500" s="102"/>
      <c r="D500" s="26"/>
      <c r="E500" s="21" t="str">
        <f>IFERROR(VLOOKUP(D500,'DATOS ASIGNACIÓN'!B:I,7,0),"")</f>
        <v/>
      </c>
      <c r="F500" s="21" t="str">
        <f>IFERROR(VLOOKUP(D500,'DATOS ASIGNACIÓN'!B:I,6,0),"")</f>
        <v/>
      </c>
      <c r="G500" s="27"/>
      <c r="H500" s="27"/>
      <c r="I500" s="27"/>
      <c r="J500" s="26"/>
      <c r="K500" s="26"/>
      <c r="L500" s="26"/>
      <c r="M500" s="28"/>
      <c r="N500" s="28"/>
      <c r="O500" s="29"/>
      <c r="P500" s="29"/>
      <c r="Q500" s="29"/>
      <c r="R500" s="29"/>
      <c r="S500" s="29"/>
      <c r="T500" s="29"/>
      <c r="U500" s="29"/>
      <c r="V500" s="10"/>
      <c r="W500" s="10"/>
      <c r="X500" s="10"/>
      <c r="Y500" s="10"/>
      <c r="Z500" s="10"/>
      <c r="AA500" s="10"/>
      <c r="AB500" s="10"/>
      <c r="AC500" s="10"/>
      <c r="AD500" s="10"/>
    </row>
    <row r="501" spans="1:30" ht="15.75" customHeight="1">
      <c r="A501" s="52"/>
      <c r="B501" s="42"/>
      <c r="C501" s="42"/>
      <c r="D501" s="26"/>
      <c r="E501" s="21" t="str">
        <f>IFERROR(VLOOKUP(D501,'DATOS ASIGNACIÓN'!B:I,7,0),"")</f>
        <v/>
      </c>
      <c r="F501" s="21" t="str">
        <f>IFERROR(VLOOKUP(D501,'DATOS ASIGNACIÓN'!B:I,6,0),"")</f>
        <v/>
      </c>
      <c r="G501" s="27"/>
      <c r="H501" s="27"/>
      <c r="I501" s="27"/>
      <c r="J501" s="26"/>
      <c r="K501" s="26"/>
      <c r="L501" s="26"/>
      <c r="M501" s="28"/>
      <c r="N501" s="28"/>
      <c r="O501" s="29"/>
      <c r="P501" s="29"/>
      <c r="Q501" s="29"/>
      <c r="R501" s="29"/>
      <c r="S501" s="29"/>
      <c r="T501" s="29"/>
      <c r="U501" s="29"/>
      <c r="V501" s="10"/>
      <c r="W501" s="10"/>
      <c r="X501" s="10"/>
      <c r="Y501" s="10"/>
      <c r="Z501" s="10"/>
      <c r="AA501" s="10"/>
      <c r="AB501" s="10"/>
      <c r="AC501" s="10"/>
      <c r="AD501" s="10"/>
    </row>
    <row r="502" spans="1:30" ht="15.75" customHeight="1">
      <c r="A502" s="52"/>
      <c r="B502" s="42"/>
      <c r="C502" s="42"/>
      <c r="D502" s="26"/>
      <c r="E502" s="21" t="str">
        <f>IFERROR(VLOOKUP(D502,'DATOS ASIGNACIÓN'!B:I,7,0),"")</f>
        <v/>
      </c>
      <c r="F502" s="21" t="str">
        <f>IFERROR(VLOOKUP(D502,'DATOS ASIGNACIÓN'!B:I,6,0),"")</f>
        <v/>
      </c>
      <c r="G502" s="27"/>
      <c r="H502" s="27"/>
      <c r="I502" s="27"/>
      <c r="J502" s="26"/>
      <c r="K502" s="26"/>
      <c r="L502" s="26"/>
      <c r="M502" s="28"/>
      <c r="N502" s="28"/>
      <c r="O502" s="29"/>
      <c r="P502" s="29"/>
      <c r="Q502" s="29"/>
      <c r="R502" s="29"/>
      <c r="S502" s="29"/>
      <c r="T502" s="29"/>
      <c r="U502" s="29"/>
      <c r="V502" s="10"/>
      <c r="W502" s="10"/>
      <c r="X502" s="10"/>
      <c r="Y502" s="10"/>
      <c r="Z502" s="10"/>
      <c r="AA502" s="10"/>
      <c r="AB502" s="10"/>
      <c r="AC502" s="10"/>
      <c r="AD502" s="10"/>
    </row>
    <row r="503" spans="1:30" ht="15.75" customHeight="1">
      <c r="A503" s="52"/>
      <c r="B503" s="42"/>
      <c r="C503" s="42"/>
      <c r="D503" s="26"/>
      <c r="E503" s="21" t="str">
        <f>IFERROR(VLOOKUP(D503,'DATOS ASIGNACIÓN'!B:I,7,0),"")</f>
        <v/>
      </c>
      <c r="F503" s="21" t="str">
        <f>IFERROR(VLOOKUP(D503,'DATOS ASIGNACIÓN'!B:I,6,0),"")</f>
        <v/>
      </c>
      <c r="G503" s="27"/>
      <c r="H503" s="27"/>
      <c r="I503" s="27"/>
      <c r="J503" s="26"/>
      <c r="K503" s="26"/>
      <c r="L503" s="26"/>
      <c r="M503" s="28"/>
      <c r="N503" s="28"/>
      <c r="O503" s="29"/>
      <c r="P503" s="29"/>
      <c r="Q503" s="29"/>
      <c r="R503" s="29"/>
      <c r="S503" s="29"/>
      <c r="T503" s="29"/>
      <c r="U503" s="29"/>
      <c r="V503" s="10"/>
      <c r="W503" s="10"/>
      <c r="X503" s="10"/>
      <c r="Y503" s="10"/>
      <c r="Z503" s="10"/>
      <c r="AA503" s="10"/>
      <c r="AB503" s="10"/>
      <c r="AC503" s="10"/>
      <c r="AD503" s="10"/>
    </row>
    <row r="504" spans="1:30" ht="15.75" customHeight="1">
      <c r="A504" s="52"/>
      <c r="B504" s="42"/>
      <c r="C504" s="42"/>
      <c r="D504" s="26"/>
      <c r="E504" s="21" t="str">
        <f>IFERROR(VLOOKUP(D504,'DATOS ASIGNACIÓN'!B:I,7,0),"")</f>
        <v/>
      </c>
      <c r="F504" s="21" t="str">
        <f>IFERROR(VLOOKUP(D504,'DATOS ASIGNACIÓN'!B:I,6,0),"")</f>
        <v/>
      </c>
      <c r="G504" s="27"/>
      <c r="H504" s="27"/>
      <c r="I504" s="27"/>
      <c r="J504" s="26"/>
      <c r="K504" s="26"/>
      <c r="L504" s="26"/>
      <c r="M504" s="28"/>
      <c r="N504" s="28"/>
      <c r="O504" s="29"/>
      <c r="P504" s="29"/>
      <c r="Q504" s="29"/>
      <c r="R504" s="29"/>
      <c r="S504" s="29"/>
      <c r="T504" s="29"/>
      <c r="U504" s="29"/>
      <c r="V504" s="10"/>
      <c r="W504" s="10"/>
      <c r="X504" s="10"/>
      <c r="Y504" s="10"/>
      <c r="Z504" s="10"/>
      <c r="AA504" s="10"/>
      <c r="AB504" s="10"/>
      <c r="AC504" s="10"/>
      <c r="AD504" s="10"/>
    </row>
    <row r="505" spans="1:30" ht="15.75" customHeight="1">
      <c r="A505" s="52"/>
      <c r="B505" s="42"/>
      <c r="C505" s="42"/>
      <c r="D505" s="26"/>
      <c r="E505" s="21" t="str">
        <f>IFERROR(VLOOKUP(D505,'DATOS ASIGNACIÓN'!B:I,7,0),"")</f>
        <v/>
      </c>
      <c r="F505" s="21" t="str">
        <f>IFERROR(VLOOKUP(D505,'DATOS ASIGNACIÓN'!B:I,6,0),"")</f>
        <v/>
      </c>
      <c r="G505" s="27"/>
      <c r="H505" s="27"/>
      <c r="I505" s="27"/>
      <c r="J505" s="26"/>
      <c r="K505" s="26"/>
      <c r="L505" s="26"/>
      <c r="M505" s="28"/>
      <c r="N505" s="28"/>
      <c r="O505" s="29"/>
      <c r="P505" s="29"/>
      <c r="Q505" s="29"/>
      <c r="R505" s="29"/>
      <c r="S505" s="29"/>
      <c r="T505" s="29"/>
      <c r="U505" s="29"/>
      <c r="V505" s="10"/>
      <c r="W505" s="10"/>
      <c r="X505" s="10"/>
      <c r="Y505" s="10"/>
      <c r="Z505" s="10"/>
      <c r="AA505" s="10"/>
      <c r="AB505" s="10"/>
      <c r="AC505" s="10"/>
      <c r="AD505" s="10"/>
    </row>
    <row r="506" spans="1:30" ht="15.75" customHeight="1">
      <c r="A506" s="52"/>
      <c r="B506" s="42"/>
      <c r="C506" s="42"/>
      <c r="D506" s="26"/>
      <c r="E506" s="21" t="str">
        <f>IFERROR(VLOOKUP(D506,'DATOS ASIGNACIÓN'!B:I,7,0),"")</f>
        <v/>
      </c>
      <c r="F506" s="21" t="str">
        <f>IFERROR(VLOOKUP(D506,'DATOS ASIGNACIÓN'!B:I,6,0),"")</f>
        <v/>
      </c>
      <c r="G506" s="27"/>
      <c r="H506" s="27"/>
      <c r="I506" s="27"/>
      <c r="J506" s="26"/>
      <c r="K506" s="26"/>
      <c r="L506" s="26"/>
      <c r="M506" s="28"/>
      <c r="N506" s="28"/>
      <c r="O506" s="29"/>
      <c r="P506" s="29"/>
      <c r="Q506" s="29"/>
      <c r="R506" s="29"/>
      <c r="S506" s="29"/>
      <c r="T506" s="29"/>
      <c r="U506" s="29"/>
      <c r="V506" s="10"/>
      <c r="W506" s="10"/>
      <c r="X506" s="10"/>
      <c r="Y506" s="10"/>
      <c r="Z506" s="10"/>
      <c r="AA506" s="10"/>
      <c r="AB506" s="10"/>
      <c r="AC506" s="10"/>
      <c r="AD506" s="10"/>
    </row>
    <row r="507" spans="1:30" ht="15.75" customHeight="1">
      <c r="A507" s="52"/>
      <c r="B507" s="42"/>
      <c r="C507" s="42"/>
      <c r="D507" s="26"/>
      <c r="E507" s="21" t="str">
        <f>IFERROR(VLOOKUP(D507,'DATOS ASIGNACIÓN'!B:I,7,0),"")</f>
        <v/>
      </c>
      <c r="F507" s="21" t="str">
        <f>IFERROR(VLOOKUP(D507,'DATOS ASIGNACIÓN'!B:I,6,0),"")</f>
        <v/>
      </c>
      <c r="G507" s="27"/>
      <c r="H507" s="27"/>
      <c r="I507" s="27"/>
      <c r="J507" s="26"/>
      <c r="K507" s="26"/>
      <c r="L507" s="26"/>
      <c r="M507" s="28"/>
      <c r="N507" s="28"/>
      <c r="O507" s="29"/>
      <c r="P507" s="29"/>
      <c r="Q507" s="29"/>
      <c r="R507" s="29"/>
      <c r="S507" s="29"/>
      <c r="T507" s="29"/>
      <c r="U507" s="29"/>
      <c r="V507" s="10"/>
      <c r="W507" s="10"/>
      <c r="X507" s="10"/>
      <c r="Y507" s="10"/>
      <c r="Z507" s="10"/>
      <c r="AA507" s="10"/>
      <c r="AB507" s="10"/>
      <c r="AC507" s="10"/>
      <c r="AD507" s="10"/>
    </row>
    <row r="508" spans="1:30" ht="15.75" customHeight="1">
      <c r="A508" s="52"/>
      <c r="B508" s="42"/>
      <c r="C508" s="42"/>
      <c r="D508" s="26"/>
      <c r="E508" s="21" t="str">
        <f>IFERROR(VLOOKUP(D508,'DATOS ASIGNACIÓN'!B:I,7,0),"")</f>
        <v/>
      </c>
      <c r="F508" s="21" t="str">
        <f>IFERROR(VLOOKUP(D508,'DATOS ASIGNACIÓN'!B:I,6,0),"")</f>
        <v/>
      </c>
      <c r="G508" s="27"/>
      <c r="H508" s="27"/>
      <c r="I508" s="27"/>
      <c r="J508" s="26"/>
      <c r="K508" s="26"/>
      <c r="L508" s="26"/>
      <c r="M508" s="28"/>
      <c r="N508" s="28"/>
      <c r="O508" s="29"/>
      <c r="P508" s="29"/>
      <c r="Q508" s="29"/>
      <c r="R508" s="29"/>
      <c r="S508" s="29"/>
      <c r="T508" s="29"/>
      <c r="U508" s="29"/>
      <c r="V508" s="10"/>
      <c r="W508" s="10"/>
      <c r="X508" s="10"/>
      <c r="Y508" s="10"/>
      <c r="Z508" s="10"/>
      <c r="AA508" s="10"/>
      <c r="AB508" s="10"/>
      <c r="AC508" s="10"/>
      <c r="AD508" s="10"/>
    </row>
    <row r="509" spans="1:30" ht="15.75" customHeight="1">
      <c r="A509" s="52"/>
      <c r="B509" s="42"/>
      <c r="C509" s="42"/>
      <c r="D509" s="26"/>
      <c r="E509" s="21" t="str">
        <f>IFERROR(VLOOKUP(D509,'DATOS ASIGNACIÓN'!B:I,7,0),"")</f>
        <v/>
      </c>
      <c r="F509" s="21" t="str">
        <f>IFERROR(VLOOKUP(D509,'DATOS ASIGNACIÓN'!B:I,6,0),"")</f>
        <v/>
      </c>
      <c r="G509" s="27"/>
      <c r="H509" s="27"/>
      <c r="I509" s="27"/>
      <c r="J509" s="26"/>
      <c r="K509" s="26"/>
      <c r="L509" s="26"/>
      <c r="M509" s="28"/>
      <c r="N509" s="28"/>
      <c r="O509" s="29"/>
      <c r="P509" s="29"/>
      <c r="Q509" s="29"/>
      <c r="R509" s="29"/>
      <c r="S509" s="29"/>
      <c r="T509" s="29"/>
      <c r="U509" s="29"/>
      <c r="V509" s="10"/>
      <c r="W509" s="10"/>
      <c r="X509" s="10"/>
      <c r="Y509" s="10"/>
      <c r="Z509" s="10"/>
      <c r="AA509" s="10"/>
      <c r="AB509" s="10"/>
      <c r="AC509" s="10"/>
      <c r="AD509" s="10"/>
    </row>
    <row r="510" spans="1:30" ht="15.75" customHeight="1">
      <c r="A510" s="52"/>
      <c r="B510" s="42"/>
      <c r="C510" s="42"/>
      <c r="D510" s="26"/>
      <c r="E510" s="21" t="str">
        <f>IFERROR(VLOOKUP(D510,'DATOS ASIGNACIÓN'!B:I,7,0),"")</f>
        <v/>
      </c>
      <c r="F510" s="21" t="str">
        <f>IFERROR(VLOOKUP(D510,'DATOS ASIGNACIÓN'!B:I,6,0),"")</f>
        <v/>
      </c>
      <c r="G510" s="27"/>
      <c r="H510" s="27"/>
      <c r="I510" s="27"/>
      <c r="J510" s="26"/>
      <c r="K510" s="26"/>
      <c r="L510" s="26"/>
      <c r="M510" s="28"/>
      <c r="N510" s="28"/>
      <c r="O510" s="29"/>
      <c r="P510" s="29"/>
      <c r="Q510" s="29"/>
      <c r="R510" s="29"/>
      <c r="S510" s="29"/>
      <c r="T510" s="29"/>
      <c r="U510" s="29"/>
      <c r="V510" s="10"/>
      <c r="W510" s="10"/>
      <c r="X510" s="10"/>
      <c r="Y510" s="10"/>
      <c r="Z510" s="10"/>
      <c r="AA510" s="10"/>
      <c r="AB510" s="10"/>
      <c r="AC510" s="10"/>
      <c r="AD510" s="10"/>
    </row>
    <row r="511" spans="1:30" ht="15.75" customHeight="1">
      <c r="A511" s="52"/>
      <c r="B511" s="42"/>
      <c r="C511" s="42"/>
      <c r="D511" s="26"/>
      <c r="E511" s="21" t="str">
        <f>IFERROR(VLOOKUP(D511,'DATOS ASIGNACIÓN'!B:I,7,0),"")</f>
        <v/>
      </c>
      <c r="F511" s="21" t="str">
        <f>IFERROR(VLOOKUP(D511,'DATOS ASIGNACIÓN'!B:I,6,0),"")</f>
        <v/>
      </c>
      <c r="G511" s="27"/>
      <c r="H511" s="27"/>
      <c r="I511" s="27"/>
      <c r="J511" s="26"/>
      <c r="K511" s="26"/>
      <c r="L511" s="26"/>
      <c r="M511" s="28"/>
      <c r="N511" s="28"/>
      <c r="O511" s="29"/>
      <c r="P511" s="29"/>
      <c r="Q511" s="29"/>
      <c r="R511" s="29"/>
      <c r="S511" s="29"/>
      <c r="T511" s="29"/>
      <c r="U511" s="29"/>
      <c r="V511" s="10"/>
      <c r="W511" s="10"/>
      <c r="X511" s="10"/>
      <c r="Y511" s="10"/>
      <c r="Z511" s="10"/>
      <c r="AA511" s="10"/>
      <c r="AB511" s="10"/>
      <c r="AC511" s="10"/>
      <c r="AD511" s="10"/>
    </row>
    <row r="512" spans="1:30" ht="15.75" customHeight="1">
      <c r="A512" s="52"/>
      <c r="B512" s="42"/>
      <c r="C512" s="42"/>
      <c r="D512" s="26"/>
      <c r="E512" s="21" t="str">
        <f>IFERROR(VLOOKUP(D512,'DATOS ASIGNACIÓN'!B:I,7,0),"")</f>
        <v/>
      </c>
      <c r="F512" s="21" t="str">
        <f>IFERROR(VLOOKUP(D512,'DATOS ASIGNACIÓN'!B:I,6,0),"")</f>
        <v/>
      </c>
      <c r="G512" s="27"/>
      <c r="H512" s="27"/>
      <c r="I512" s="27"/>
      <c r="J512" s="26"/>
      <c r="K512" s="26"/>
      <c r="L512" s="26"/>
      <c r="M512" s="28"/>
      <c r="N512" s="28"/>
      <c r="O512" s="29"/>
      <c r="P512" s="29"/>
      <c r="Q512" s="29"/>
      <c r="R512" s="29"/>
      <c r="S512" s="29"/>
      <c r="T512" s="29"/>
      <c r="U512" s="29"/>
      <c r="V512" s="10"/>
      <c r="W512" s="10"/>
      <c r="X512" s="10"/>
      <c r="Y512" s="10"/>
      <c r="Z512" s="10"/>
      <c r="AA512" s="10"/>
      <c r="AB512" s="10"/>
      <c r="AC512" s="10"/>
      <c r="AD512" s="10"/>
    </row>
    <row r="513" spans="1:30" ht="15.75" customHeight="1">
      <c r="A513" s="52"/>
      <c r="B513" s="42"/>
      <c r="C513" s="42"/>
      <c r="D513" s="26"/>
      <c r="E513" s="21" t="str">
        <f>IFERROR(VLOOKUP(D513,'DATOS ASIGNACIÓN'!B:I,7,0),"")</f>
        <v/>
      </c>
      <c r="F513" s="21" t="str">
        <f>IFERROR(VLOOKUP(D513,'DATOS ASIGNACIÓN'!B:I,6,0),"")</f>
        <v/>
      </c>
      <c r="G513" s="27"/>
      <c r="H513" s="27"/>
      <c r="I513" s="27"/>
      <c r="J513" s="26"/>
      <c r="K513" s="26"/>
      <c r="L513" s="26"/>
      <c r="M513" s="28"/>
      <c r="N513" s="28"/>
      <c r="O513" s="29"/>
      <c r="P513" s="29"/>
      <c r="Q513" s="29"/>
      <c r="R513" s="29"/>
      <c r="S513" s="29"/>
      <c r="T513" s="29"/>
      <c r="U513" s="29"/>
      <c r="V513" s="10"/>
      <c r="W513" s="10"/>
      <c r="X513" s="10"/>
      <c r="Y513" s="10"/>
      <c r="Z513" s="10"/>
      <c r="AA513" s="10"/>
      <c r="AB513" s="10"/>
      <c r="AC513" s="10"/>
      <c r="AD513" s="10"/>
    </row>
    <row r="514" spans="1:30" ht="15.75" customHeight="1">
      <c r="A514" s="52"/>
      <c r="B514" s="42"/>
      <c r="C514" s="42"/>
      <c r="D514" s="26"/>
      <c r="E514" s="21" t="str">
        <f>IFERROR(VLOOKUP(D514,'DATOS ASIGNACIÓN'!B:I,7,0),"")</f>
        <v/>
      </c>
      <c r="F514" s="21" t="str">
        <f>IFERROR(VLOOKUP(D514,'DATOS ASIGNACIÓN'!B:I,6,0),"")</f>
        <v/>
      </c>
      <c r="G514" s="27"/>
      <c r="H514" s="27"/>
      <c r="I514" s="27"/>
      <c r="J514" s="26"/>
      <c r="K514" s="26"/>
      <c r="L514" s="26"/>
      <c r="M514" s="28"/>
      <c r="N514" s="28"/>
      <c r="O514" s="29"/>
      <c r="P514" s="29"/>
      <c r="Q514" s="29"/>
      <c r="R514" s="29"/>
      <c r="S514" s="29"/>
      <c r="T514" s="29"/>
      <c r="U514" s="29"/>
      <c r="V514" s="10"/>
      <c r="W514" s="10"/>
      <c r="X514" s="10"/>
      <c r="Y514" s="10"/>
      <c r="Z514" s="10"/>
      <c r="AA514" s="10"/>
      <c r="AB514" s="10"/>
      <c r="AC514" s="10"/>
      <c r="AD514" s="10"/>
    </row>
    <row r="515" spans="1:30" ht="15.75" customHeight="1">
      <c r="A515" s="52"/>
      <c r="B515" s="42"/>
      <c r="C515" s="42"/>
      <c r="D515" s="26"/>
      <c r="E515" s="21" t="str">
        <f>IFERROR(VLOOKUP(D515,'DATOS ASIGNACIÓN'!B:I,7,0),"")</f>
        <v/>
      </c>
      <c r="F515" s="21" t="str">
        <f>IFERROR(VLOOKUP(D515,'DATOS ASIGNACIÓN'!B:I,6,0),"")</f>
        <v/>
      </c>
      <c r="G515" s="27"/>
      <c r="H515" s="27"/>
      <c r="I515" s="27"/>
      <c r="J515" s="26"/>
      <c r="K515" s="26"/>
      <c r="L515" s="26"/>
      <c r="M515" s="28"/>
      <c r="N515" s="28"/>
      <c r="O515" s="29"/>
      <c r="P515" s="29"/>
      <c r="Q515" s="29"/>
      <c r="R515" s="29"/>
      <c r="S515" s="29"/>
      <c r="T515" s="29"/>
      <c r="U515" s="29"/>
      <c r="V515" s="10"/>
      <c r="W515" s="10"/>
      <c r="X515" s="10"/>
      <c r="Y515" s="10"/>
      <c r="Z515" s="10"/>
      <c r="AA515" s="10"/>
      <c r="AB515" s="10"/>
      <c r="AC515" s="10"/>
      <c r="AD515" s="10"/>
    </row>
    <row r="516" spans="1:30" ht="15.75" customHeight="1">
      <c r="A516" s="52"/>
      <c r="B516" s="42"/>
      <c r="C516" s="42"/>
      <c r="D516" s="26"/>
      <c r="E516" s="21" t="str">
        <f>IFERROR(VLOOKUP(D516,'DATOS ASIGNACIÓN'!B:I,7,0),"")</f>
        <v/>
      </c>
      <c r="F516" s="21" t="str">
        <f>IFERROR(VLOOKUP(D516,'DATOS ASIGNACIÓN'!B:I,6,0),"")</f>
        <v/>
      </c>
      <c r="G516" s="27"/>
      <c r="H516" s="27"/>
      <c r="I516" s="27"/>
      <c r="J516" s="26"/>
      <c r="K516" s="26"/>
      <c r="L516" s="26"/>
      <c r="M516" s="28"/>
      <c r="N516" s="28"/>
      <c r="O516" s="29"/>
      <c r="P516" s="29"/>
      <c r="Q516" s="29"/>
      <c r="R516" s="29"/>
      <c r="S516" s="29"/>
      <c r="T516" s="29"/>
      <c r="U516" s="29"/>
      <c r="V516" s="10"/>
      <c r="W516" s="10"/>
      <c r="X516" s="10"/>
      <c r="Y516" s="10"/>
      <c r="Z516" s="10"/>
      <c r="AA516" s="10"/>
      <c r="AB516" s="10"/>
      <c r="AC516" s="10"/>
      <c r="AD516" s="10"/>
    </row>
    <row r="517" spans="1:30" ht="15.75" customHeight="1">
      <c r="A517" s="52"/>
      <c r="B517" s="42"/>
      <c r="C517" s="42"/>
      <c r="D517" s="26"/>
      <c r="E517" s="21" t="str">
        <f>IFERROR(VLOOKUP(D517,'DATOS ASIGNACIÓN'!B:I,7,0),"")</f>
        <v/>
      </c>
      <c r="F517" s="21" t="str">
        <f>IFERROR(VLOOKUP(D517,'DATOS ASIGNACIÓN'!B:I,6,0),"")</f>
        <v/>
      </c>
      <c r="G517" s="27"/>
      <c r="H517" s="27"/>
      <c r="I517" s="27"/>
      <c r="J517" s="26"/>
      <c r="K517" s="26"/>
      <c r="L517" s="26"/>
      <c r="M517" s="28"/>
      <c r="N517" s="28"/>
      <c r="O517" s="29"/>
      <c r="P517" s="29"/>
      <c r="Q517" s="29"/>
      <c r="R517" s="29"/>
      <c r="S517" s="29"/>
      <c r="T517" s="29"/>
      <c r="U517" s="29"/>
      <c r="V517" s="10"/>
      <c r="W517" s="10"/>
      <c r="X517" s="10"/>
      <c r="Y517" s="10"/>
      <c r="Z517" s="10"/>
      <c r="AA517" s="10"/>
      <c r="AB517" s="10"/>
      <c r="AC517" s="10"/>
      <c r="AD517" s="10"/>
    </row>
    <row r="518" spans="1:30" ht="15.75" customHeight="1">
      <c r="A518" s="52"/>
      <c r="B518" s="42"/>
      <c r="C518" s="42"/>
      <c r="D518" s="26"/>
      <c r="E518" s="21" t="str">
        <f>IFERROR(VLOOKUP(D518,'DATOS ASIGNACIÓN'!B:I,7,0),"")</f>
        <v/>
      </c>
      <c r="F518" s="21" t="str">
        <f>IFERROR(VLOOKUP(D518,'DATOS ASIGNACIÓN'!B:I,6,0),"")</f>
        <v/>
      </c>
      <c r="G518" s="27"/>
      <c r="H518" s="27"/>
      <c r="I518" s="27"/>
      <c r="J518" s="26"/>
      <c r="K518" s="26"/>
      <c r="L518" s="26"/>
      <c r="M518" s="28"/>
      <c r="N518" s="28"/>
      <c r="O518" s="29"/>
      <c r="P518" s="29"/>
      <c r="Q518" s="29"/>
      <c r="R518" s="29"/>
      <c r="S518" s="29"/>
      <c r="T518" s="29"/>
      <c r="U518" s="29"/>
      <c r="V518" s="10"/>
      <c r="W518" s="10"/>
      <c r="X518" s="10"/>
      <c r="Y518" s="10"/>
      <c r="Z518" s="10"/>
      <c r="AA518" s="10"/>
      <c r="AB518" s="10"/>
      <c r="AC518" s="10"/>
      <c r="AD518" s="10"/>
    </row>
    <row r="519" spans="1:30" ht="15.75" customHeight="1">
      <c r="A519" s="52"/>
      <c r="B519" s="42"/>
      <c r="C519" s="42"/>
      <c r="D519" s="26"/>
      <c r="E519" s="21" t="str">
        <f>IFERROR(VLOOKUP(D519,'DATOS ASIGNACIÓN'!B:I,7,0),"")</f>
        <v/>
      </c>
      <c r="F519" s="21" t="str">
        <f>IFERROR(VLOOKUP(D519,'DATOS ASIGNACIÓN'!B:I,6,0),"")</f>
        <v/>
      </c>
      <c r="G519" s="27"/>
      <c r="H519" s="27"/>
      <c r="I519" s="27"/>
      <c r="J519" s="26"/>
      <c r="K519" s="26"/>
      <c r="L519" s="26"/>
      <c r="M519" s="28"/>
      <c r="N519" s="28"/>
      <c r="O519" s="29"/>
      <c r="P519" s="29"/>
      <c r="Q519" s="29"/>
      <c r="R519" s="29"/>
      <c r="S519" s="29"/>
      <c r="T519" s="29"/>
      <c r="U519" s="29"/>
      <c r="V519" s="10"/>
      <c r="W519" s="10"/>
      <c r="X519" s="10"/>
      <c r="Y519" s="10"/>
      <c r="Z519" s="10"/>
      <c r="AA519" s="10"/>
      <c r="AB519" s="10"/>
      <c r="AC519" s="10"/>
      <c r="AD519" s="10"/>
    </row>
    <row r="520" spans="1:30" ht="15.75" customHeight="1">
      <c r="A520" s="52"/>
      <c r="B520" s="42"/>
      <c r="C520" s="42"/>
      <c r="D520" s="26"/>
      <c r="E520" s="21" t="str">
        <f>IFERROR(VLOOKUP(D520,'DATOS ASIGNACIÓN'!B:I,7,0),"")</f>
        <v/>
      </c>
      <c r="F520" s="21" t="str">
        <f>IFERROR(VLOOKUP(D520,'DATOS ASIGNACIÓN'!B:I,6,0),"")</f>
        <v/>
      </c>
      <c r="G520" s="27"/>
      <c r="H520" s="27"/>
      <c r="I520" s="27"/>
      <c r="J520" s="26"/>
      <c r="K520" s="26"/>
      <c r="L520" s="26"/>
      <c r="M520" s="28"/>
      <c r="N520" s="28"/>
      <c r="O520" s="29"/>
      <c r="P520" s="29"/>
      <c r="Q520" s="29"/>
      <c r="R520" s="29"/>
      <c r="S520" s="29"/>
      <c r="T520" s="29"/>
      <c r="U520" s="29"/>
      <c r="V520" s="10"/>
      <c r="W520" s="10"/>
      <c r="X520" s="10"/>
      <c r="Y520" s="10"/>
      <c r="Z520" s="10"/>
      <c r="AA520" s="10"/>
      <c r="AB520" s="10"/>
      <c r="AC520" s="10"/>
      <c r="AD520" s="10"/>
    </row>
    <row r="521" spans="1:30" ht="15.75" customHeight="1">
      <c r="A521" s="52"/>
      <c r="B521" s="42"/>
      <c r="C521" s="42"/>
      <c r="D521" s="26"/>
      <c r="E521" s="21" t="str">
        <f>IFERROR(VLOOKUP(D521,'DATOS ASIGNACIÓN'!B:I,7,0),"")</f>
        <v/>
      </c>
      <c r="F521" s="21" t="str">
        <f>IFERROR(VLOOKUP(D521,'DATOS ASIGNACIÓN'!B:I,6,0),"")</f>
        <v/>
      </c>
      <c r="G521" s="27"/>
      <c r="H521" s="27"/>
      <c r="I521" s="27"/>
      <c r="J521" s="26"/>
      <c r="K521" s="26"/>
      <c r="L521" s="26"/>
      <c r="M521" s="28"/>
      <c r="N521" s="28"/>
      <c r="O521" s="29"/>
      <c r="P521" s="29"/>
      <c r="Q521" s="29"/>
      <c r="R521" s="29"/>
      <c r="S521" s="29"/>
      <c r="T521" s="29"/>
      <c r="U521" s="29"/>
      <c r="V521" s="10"/>
      <c r="W521" s="10"/>
      <c r="X521" s="10"/>
      <c r="Y521" s="10"/>
      <c r="Z521" s="10"/>
      <c r="AA521" s="10"/>
      <c r="AB521" s="10"/>
      <c r="AC521" s="10"/>
      <c r="AD521" s="10"/>
    </row>
    <row r="522" spans="1:30" ht="15.75" customHeight="1">
      <c r="A522" s="52"/>
      <c r="B522" s="42"/>
      <c r="C522" s="42"/>
      <c r="D522" s="26"/>
      <c r="E522" s="21" t="str">
        <f>IFERROR(VLOOKUP(D522,'DATOS ASIGNACIÓN'!B:I,7,0),"")</f>
        <v/>
      </c>
      <c r="F522" s="21" t="str">
        <f>IFERROR(VLOOKUP(D522,'DATOS ASIGNACIÓN'!B:I,6,0),"")</f>
        <v/>
      </c>
      <c r="G522" s="27"/>
      <c r="H522" s="27"/>
      <c r="I522" s="27"/>
      <c r="J522" s="26"/>
      <c r="K522" s="26"/>
      <c r="L522" s="26"/>
      <c r="M522" s="28"/>
      <c r="N522" s="28"/>
      <c r="O522" s="29"/>
      <c r="P522" s="29"/>
      <c r="Q522" s="29"/>
      <c r="R522" s="29"/>
      <c r="S522" s="29"/>
      <c r="T522" s="29"/>
      <c r="U522" s="29"/>
      <c r="V522" s="10"/>
      <c r="W522" s="10"/>
      <c r="X522" s="10"/>
      <c r="Y522" s="10"/>
      <c r="Z522" s="10"/>
      <c r="AA522" s="10"/>
      <c r="AB522" s="10"/>
      <c r="AC522" s="10"/>
      <c r="AD522" s="10"/>
    </row>
    <row r="523" spans="1:30" ht="15.75" customHeight="1">
      <c r="A523" s="52"/>
      <c r="B523" s="42"/>
      <c r="C523" s="42"/>
      <c r="D523" s="26"/>
      <c r="E523" s="21" t="str">
        <f>IFERROR(VLOOKUP(D523,'DATOS ASIGNACIÓN'!B:I,7,0),"")</f>
        <v/>
      </c>
      <c r="F523" s="21" t="str">
        <f>IFERROR(VLOOKUP(D523,'DATOS ASIGNACIÓN'!B:I,6,0),"")</f>
        <v/>
      </c>
      <c r="G523" s="27"/>
      <c r="H523" s="27"/>
      <c r="I523" s="27"/>
      <c r="J523" s="26"/>
      <c r="K523" s="26"/>
      <c r="L523" s="26"/>
      <c r="M523" s="28"/>
      <c r="N523" s="28"/>
      <c r="O523" s="29"/>
      <c r="P523" s="29"/>
      <c r="Q523" s="29"/>
      <c r="R523" s="29"/>
      <c r="S523" s="29"/>
      <c r="T523" s="29"/>
      <c r="U523" s="29"/>
      <c r="V523" s="10"/>
      <c r="W523" s="10"/>
      <c r="X523" s="10"/>
      <c r="Y523" s="10"/>
      <c r="Z523" s="10"/>
      <c r="AA523" s="10"/>
      <c r="AB523" s="10"/>
      <c r="AC523" s="10"/>
      <c r="AD523" s="10"/>
    </row>
    <row r="524" spans="1:30" ht="15.75" customHeight="1">
      <c r="A524" s="52"/>
      <c r="B524" s="42"/>
      <c r="C524" s="42"/>
      <c r="D524" s="26"/>
      <c r="E524" s="21" t="str">
        <f>IFERROR(VLOOKUP(D524,'DATOS ASIGNACIÓN'!B:I,7,0),"")</f>
        <v/>
      </c>
      <c r="F524" s="21" t="str">
        <f>IFERROR(VLOOKUP(D524,'DATOS ASIGNACIÓN'!B:I,6,0),"")</f>
        <v/>
      </c>
      <c r="G524" s="27"/>
      <c r="H524" s="27"/>
      <c r="I524" s="27"/>
      <c r="J524" s="26"/>
      <c r="K524" s="26"/>
      <c r="L524" s="26"/>
      <c r="M524" s="28"/>
      <c r="N524" s="28"/>
      <c r="O524" s="29"/>
      <c r="P524" s="29"/>
      <c r="Q524" s="29"/>
      <c r="R524" s="29"/>
      <c r="S524" s="29"/>
      <c r="T524" s="29"/>
      <c r="U524" s="29"/>
      <c r="V524" s="10"/>
      <c r="W524" s="10"/>
      <c r="X524" s="10"/>
      <c r="Y524" s="10"/>
      <c r="Z524" s="10"/>
      <c r="AA524" s="10"/>
      <c r="AB524" s="10"/>
      <c r="AC524" s="10"/>
      <c r="AD524" s="10"/>
    </row>
    <row r="525" spans="1:30" ht="15.75" customHeight="1">
      <c r="A525" s="52"/>
      <c r="B525" s="42"/>
      <c r="C525" s="42"/>
      <c r="D525" s="26"/>
      <c r="E525" s="21" t="str">
        <f>IFERROR(VLOOKUP(D525,'DATOS ASIGNACIÓN'!B:I,7,0),"")</f>
        <v/>
      </c>
      <c r="F525" s="21" t="str">
        <f>IFERROR(VLOOKUP(D525,'DATOS ASIGNACIÓN'!B:I,6,0),"")</f>
        <v/>
      </c>
      <c r="G525" s="27"/>
      <c r="H525" s="27"/>
      <c r="I525" s="27"/>
      <c r="J525" s="26"/>
      <c r="K525" s="26"/>
      <c r="L525" s="26"/>
      <c r="M525" s="28"/>
      <c r="N525" s="28"/>
      <c r="O525" s="29"/>
      <c r="P525" s="29"/>
      <c r="Q525" s="29"/>
      <c r="R525" s="29"/>
      <c r="S525" s="29"/>
      <c r="T525" s="29"/>
      <c r="U525" s="29"/>
      <c r="V525" s="10"/>
      <c r="W525" s="10"/>
      <c r="X525" s="10"/>
      <c r="Y525" s="10"/>
      <c r="Z525" s="10"/>
      <c r="AA525" s="10"/>
      <c r="AB525" s="10"/>
      <c r="AC525" s="10"/>
      <c r="AD525" s="10"/>
    </row>
    <row r="526" spans="1:30" ht="15.75" customHeight="1">
      <c r="A526" s="52"/>
      <c r="B526" s="42"/>
      <c r="C526" s="42"/>
      <c r="D526" s="26"/>
      <c r="E526" s="21" t="str">
        <f>IFERROR(VLOOKUP(D526,'DATOS ASIGNACIÓN'!B:I,7,0),"")</f>
        <v/>
      </c>
      <c r="F526" s="21" t="str">
        <f>IFERROR(VLOOKUP(D526,'DATOS ASIGNACIÓN'!B:I,6,0),"")</f>
        <v/>
      </c>
      <c r="G526" s="27"/>
      <c r="H526" s="27"/>
      <c r="I526" s="27"/>
      <c r="J526" s="26"/>
      <c r="K526" s="26"/>
      <c r="L526" s="26"/>
      <c r="M526" s="28"/>
      <c r="N526" s="28"/>
      <c r="O526" s="29"/>
      <c r="P526" s="29"/>
      <c r="Q526" s="29"/>
      <c r="R526" s="29"/>
      <c r="S526" s="29"/>
      <c r="T526" s="29"/>
      <c r="U526" s="29"/>
      <c r="V526" s="10"/>
      <c r="W526" s="10"/>
      <c r="X526" s="10"/>
      <c r="Y526" s="10"/>
      <c r="Z526" s="10"/>
      <c r="AA526" s="10"/>
      <c r="AB526" s="10"/>
      <c r="AC526" s="10"/>
      <c r="AD526" s="10"/>
    </row>
    <row r="527" spans="1:30" ht="15.75" customHeight="1">
      <c r="A527" s="52"/>
      <c r="B527" s="42"/>
      <c r="C527" s="42"/>
      <c r="D527" s="26"/>
      <c r="E527" s="21" t="str">
        <f>IFERROR(VLOOKUP(D527,'DATOS ASIGNACIÓN'!B:I,7,0),"")</f>
        <v/>
      </c>
      <c r="F527" s="21" t="str">
        <f>IFERROR(VLOOKUP(D527,'DATOS ASIGNACIÓN'!B:I,6,0),"")</f>
        <v/>
      </c>
      <c r="G527" s="27"/>
      <c r="H527" s="27"/>
      <c r="I527" s="27"/>
      <c r="J527" s="26"/>
      <c r="K527" s="26"/>
      <c r="L527" s="26"/>
      <c r="M527" s="28"/>
      <c r="N527" s="28"/>
      <c r="O527" s="29"/>
      <c r="P527" s="29"/>
      <c r="Q527" s="29"/>
      <c r="R527" s="29"/>
      <c r="S527" s="29"/>
      <c r="T527" s="29"/>
      <c r="U527" s="29"/>
      <c r="V527" s="10"/>
      <c r="W527" s="10"/>
      <c r="X527" s="10"/>
      <c r="Y527" s="10"/>
      <c r="Z527" s="10"/>
      <c r="AA527" s="10"/>
      <c r="AB527" s="10"/>
      <c r="AC527" s="10"/>
      <c r="AD527" s="10"/>
    </row>
    <row r="528" spans="1:30" ht="15.75" customHeight="1">
      <c r="A528" s="52"/>
      <c r="B528" s="42"/>
      <c r="C528" s="42"/>
      <c r="D528" s="26"/>
      <c r="E528" s="21" t="str">
        <f>IFERROR(VLOOKUP(D528,'DATOS ASIGNACIÓN'!B:I,7,0),"")</f>
        <v/>
      </c>
      <c r="F528" s="21" t="str">
        <f>IFERROR(VLOOKUP(D528,'DATOS ASIGNACIÓN'!B:I,6,0),"")</f>
        <v/>
      </c>
      <c r="G528" s="27"/>
      <c r="H528" s="27"/>
      <c r="I528" s="27"/>
      <c r="J528" s="26"/>
      <c r="K528" s="26"/>
      <c r="L528" s="26"/>
      <c r="M528" s="28"/>
      <c r="N528" s="28"/>
      <c r="O528" s="29"/>
      <c r="P528" s="29"/>
      <c r="Q528" s="29"/>
      <c r="R528" s="29"/>
      <c r="S528" s="29"/>
      <c r="T528" s="29"/>
      <c r="U528" s="29"/>
      <c r="V528" s="10"/>
      <c r="W528" s="10"/>
      <c r="X528" s="10"/>
      <c r="Y528" s="10"/>
      <c r="Z528" s="10"/>
      <c r="AA528" s="10"/>
      <c r="AB528" s="10"/>
      <c r="AC528" s="10"/>
      <c r="AD528" s="10"/>
    </row>
    <row r="529" spans="1:30" ht="15.75" customHeight="1">
      <c r="A529" s="52"/>
      <c r="B529" s="42"/>
      <c r="C529" s="42"/>
      <c r="D529" s="26"/>
      <c r="E529" s="21" t="str">
        <f>IFERROR(VLOOKUP(D529,'DATOS ASIGNACIÓN'!B:I,7,0),"")</f>
        <v/>
      </c>
      <c r="F529" s="21" t="str">
        <f>IFERROR(VLOOKUP(D529,'DATOS ASIGNACIÓN'!B:I,6,0),"")</f>
        <v/>
      </c>
      <c r="G529" s="27"/>
      <c r="H529" s="27"/>
      <c r="I529" s="27"/>
      <c r="J529" s="26"/>
      <c r="K529" s="26"/>
      <c r="L529" s="26"/>
      <c r="M529" s="28"/>
      <c r="N529" s="28"/>
      <c r="O529" s="29"/>
      <c r="P529" s="29"/>
      <c r="Q529" s="29"/>
      <c r="R529" s="29"/>
      <c r="S529" s="29"/>
      <c r="T529" s="29"/>
      <c r="U529" s="29"/>
      <c r="V529" s="10"/>
      <c r="W529" s="10"/>
      <c r="X529" s="10"/>
      <c r="Y529" s="10"/>
      <c r="Z529" s="10"/>
      <c r="AA529" s="10"/>
      <c r="AB529" s="10"/>
      <c r="AC529" s="10"/>
      <c r="AD529" s="10"/>
    </row>
    <row r="530" spans="1:30" ht="15.75" customHeight="1">
      <c r="A530" s="52"/>
      <c r="B530" s="42"/>
      <c r="C530" s="42"/>
      <c r="D530" s="26"/>
      <c r="E530" s="21" t="str">
        <f>IFERROR(VLOOKUP(D530,'DATOS ASIGNACIÓN'!B:I,7,0),"")</f>
        <v/>
      </c>
      <c r="F530" s="21" t="str">
        <f>IFERROR(VLOOKUP(D530,'DATOS ASIGNACIÓN'!B:I,6,0),"")</f>
        <v/>
      </c>
      <c r="G530" s="27"/>
      <c r="H530" s="27"/>
      <c r="I530" s="27"/>
      <c r="J530" s="26"/>
      <c r="K530" s="26"/>
      <c r="L530" s="26"/>
      <c r="M530" s="28"/>
      <c r="N530" s="28"/>
      <c r="O530" s="29"/>
      <c r="P530" s="29"/>
      <c r="Q530" s="29"/>
      <c r="R530" s="29"/>
      <c r="S530" s="29"/>
      <c r="T530" s="29"/>
      <c r="U530" s="29"/>
      <c r="V530" s="10"/>
      <c r="W530" s="10"/>
      <c r="X530" s="10"/>
      <c r="Y530" s="10"/>
      <c r="Z530" s="10"/>
      <c r="AA530" s="10"/>
      <c r="AB530" s="10"/>
      <c r="AC530" s="10"/>
      <c r="AD530" s="10"/>
    </row>
    <row r="531" spans="1:30" ht="15.75" customHeight="1">
      <c r="A531" s="52"/>
      <c r="B531" s="42"/>
      <c r="C531" s="42"/>
      <c r="D531" s="26"/>
      <c r="E531" s="21" t="str">
        <f>IFERROR(VLOOKUP(D531,'DATOS ASIGNACIÓN'!B:I,7,0),"")</f>
        <v/>
      </c>
      <c r="F531" s="21" t="str">
        <f>IFERROR(VLOOKUP(D531,'DATOS ASIGNACIÓN'!B:I,6,0),"")</f>
        <v/>
      </c>
      <c r="G531" s="27"/>
      <c r="H531" s="27"/>
      <c r="I531" s="27"/>
      <c r="J531" s="26"/>
      <c r="K531" s="26"/>
      <c r="L531" s="26"/>
      <c r="M531" s="28"/>
      <c r="N531" s="28"/>
      <c r="O531" s="29"/>
      <c r="P531" s="29"/>
      <c r="Q531" s="29"/>
      <c r="R531" s="29"/>
      <c r="S531" s="29"/>
      <c r="T531" s="29"/>
      <c r="U531" s="29"/>
      <c r="V531" s="10"/>
      <c r="W531" s="10"/>
      <c r="X531" s="10"/>
      <c r="Y531" s="10"/>
      <c r="Z531" s="10"/>
      <c r="AA531" s="10"/>
      <c r="AB531" s="10"/>
      <c r="AC531" s="10"/>
      <c r="AD531" s="10"/>
    </row>
    <row r="532" spans="1:30" ht="15.75" customHeight="1">
      <c r="A532" s="52"/>
      <c r="B532" s="42"/>
      <c r="C532" s="42"/>
      <c r="D532" s="26"/>
      <c r="E532" s="21" t="str">
        <f>IFERROR(VLOOKUP(D532,'DATOS ASIGNACIÓN'!B:I,7,0),"")</f>
        <v/>
      </c>
      <c r="F532" s="21" t="str">
        <f>IFERROR(VLOOKUP(D532,'DATOS ASIGNACIÓN'!B:I,6,0),"")</f>
        <v/>
      </c>
      <c r="G532" s="27"/>
      <c r="H532" s="27"/>
      <c r="I532" s="27"/>
      <c r="J532" s="26"/>
      <c r="K532" s="26"/>
      <c r="L532" s="26"/>
      <c r="M532" s="28"/>
      <c r="N532" s="28"/>
      <c r="O532" s="29"/>
      <c r="P532" s="29"/>
      <c r="Q532" s="29"/>
      <c r="R532" s="29"/>
      <c r="S532" s="29"/>
      <c r="T532" s="29"/>
      <c r="U532" s="29"/>
      <c r="V532" s="10"/>
      <c r="W532" s="10"/>
      <c r="X532" s="10"/>
      <c r="Y532" s="10"/>
      <c r="Z532" s="10"/>
      <c r="AA532" s="10"/>
      <c r="AB532" s="10"/>
      <c r="AC532" s="10"/>
      <c r="AD532" s="10"/>
    </row>
    <row r="533" spans="1:30" ht="15.75" customHeight="1">
      <c r="A533" s="52"/>
      <c r="B533" s="42"/>
      <c r="C533" s="42"/>
      <c r="D533" s="26"/>
      <c r="E533" s="21" t="str">
        <f>IFERROR(VLOOKUP(D533,'DATOS ASIGNACIÓN'!B:I,7,0),"")</f>
        <v/>
      </c>
      <c r="F533" s="21" t="str">
        <f>IFERROR(VLOOKUP(D533,'DATOS ASIGNACIÓN'!B:I,6,0),"")</f>
        <v/>
      </c>
      <c r="G533" s="27"/>
      <c r="H533" s="27"/>
      <c r="I533" s="27"/>
      <c r="J533" s="26"/>
      <c r="K533" s="26"/>
      <c r="L533" s="26"/>
      <c r="M533" s="28"/>
      <c r="N533" s="28"/>
      <c r="O533" s="29"/>
      <c r="P533" s="29"/>
      <c r="Q533" s="29"/>
      <c r="R533" s="29"/>
      <c r="S533" s="29"/>
      <c r="T533" s="29"/>
      <c r="U533" s="29"/>
      <c r="V533" s="10"/>
      <c r="W533" s="10"/>
      <c r="X533" s="10"/>
      <c r="Y533" s="10"/>
      <c r="Z533" s="10"/>
      <c r="AA533" s="10"/>
      <c r="AB533" s="10"/>
      <c r="AC533" s="10"/>
      <c r="AD533" s="10"/>
    </row>
    <row r="534" spans="1:30" ht="15.75" customHeight="1">
      <c r="A534" s="52"/>
      <c r="B534" s="42"/>
      <c r="C534" s="42"/>
      <c r="D534" s="26"/>
      <c r="E534" s="21" t="str">
        <f>IFERROR(VLOOKUP(D534,'DATOS ASIGNACIÓN'!B:I,7,0),"")</f>
        <v/>
      </c>
      <c r="F534" s="21" t="str">
        <f>IFERROR(VLOOKUP(D534,'DATOS ASIGNACIÓN'!B:I,6,0),"")</f>
        <v/>
      </c>
      <c r="G534" s="27"/>
      <c r="H534" s="27"/>
      <c r="I534" s="27"/>
      <c r="J534" s="26"/>
      <c r="K534" s="26"/>
      <c r="L534" s="26"/>
      <c r="M534" s="28"/>
      <c r="N534" s="28"/>
      <c r="O534" s="29"/>
      <c r="P534" s="29"/>
      <c r="Q534" s="29"/>
      <c r="R534" s="29"/>
      <c r="S534" s="29"/>
      <c r="T534" s="29"/>
      <c r="U534" s="29"/>
      <c r="V534" s="10"/>
      <c r="W534" s="10"/>
      <c r="X534" s="10"/>
      <c r="Y534" s="10"/>
      <c r="Z534" s="10"/>
      <c r="AA534" s="10"/>
      <c r="AB534" s="10"/>
      <c r="AC534" s="10"/>
      <c r="AD534" s="10"/>
    </row>
    <row r="535" spans="1:30" ht="15.75" customHeight="1">
      <c r="A535" s="52"/>
      <c r="B535" s="42"/>
      <c r="C535" s="42"/>
      <c r="D535" s="26"/>
      <c r="E535" s="21" t="str">
        <f>IFERROR(VLOOKUP(D535,'DATOS ASIGNACIÓN'!B:I,7,0),"")</f>
        <v/>
      </c>
      <c r="F535" s="21" t="str">
        <f>IFERROR(VLOOKUP(D535,'DATOS ASIGNACIÓN'!B:I,6,0),"")</f>
        <v/>
      </c>
      <c r="G535" s="27"/>
      <c r="H535" s="27"/>
      <c r="I535" s="27"/>
      <c r="J535" s="26"/>
      <c r="K535" s="26"/>
      <c r="L535" s="26"/>
      <c r="M535" s="28"/>
      <c r="N535" s="28"/>
      <c r="O535" s="29"/>
      <c r="P535" s="29"/>
      <c r="Q535" s="29"/>
      <c r="R535" s="29"/>
      <c r="S535" s="29"/>
      <c r="T535" s="29"/>
      <c r="U535" s="29"/>
      <c r="V535" s="10"/>
      <c r="W535" s="10"/>
      <c r="X535" s="10"/>
      <c r="Y535" s="10"/>
      <c r="Z535" s="10"/>
      <c r="AA535" s="10"/>
      <c r="AB535" s="10"/>
      <c r="AC535" s="10"/>
      <c r="AD535" s="10"/>
    </row>
    <row r="536" spans="1:30" ht="15.75" customHeight="1">
      <c r="A536" s="52"/>
      <c r="B536" s="42"/>
      <c r="C536" s="42"/>
      <c r="D536" s="26"/>
      <c r="E536" s="21" t="str">
        <f>IFERROR(VLOOKUP(D536,'DATOS ASIGNACIÓN'!B:I,7,0),"")</f>
        <v/>
      </c>
      <c r="F536" s="21" t="str">
        <f>IFERROR(VLOOKUP(D536,'DATOS ASIGNACIÓN'!B:I,6,0),"")</f>
        <v/>
      </c>
      <c r="G536" s="27"/>
      <c r="H536" s="27"/>
      <c r="I536" s="27"/>
      <c r="J536" s="26"/>
      <c r="K536" s="26"/>
      <c r="L536" s="26"/>
      <c r="M536" s="28"/>
      <c r="N536" s="28"/>
      <c r="O536" s="29"/>
      <c r="P536" s="29"/>
      <c r="Q536" s="29"/>
      <c r="R536" s="29"/>
      <c r="S536" s="29"/>
      <c r="T536" s="29"/>
      <c r="U536" s="29"/>
      <c r="V536" s="10"/>
      <c r="W536" s="10"/>
      <c r="X536" s="10"/>
      <c r="Y536" s="10"/>
      <c r="Z536" s="10"/>
      <c r="AA536" s="10"/>
      <c r="AB536" s="10"/>
      <c r="AC536" s="10"/>
      <c r="AD536" s="10"/>
    </row>
    <row r="537" spans="1:30" ht="15.75" customHeight="1">
      <c r="A537" s="52"/>
      <c r="B537" s="42"/>
      <c r="C537" s="42"/>
      <c r="D537" s="26"/>
      <c r="E537" s="21" t="str">
        <f>IFERROR(VLOOKUP(D537,'DATOS ASIGNACIÓN'!B:I,7,0),"")</f>
        <v/>
      </c>
      <c r="F537" s="21" t="str">
        <f>IFERROR(VLOOKUP(D537,'DATOS ASIGNACIÓN'!B:I,6,0),"")</f>
        <v/>
      </c>
      <c r="G537" s="27"/>
      <c r="H537" s="27"/>
      <c r="I537" s="27"/>
      <c r="J537" s="26"/>
      <c r="K537" s="26"/>
      <c r="L537" s="26"/>
      <c r="M537" s="28"/>
      <c r="N537" s="28"/>
      <c r="O537" s="29"/>
      <c r="P537" s="29"/>
      <c r="Q537" s="29"/>
      <c r="R537" s="29"/>
      <c r="S537" s="29"/>
      <c r="T537" s="29"/>
      <c r="U537" s="29"/>
      <c r="V537" s="10"/>
      <c r="W537" s="10"/>
      <c r="X537" s="10"/>
      <c r="Y537" s="10"/>
      <c r="Z537" s="10"/>
      <c r="AA537" s="10"/>
      <c r="AB537" s="10"/>
      <c r="AC537" s="10"/>
      <c r="AD537" s="10"/>
    </row>
    <row r="538" spans="1:30" ht="15.75" customHeight="1">
      <c r="A538" s="52"/>
      <c r="B538" s="42"/>
      <c r="C538" s="42"/>
      <c r="D538" s="26"/>
      <c r="E538" s="21" t="str">
        <f>IFERROR(VLOOKUP(D538,'DATOS ASIGNACIÓN'!B:I,7,0),"")</f>
        <v/>
      </c>
      <c r="F538" s="21" t="str">
        <f>IFERROR(VLOOKUP(D538,'DATOS ASIGNACIÓN'!B:I,6,0),"")</f>
        <v/>
      </c>
      <c r="G538" s="27"/>
      <c r="H538" s="27"/>
      <c r="I538" s="27"/>
      <c r="J538" s="26"/>
      <c r="K538" s="26"/>
      <c r="L538" s="26"/>
      <c r="M538" s="28"/>
      <c r="N538" s="28"/>
      <c r="O538" s="29"/>
      <c r="P538" s="29"/>
      <c r="Q538" s="29"/>
      <c r="R538" s="29"/>
      <c r="S538" s="29"/>
      <c r="T538" s="29"/>
      <c r="U538" s="29"/>
      <c r="V538" s="10"/>
      <c r="W538" s="10"/>
      <c r="X538" s="10"/>
      <c r="Y538" s="10"/>
      <c r="Z538" s="10"/>
      <c r="AA538" s="10"/>
      <c r="AB538" s="10"/>
      <c r="AC538" s="10"/>
      <c r="AD538" s="10"/>
    </row>
    <row r="539" spans="1:30" ht="15.75" customHeight="1">
      <c r="A539" s="52"/>
      <c r="B539" s="42"/>
      <c r="C539" s="42"/>
      <c r="D539" s="26"/>
      <c r="E539" s="21" t="str">
        <f>IFERROR(VLOOKUP(D539,'DATOS ASIGNACIÓN'!B:I,7,0),"")</f>
        <v/>
      </c>
      <c r="F539" s="21" t="str">
        <f>IFERROR(VLOOKUP(D539,'DATOS ASIGNACIÓN'!B:I,6,0),"")</f>
        <v/>
      </c>
      <c r="G539" s="27"/>
      <c r="H539" s="27"/>
      <c r="I539" s="27"/>
      <c r="J539" s="26"/>
      <c r="K539" s="26"/>
      <c r="L539" s="26"/>
      <c r="M539" s="28"/>
      <c r="N539" s="28"/>
      <c r="O539" s="29"/>
      <c r="P539" s="29"/>
      <c r="Q539" s="29"/>
      <c r="R539" s="29"/>
      <c r="S539" s="29"/>
      <c r="T539" s="29"/>
      <c r="U539" s="29"/>
      <c r="V539" s="10"/>
      <c r="W539" s="10"/>
      <c r="X539" s="10"/>
      <c r="Y539" s="10"/>
      <c r="Z539" s="10"/>
      <c r="AA539" s="10"/>
      <c r="AB539" s="10"/>
      <c r="AC539" s="10"/>
      <c r="AD539" s="10"/>
    </row>
    <row r="540" spans="1:30" ht="15.75" customHeight="1">
      <c r="A540" s="52"/>
      <c r="B540" s="42"/>
      <c r="C540" s="42"/>
      <c r="D540" s="26"/>
      <c r="E540" s="21" t="str">
        <f>IFERROR(VLOOKUP(D540,'DATOS ASIGNACIÓN'!B:I,7,0),"")</f>
        <v/>
      </c>
      <c r="F540" s="21" t="str">
        <f>IFERROR(VLOOKUP(D540,'DATOS ASIGNACIÓN'!B:I,6,0),"")</f>
        <v/>
      </c>
      <c r="G540" s="27"/>
      <c r="H540" s="27"/>
      <c r="I540" s="27"/>
      <c r="J540" s="26"/>
      <c r="K540" s="26"/>
      <c r="L540" s="26"/>
      <c r="M540" s="28"/>
      <c r="N540" s="28"/>
      <c r="O540" s="29"/>
      <c r="P540" s="29"/>
      <c r="Q540" s="29"/>
      <c r="R540" s="29"/>
      <c r="S540" s="29"/>
      <c r="T540" s="29"/>
      <c r="U540" s="29"/>
      <c r="V540" s="10"/>
      <c r="W540" s="10"/>
      <c r="X540" s="10"/>
      <c r="Y540" s="10"/>
      <c r="Z540" s="10"/>
      <c r="AA540" s="10"/>
      <c r="AB540" s="10"/>
      <c r="AC540" s="10"/>
      <c r="AD540" s="10"/>
    </row>
    <row r="541" spans="1:30" ht="15.75" customHeight="1">
      <c r="A541" s="52"/>
      <c r="B541" s="42"/>
      <c r="C541" s="42"/>
      <c r="D541" s="26"/>
      <c r="E541" s="21" t="str">
        <f>IFERROR(VLOOKUP(D541,'DATOS ASIGNACIÓN'!B:I,7,0),"")</f>
        <v/>
      </c>
      <c r="F541" s="21" t="str">
        <f>IFERROR(VLOOKUP(D541,'DATOS ASIGNACIÓN'!B:I,6,0),"")</f>
        <v/>
      </c>
      <c r="G541" s="27"/>
      <c r="H541" s="27"/>
      <c r="I541" s="27"/>
      <c r="J541" s="26"/>
      <c r="K541" s="26"/>
      <c r="L541" s="26"/>
      <c r="M541" s="28"/>
      <c r="N541" s="28"/>
      <c r="O541" s="29"/>
      <c r="P541" s="29"/>
      <c r="Q541" s="29"/>
      <c r="R541" s="29"/>
      <c r="S541" s="29"/>
      <c r="T541" s="29"/>
      <c r="U541" s="29"/>
      <c r="V541" s="10"/>
      <c r="W541" s="10"/>
      <c r="X541" s="10"/>
      <c r="Y541" s="10"/>
      <c r="Z541" s="10"/>
      <c r="AA541" s="10"/>
      <c r="AB541" s="10"/>
      <c r="AC541" s="10"/>
      <c r="AD541" s="10"/>
    </row>
    <row r="542" spans="1:30" ht="15.75" customHeight="1">
      <c r="A542" s="52"/>
      <c r="B542" s="42"/>
      <c r="C542" s="42"/>
      <c r="D542" s="26"/>
      <c r="E542" s="21" t="str">
        <f>IFERROR(VLOOKUP(D542,'DATOS ASIGNACIÓN'!B:I,7,0),"")</f>
        <v/>
      </c>
      <c r="F542" s="21" t="str">
        <f>IFERROR(VLOOKUP(D542,'DATOS ASIGNACIÓN'!B:I,6,0),"")</f>
        <v/>
      </c>
      <c r="G542" s="27"/>
      <c r="H542" s="27"/>
      <c r="I542" s="27"/>
      <c r="J542" s="26"/>
      <c r="K542" s="26"/>
      <c r="L542" s="26"/>
      <c r="M542" s="28"/>
      <c r="N542" s="28"/>
      <c r="O542" s="29"/>
      <c r="P542" s="29"/>
      <c r="Q542" s="29"/>
      <c r="R542" s="29"/>
      <c r="S542" s="29"/>
      <c r="T542" s="29"/>
      <c r="U542" s="29"/>
      <c r="V542" s="10"/>
      <c r="W542" s="10"/>
      <c r="X542" s="10"/>
      <c r="Y542" s="10"/>
      <c r="Z542" s="10"/>
      <c r="AA542" s="10"/>
      <c r="AB542" s="10"/>
      <c r="AC542" s="10"/>
      <c r="AD542" s="10"/>
    </row>
    <row r="543" spans="1:30" ht="15.75" customHeight="1">
      <c r="A543" s="52"/>
      <c r="B543" s="42"/>
      <c r="C543" s="42"/>
      <c r="D543" s="26"/>
      <c r="E543" s="21" t="str">
        <f>IFERROR(VLOOKUP(D543,'DATOS ASIGNACIÓN'!B:I,7,0),"")</f>
        <v/>
      </c>
      <c r="F543" s="21" t="str">
        <f>IFERROR(VLOOKUP(D543,'DATOS ASIGNACIÓN'!B:I,6,0),"")</f>
        <v/>
      </c>
      <c r="G543" s="27"/>
      <c r="H543" s="27"/>
      <c r="I543" s="27"/>
      <c r="J543" s="26"/>
      <c r="K543" s="26"/>
      <c r="L543" s="26"/>
      <c r="M543" s="28"/>
      <c r="N543" s="28"/>
      <c r="O543" s="29"/>
      <c r="P543" s="29"/>
      <c r="Q543" s="29"/>
      <c r="R543" s="29"/>
      <c r="S543" s="29"/>
      <c r="T543" s="29"/>
      <c r="U543" s="29"/>
      <c r="V543" s="10"/>
      <c r="W543" s="10"/>
      <c r="X543" s="10"/>
      <c r="Y543" s="10"/>
      <c r="Z543" s="10"/>
      <c r="AA543" s="10"/>
      <c r="AB543" s="10"/>
      <c r="AC543" s="10"/>
      <c r="AD543" s="10"/>
    </row>
    <row r="544" spans="1:30" ht="15.75" customHeight="1">
      <c r="A544" s="52"/>
      <c r="B544" s="42"/>
      <c r="C544" s="42"/>
      <c r="D544" s="26"/>
      <c r="E544" s="21" t="str">
        <f>IFERROR(VLOOKUP(D544,'DATOS ASIGNACIÓN'!B:I,7,0),"")</f>
        <v/>
      </c>
      <c r="F544" s="21" t="str">
        <f>IFERROR(VLOOKUP(D544,'DATOS ASIGNACIÓN'!B:I,6,0),"")</f>
        <v/>
      </c>
      <c r="G544" s="27"/>
      <c r="H544" s="27"/>
      <c r="I544" s="27"/>
      <c r="J544" s="26"/>
      <c r="K544" s="26"/>
      <c r="L544" s="26"/>
      <c r="M544" s="28"/>
      <c r="N544" s="28"/>
      <c r="O544" s="29"/>
      <c r="P544" s="29"/>
      <c r="Q544" s="29"/>
      <c r="R544" s="29"/>
      <c r="S544" s="29"/>
      <c r="T544" s="29"/>
      <c r="U544" s="29"/>
      <c r="V544" s="10"/>
      <c r="W544" s="10"/>
      <c r="X544" s="10"/>
      <c r="Y544" s="10"/>
      <c r="Z544" s="10"/>
      <c r="AA544" s="10"/>
      <c r="AB544" s="10"/>
      <c r="AC544" s="10"/>
      <c r="AD544" s="10"/>
    </row>
    <row r="545" spans="1:30" ht="15.75" customHeight="1">
      <c r="A545" s="52"/>
      <c r="B545" s="42"/>
      <c r="C545" s="42"/>
      <c r="D545" s="26"/>
      <c r="E545" s="21" t="str">
        <f>IFERROR(VLOOKUP(D545,'DATOS ASIGNACIÓN'!B:I,7,0),"")</f>
        <v/>
      </c>
      <c r="F545" s="21" t="str">
        <f>IFERROR(VLOOKUP(D545,'DATOS ASIGNACIÓN'!B:I,6,0),"")</f>
        <v/>
      </c>
      <c r="G545" s="27"/>
      <c r="H545" s="27"/>
      <c r="I545" s="27"/>
      <c r="J545" s="26"/>
      <c r="K545" s="26"/>
      <c r="L545" s="26"/>
      <c r="M545" s="28"/>
      <c r="N545" s="28"/>
      <c r="O545" s="29"/>
      <c r="P545" s="29"/>
      <c r="Q545" s="29"/>
      <c r="R545" s="29"/>
      <c r="S545" s="29"/>
      <c r="T545" s="29"/>
      <c r="U545" s="29"/>
      <c r="V545" s="10"/>
      <c r="W545" s="10"/>
      <c r="X545" s="10"/>
      <c r="Y545" s="10"/>
      <c r="Z545" s="10"/>
      <c r="AA545" s="10"/>
      <c r="AB545" s="10"/>
      <c r="AC545" s="10"/>
      <c r="AD545" s="10"/>
    </row>
    <row r="546" spans="1:30" ht="15.75" customHeight="1">
      <c r="A546" s="52"/>
      <c r="B546" s="42"/>
      <c r="C546" s="42"/>
      <c r="D546" s="26"/>
      <c r="E546" s="21" t="str">
        <f>IFERROR(VLOOKUP(D546,'DATOS ASIGNACIÓN'!B:I,7,0),"")</f>
        <v/>
      </c>
      <c r="F546" s="21" t="str">
        <f>IFERROR(VLOOKUP(D546,'DATOS ASIGNACIÓN'!B:I,6,0),"")</f>
        <v/>
      </c>
      <c r="G546" s="27"/>
      <c r="H546" s="27"/>
      <c r="I546" s="27"/>
      <c r="J546" s="26"/>
      <c r="K546" s="26"/>
      <c r="L546" s="26"/>
      <c r="M546" s="28"/>
      <c r="N546" s="28"/>
      <c r="O546" s="29"/>
      <c r="P546" s="29"/>
      <c r="Q546" s="29"/>
      <c r="R546" s="29"/>
      <c r="S546" s="29"/>
      <c r="T546" s="29"/>
      <c r="U546" s="29"/>
      <c r="V546" s="10"/>
      <c r="W546" s="10"/>
      <c r="X546" s="10"/>
      <c r="Y546" s="10"/>
      <c r="Z546" s="10"/>
      <c r="AA546" s="10"/>
      <c r="AB546" s="10"/>
      <c r="AC546" s="10"/>
      <c r="AD546" s="10"/>
    </row>
    <row r="547" spans="1:30" ht="15.75" customHeight="1">
      <c r="A547" s="52"/>
      <c r="B547" s="42"/>
      <c r="C547" s="42"/>
      <c r="D547" s="26"/>
      <c r="E547" s="21" t="str">
        <f>IFERROR(VLOOKUP(D547,'DATOS ASIGNACIÓN'!B:I,7,0),"")</f>
        <v/>
      </c>
      <c r="F547" s="21" t="str">
        <f>IFERROR(VLOOKUP(D547,'DATOS ASIGNACIÓN'!B:I,6,0),"")</f>
        <v/>
      </c>
      <c r="G547" s="27"/>
      <c r="H547" s="27"/>
      <c r="I547" s="27"/>
      <c r="J547" s="26"/>
      <c r="K547" s="26"/>
      <c r="L547" s="26"/>
      <c r="M547" s="28"/>
      <c r="N547" s="28"/>
      <c r="O547" s="29"/>
      <c r="P547" s="29"/>
      <c r="Q547" s="29"/>
      <c r="R547" s="29"/>
      <c r="S547" s="29"/>
      <c r="T547" s="29"/>
      <c r="U547" s="29"/>
      <c r="V547" s="10"/>
      <c r="W547" s="10"/>
      <c r="X547" s="10"/>
      <c r="Y547" s="10"/>
      <c r="Z547" s="10"/>
      <c r="AA547" s="10"/>
      <c r="AB547" s="10"/>
      <c r="AC547" s="10"/>
      <c r="AD547" s="10"/>
    </row>
    <row r="548" spans="1:30" ht="15.75" customHeight="1">
      <c r="A548" s="52"/>
      <c r="B548" s="42"/>
      <c r="C548" s="42"/>
      <c r="D548" s="26"/>
      <c r="E548" s="21" t="str">
        <f>IFERROR(VLOOKUP(D548,'DATOS ASIGNACIÓN'!B:I,7,0),"")</f>
        <v/>
      </c>
      <c r="F548" s="21" t="str">
        <f>IFERROR(VLOOKUP(D548,'DATOS ASIGNACIÓN'!B:I,6,0),"")</f>
        <v/>
      </c>
      <c r="G548" s="27"/>
      <c r="H548" s="27"/>
      <c r="I548" s="27"/>
      <c r="J548" s="26"/>
      <c r="K548" s="26"/>
      <c r="L548" s="26"/>
      <c r="M548" s="28"/>
      <c r="N548" s="28"/>
      <c r="O548" s="29"/>
      <c r="P548" s="29"/>
      <c r="Q548" s="29"/>
      <c r="R548" s="29"/>
      <c r="S548" s="29"/>
      <c r="T548" s="29"/>
      <c r="U548" s="29"/>
      <c r="V548" s="10"/>
      <c r="W548" s="10"/>
      <c r="X548" s="10"/>
      <c r="Y548" s="10"/>
      <c r="Z548" s="10"/>
      <c r="AA548" s="10"/>
      <c r="AB548" s="10"/>
      <c r="AC548" s="10"/>
      <c r="AD548" s="10"/>
    </row>
    <row r="549" spans="1:30" ht="15.75" customHeight="1">
      <c r="A549" s="52"/>
      <c r="B549" s="42"/>
      <c r="C549" s="42"/>
      <c r="D549" s="26"/>
      <c r="E549" s="21" t="str">
        <f>IFERROR(VLOOKUP(D549,'DATOS ASIGNACIÓN'!B:I,7,0),"")</f>
        <v/>
      </c>
      <c r="F549" s="21" t="str">
        <f>IFERROR(VLOOKUP(D549,'DATOS ASIGNACIÓN'!B:I,6,0),"")</f>
        <v/>
      </c>
      <c r="G549" s="27"/>
      <c r="H549" s="27"/>
      <c r="I549" s="27"/>
      <c r="J549" s="26"/>
      <c r="K549" s="26"/>
      <c r="L549" s="26"/>
      <c r="M549" s="28"/>
      <c r="N549" s="28"/>
      <c r="O549" s="29"/>
      <c r="P549" s="29"/>
      <c r="Q549" s="29"/>
      <c r="R549" s="29"/>
      <c r="S549" s="29"/>
      <c r="T549" s="29"/>
      <c r="U549" s="29"/>
      <c r="V549" s="10"/>
      <c r="W549" s="10"/>
      <c r="X549" s="10"/>
      <c r="Y549" s="10"/>
      <c r="Z549" s="10"/>
      <c r="AA549" s="10"/>
      <c r="AB549" s="10"/>
      <c r="AC549" s="10"/>
      <c r="AD549" s="10"/>
    </row>
    <row r="550" spans="1:30" ht="15.75" customHeight="1">
      <c r="A550" s="52"/>
      <c r="B550" s="42"/>
      <c r="C550" s="42"/>
      <c r="D550" s="26"/>
      <c r="E550" s="21" t="str">
        <f>IFERROR(VLOOKUP(D550,'DATOS ASIGNACIÓN'!B:I,7,0),"")</f>
        <v/>
      </c>
      <c r="F550" s="21" t="str">
        <f>IFERROR(VLOOKUP(D550,'DATOS ASIGNACIÓN'!B:I,6,0),"")</f>
        <v/>
      </c>
      <c r="G550" s="27"/>
      <c r="H550" s="27"/>
      <c r="I550" s="27"/>
      <c r="J550" s="26"/>
      <c r="K550" s="26"/>
      <c r="L550" s="26"/>
      <c r="M550" s="28"/>
      <c r="N550" s="28"/>
      <c r="O550" s="29"/>
      <c r="P550" s="29"/>
      <c r="Q550" s="29"/>
      <c r="R550" s="29"/>
      <c r="S550" s="29"/>
      <c r="T550" s="29"/>
      <c r="U550" s="29"/>
      <c r="V550" s="10"/>
      <c r="W550" s="10"/>
      <c r="X550" s="10"/>
      <c r="Y550" s="10"/>
      <c r="Z550" s="10"/>
      <c r="AA550" s="10"/>
      <c r="AB550" s="10"/>
      <c r="AC550" s="10"/>
      <c r="AD550" s="10"/>
    </row>
    <row r="551" spans="1:30" ht="15.75" customHeight="1">
      <c r="A551" s="52"/>
      <c r="B551" s="42"/>
      <c r="C551" s="42"/>
      <c r="D551" s="26"/>
      <c r="E551" s="21" t="str">
        <f>IFERROR(VLOOKUP(D551,'DATOS ASIGNACIÓN'!B:I,7,0),"")</f>
        <v/>
      </c>
      <c r="F551" s="21" t="str">
        <f>IFERROR(VLOOKUP(D551,'DATOS ASIGNACIÓN'!B:I,6,0),"")</f>
        <v/>
      </c>
      <c r="G551" s="27"/>
      <c r="H551" s="27"/>
      <c r="I551" s="27"/>
      <c r="J551" s="26"/>
      <c r="K551" s="26"/>
      <c r="L551" s="26"/>
      <c r="M551" s="28"/>
      <c r="N551" s="28"/>
      <c r="O551" s="29"/>
      <c r="P551" s="29"/>
      <c r="Q551" s="29"/>
      <c r="R551" s="29"/>
      <c r="S551" s="29"/>
      <c r="T551" s="29"/>
      <c r="U551" s="29"/>
      <c r="V551" s="10"/>
      <c r="W551" s="10"/>
      <c r="X551" s="10"/>
      <c r="Y551" s="10"/>
      <c r="Z551" s="10"/>
      <c r="AA551" s="10"/>
      <c r="AB551" s="10"/>
      <c r="AC551" s="10"/>
      <c r="AD551" s="10"/>
    </row>
    <row r="552" spans="1:30" ht="15.75" customHeight="1">
      <c r="A552" s="52"/>
      <c r="B552" s="42"/>
      <c r="C552" s="42"/>
      <c r="D552" s="26"/>
      <c r="E552" s="21" t="str">
        <f>IFERROR(VLOOKUP(D552,'DATOS ASIGNACIÓN'!B:I,7,0),"")</f>
        <v/>
      </c>
      <c r="F552" s="21" t="str">
        <f>IFERROR(VLOOKUP(D552,'DATOS ASIGNACIÓN'!B:I,6,0),"")</f>
        <v/>
      </c>
      <c r="G552" s="27"/>
      <c r="H552" s="27"/>
      <c r="I552" s="27"/>
      <c r="J552" s="26"/>
      <c r="K552" s="26"/>
      <c r="L552" s="26"/>
      <c r="M552" s="28"/>
      <c r="N552" s="28"/>
      <c r="O552" s="29"/>
      <c r="P552" s="29"/>
      <c r="Q552" s="29"/>
      <c r="R552" s="29"/>
      <c r="S552" s="29"/>
      <c r="T552" s="29"/>
      <c r="U552" s="29"/>
      <c r="V552" s="10"/>
      <c r="W552" s="10"/>
      <c r="X552" s="10"/>
      <c r="Y552" s="10"/>
      <c r="Z552" s="10"/>
      <c r="AA552" s="10"/>
      <c r="AB552" s="10"/>
      <c r="AC552" s="10"/>
      <c r="AD552" s="10"/>
    </row>
    <row r="553" spans="1:30" ht="15.75" customHeight="1">
      <c r="A553" s="52"/>
      <c r="B553" s="42"/>
      <c r="C553" s="42"/>
      <c r="D553" s="26"/>
      <c r="E553" s="21" t="str">
        <f>IFERROR(VLOOKUP(D553,'DATOS ASIGNACIÓN'!B:I,7,0),"")</f>
        <v/>
      </c>
      <c r="F553" s="21" t="str">
        <f>IFERROR(VLOOKUP(D553,'DATOS ASIGNACIÓN'!B:I,6,0),"")</f>
        <v/>
      </c>
      <c r="G553" s="27"/>
      <c r="H553" s="27"/>
      <c r="I553" s="27"/>
      <c r="J553" s="26"/>
      <c r="K553" s="26"/>
      <c r="L553" s="26"/>
      <c r="M553" s="28"/>
      <c r="N553" s="28"/>
      <c r="O553" s="29"/>
      <c r="P553" s="29"/>
      <c r="Q553" s="29"/>
      <c r="R553" s="29"/>
      <c r="S553" s="29"/>
      <c r="T553" s="29"/>
      <c r="U553" s="29"/>
      <c r="V553" s="10"/>
      <c r="W553" s="10"/>
      <c r="X553" s="10"/>
      <c r="Y553" s="10"/>
      <c r="Z553" s="10"/>
      <c r="AA553" s="10"/>
      <c r="AB553" s="10"/>
      <c r="AC553" s="10"/>
      <c r="AD553" s="10"/>
    </row>
    <row r="554" spans="1:30" ht="15.75" customHeight="1">
      <c r="A554" s="52"/>
      <c r="B554" s="42"/>
      <c r="C554" s="42"/>
      <c r="D554" s="26"/>
      <c r="E554" s="21" t="str">
        <f>IFERROR(VLOOKUP(D554,'DATOS ASIGNACIÓN'!B:I,7,0),"")</f>
        <v/>
      </c>
      <c r="F554" s="21" t="str">
        <f>IFERROR(VLOOKUP(D554,'DATOS ASIGNACIÓN'!B:I,6,0),"")</f>
        <v/>
      </c>
      <c r="G554" s="27"/>
      <c r="H554" s="27"/>
      <c r="I554" s="27"/>
      <c r="J554" s="26"/>
      <c r="K554" s="26"/>
      <c r="L554" s="26"/>
      <c r="M554" s="28"/>
      <c r="N554" s="28"/>
      <c r="O554" s="29"/>
      <c r="P554" s="29"/>
      <c r="Q554" s="29"/>
      <c r="R554" s="29"/>
      <c r="S554" s="29"/>
      <c r="T554" s="29"/>
      <c r="U554" s="29"/>
      <c r="V554" s="10"/>
      <c r="W554" s="10"/>
      <c r="X554" s="10"/>
      <c r="Y554" s="10"/>
      <c r="Z554" s="10"/>
      <c r="AA554" s="10"/>
      <c r="AB554" s="10"/>
      <c r="AC554" s="10"/>
      <c r="AD554" s="10"/>
    </row>
    <row r="555" spans="1:30" ht="15.75" customHeight="1">
      <c r="A555" s="52"/>
      <c r="B555" s="42"/>
      <c r="C555" s="42"/>
      <c r="D555" s="26"/>
      <c r="E555" s="21" t="str">
        <f>IFERROR(VLOOKUP(D555,'DATOS ASIGNACIÓN'!B:I,7,0),"")</f>
        <v/>
      </c>
      <c r="F555" s="21" t="str">
        <f>IFERROR(VLOOKUP(D555,'DATOS ASIGNACIÓN'!B:I,6,0),"")</f>
        <v/>
      </c>
      <c r="G555" s="27"/>
      <c r="H555" s="27"/>
      <c r="I555" s="27"/>
      <c r="J555" s="26"/>
      <c r="K555" s="26"/>
      <c r="L555" s="26"/>
      <c r="M555" s="28"/>
      <c r="N555" s="28"/>
      <c r="O555" s="29"/>
      <c r="P555" s="29"/>
      <c r="Q555" s="29"/>
      <c r="R555" s="29"/>
      <c r="S555" s="29"/>
      <c r="T555" s="29"/>
      <c r="U555" s="29"/>
      <c r="V555" s="10"/>
      <c r="W555" s="10"/>
      <c r="X555" s="10"/>
      <c r="Y555" s="10"/>
      <c r="Z555" s="10"/>
      <c r="AA555" s="10"/>
      <c r="AB555" s="10"/>
      <c r="AC555" s="10"/>
      <c r="AD555" s="10"/>
    </row>
    <row r="556" spans="1:30" ht="15.75" customHeight="1">
      <c r="A556" s="52"/>
      <c r="B556" s="42"/>
      <c r="C556" s="42"/>
      <c r="D556" s="26"/>
      <c r="E556" s="21" t="str">
        <f>IFERROR(VLOOKUP(D556,'DATOS ASIGNACIÓN'!B:I,7,0),"")</f>
        <v/>
      </c>
      <c r="F556" s="21" t="str">
        <f>IFERROR(VLOOKUP(D556,'DATOS ASIGNACIÓN'!B:I,6,0),"")</f>
        <v/>
      </c>
      <c r="G556" s="27"/>
      <c r="H556" s="27"/>
      <c r="I556" s="27"/>
      <c r="J556" s="26"/>
      <c r="K556" s="26"/>
      <c r="L556" s="26"/>
      <c r="M556" s="28"/>
      <c r="N556" s="28"/>
      <c r="O556" s="29"/>
      <c r="P556" s="29"/>
      <c r="Q556" s="29"/>
      <c r="R556" s="29"/>
      <c r="S556" s="29"/>
      <c r="T556" s="29"/>
      <c r="U556" s="29"/>
      <c r="V556" s="10"/>
      <c r="W556" s="10"/>
      <c r="X556" s="10"/>
      <c r="Y556" s="10"/>
      <c r="Z556" s="10"/>
      <c r="AA556" s="10"/>
      <c r="AB556" s="10"/>
      <c r="AC556" s="10"/>
      <c r="AD556" s="10"/>
    </row>
    <row r="557" spans="1:30" ht="15.75" customHeight="1">
      <c r="A557" s="52"/>
      <c r="B557" s="42"/>
      <c r="C557" s="42"/>
      <c r="D557" s="26"/>
      <c r="E557" s="21" t="str">
        <f>IFERROR(VLOOKUP(D557,'DATOS ASIGNACIÓN'!B:I,7,0),"")</f>
        <v/>
      </c>
      <c r="F557" s="21" t="str">
        <f>IFERROR(VLOOKUP(D557,'DATOS ASIGNACIÓN'!B:I,6,0),"")</f>
        <v/>
      </c>
      <c r="G557" s="27"/>
      <c r="H557" s="27"/>
      <c r="I557" s="27"/>
      <c r="J557" s="26"/>
      <c r="K557" s="26"/>
      <c r="L557" s="26"/>
      <c r="M557" s="28"/>
      <c r="N557" s="28"/>
      <c r="O557" s="29"/>
      <c r="P557" s="29"/>
      <c r="Q557" s="29"/>
      <c r="R557" s="29"/>
      <c r="S557" s="29"/>
      <c r="T557" s="29"/>
      <c r="U557" s="29"/>
      <c r="V557" s="10"/>
      <c r="W557" s="10"/>
      <c r="X557" s="10"/>
      <c r="Y557" s="10"/>
      <c r="Z557" s="10"/>
      <c r="AA557" s="10"/>
      <c r="AB557" s="10"/>
      <c r="AC557" s="10"/>
      <c r="AD557" s="10"/>
    </row>
    <row r="558" spans="1:30" ht="15.75" customHeight="1">
      <c r="A558" s="52"/>
      <c r="B558" s="42"/>
      <c r="C558" s="42"/>
      <c r="D558" s="26"/>
      <c r="E558" s="21" t="str">
        <f>IFERROR(VLOOKUP(D558,'DATOS ASIGNACIÓN'!B:I,7,0),"")</f>
        <v/>
      </c>
      <c r="F558" s="21" t="str">
        <f>IFERROR(VLOOKUP(D558,'DATOS ASIGNACIÓN'!B:I,6,0),"")</f>
        <v/>
      </c>
      <c r="G558" s="27"/>
      <c r="H558" s="27"/>
      <c r="I558" s="27"/>
      <c r="J558" s="26"/>
      <c r="K558" s="26"/>
      <c r="L558" s="26"/>
      <c r="M558" s="28"/>
      <c r="N558" s="28"/>
      <c r="O558" s="29"/>
      <c r="P558" s="29"/>
      <c r="Q558" s="29"/>
      <c r="R558" s="29"/>
      <c r="S558" s="29"/>
      <c r="T558" s="29"/>
      <c r="U558" s="29"/>
      <c r="V558" s="10"/>
      <c r="W558" s="10"/>
      <c r="X558" s="10"/>
      <c r="Y558" s="10"/>
      <c r="Z558" s="10"/>
      <c r="AA558" s="10"/>
      <c r="AB558" s="10"/>
      <c r="AC558" s="10"/>
      <c r="AD558" s="10"/>
    </row>
    <row r="559" spans="1:30" ht="15.75" customHeight="1">
      <c r="A559" s="52"/>
      <c r="B559" s="42"/>
      <c r="C559" s="42"/>
      <c r="D559" s="26"/>
      <c r="E559" s="21" t="str">
        <f>IFERROR(VLOOKUP(D559,'DATOS ASIGNACIÓN'!B:I,7,0),"")</f>
        <v/>
      </c>
      <c r="F559" s="21" t="str">
        <f>IFERROR(VLOOKUP(D559,'DATOS ASIGNACIÓN'!B:I,6,0),"")</f>
        <v/>
      </c>
      <c r="G559" s="27"/>
      <c r="H559" s="27"/>
      <c r="I559" s="27"/>
      <c r="J559" s="26"/>
      <c r="K559" s="26"/>
      <c r="L559" s="26"/>
      <c r="M559" s="28"/>
      <c r="N559" s="28"/>
      <c r="O559" s="29"/>
      <c r="P559" s="29"/>
      <c r="Q559" s="29"/>
      <c r="R559" s="29"/>
      <c r="S559" s="29"/>
      <c r="T559" s="29"/>
      <c r="U559" s="29"/>
      <c r="V559" s="10"/>
      <c r="W559" s="10"/>
      <c r="X559" s="10"/>
      <c r="Y559" s="10"/>
      <c r="Z559" s="10"/>
      <c r="AA559" s="10"/>
      <c r="AB559" s="10"/>
      <c r="AC559" s="10"/>
      <c r="AD559" s="10"/>
    </row>
    <row r="560" spans="1:30" ht="15.75" customHeight="1">
      <c r="A560" s="52"/>
      <c r="B560" s="42"/>
      <c r="C560" s="42"/>
      <c r="D560" s="26"/>
      <c r="E560" s="21" t="str">
        <f>IFERROR(VLOOKUP(D560,'DATOS ASIGNACIÓN'!B:I,7,0),"")</f>
        <v/>
      </c>
      <c r="F560" s="21" t="str">
        <f>IFERROR(VLOOKUP(D560,'DATOS ASIGNACIÓN'!B:I,6,0),"")</f>
        <v/>
      </c>
      <c r="G560" s="27"/>
      <c r="H560" s="27"/>
      <c r="I560" s="27"/>
      <c r="J560" s="26"/>
      <c r="K560" s="26"/>
      <c r="L560" s="26"/>
      <c r="M560" s="28"/>
      <c r="N560" s="28"/>
      <c r="O560" s="29"/>
      <c r="P560" s="29"/>
      <c r="Q560" s="29"/>
      <c r="R560" s="29"/>
      <c r="S560" s="29"/>
      <c r="T560" s="29"/>
      <c r="U560" s="29"/>
      <c r="V560" s="10"/>
      <c r="W560" s="10"/>
      <c r="X560" s="10"/>
      <c r="Y560" s="10"/>
      <c r="Z560" s="10"/>
      <c r="AA560" s="10"/>
      <c r="AB560" s="10"/>
      <c r="AC560" s="10"/>
      <c r="AD560" s="10"/>
    </row>
    <row r="561" spans="1:30" ht="15.75" customHeight="1">
      <c r="A561" s="52"/>
      <c r="B561" s="42"/>
      <c r="C561" s="42"/>
      <c r="D561" s="26"/>
      <c r="E561" s="21" t="str">
        <f>IFERROR(VLOOKUP(D561,'DATOS ASIGNACIÓN'!B:I,7,0),"")</f>
        <v/>
      </c>
      <c r="F561" s="21" t="str">
        <f>IFERROR(VLOOKUP(D561,'DATOS ASIGNACIÓN'!B:I,6,0),"")</f>
        <v/>
      </c>
      <c r="G561" s="27"/>
      <c r="H561" s="27"/>
      <c r="I561" s="27"/>
      <c r="J561" s="26"/>
      <c r="K561" s="26"/>
      <c r="L561" s="26"/>
      <c r="M561" s="28"/>
      <c r="N561" s="28"/>
      <c r="O561" s="29"/>
      <c r="P561" s="29"/>
      <c r="Q561" s="29"/>
      <c r="R561" s="29"/>
      <c r="S561" s="29"/>
      <c r="T561" s="29"/>
      <c r="U561" s="29"/>
      <c r="V561" s="10"/>
      <c r="W561" s="10"/>
      <c r="X561" s="10"/>
      <c r="Y561" s="10"/>
      <c r="Z561" s="10"/>
      <c r="AA561" s="10"/>
      <c r="AB561" s="10"/>
      <c r="AC561" s="10"/>
      <c r="AD561" s="10"/>
    </row>
    <row r="562" spans="1:30" ht="15.75" customHeight="1">
      <c r="A562" s="52"/>
      <c r="B562" s="42"/>
      <c r="C562" s="42"/>
      <c r="D562" s="26"/>
      <c r="E562" s="21" t="str">
        <f>IFERROR(VLOOKUP(D562,'DATOS ASIGNACIÓN'!B:I,7,0),"")</f>
        <v/>
      </c>
      <c r="F562" s="21" t="str">
        <f>IFERROR(VLOOKUP(D562,'DATOS ASIGNACIÓN'!B:I,6,0),"")</f>
        <v/>
      </c>
      <c r="G562" s="27"/>
      <c r="H562" s="27"/>
      <c r="I562" s="27"/>
      <c r="J562" s="26"/>
      <c r="K562" s="26"/>
      <c r="L562" s="26"/>
      <c r="M562" s="28"/>
      <c r="N562" s="28"/>
      <c r="O562" s="29"/>
      <c r="P562" s="29"/>
      <c r="Q562" s="29"/>
      <c r="R562" s="29"/>
      <c r="S562" s="29"/>
      <c r="T562" s="29"/>
      <c r="U562" s="29"/>
      <c r="V562" s="10"/>
      <c r="W562" s="10"/>
      <c r="X562" s="10"/>
      <c r="Y562" s="10"/>
      <c r="Z562" s="10"/>
      <c r="AA562" s="10"/>
      <c r="AB562" s="10"/>
      <c r="AC562" s="10"/>
      <c r="AD562" s="10"/>
    </row>
    <row r="563" spans="1:30" ht="15.75" customHeight="1">
      <c r="A563" s="52"/>
      <c r="B563" s="42"/>
      <c r="C563" s="42"/>
      <c r="D563" s="26"/>
      <c r="E563" s="21" t="str">
        <f>IFERROR(VLOOKUP(D563,'DATOS ASIGNACIÓN'!B:I,7,0),"")</f>
        <v/>
      </c>
      <c r="F563" s="21" t="str">
        <f>IFERROR(VLOOKUP(D563,'DATOS ASIGNACIÓN'!B:I,6,0),"")</f>
        <v/>
      </c>
      <c r="G563" s="27"/>
      <c r="H563" s="27"/>
      <c r="I563" s="27"/>
      <c r="J563" s="26"/>
      <c r="K563" s="26"/>
      <c r="L563" s="26"/>
      <c r="M563" s="28"/>
      <c r="N563" s="28"/>
      <c r="O563" s="29"/>
      <c r="P563" s="29"/>
      <c r="Q563" s="29"/>
      <c r="R563" s="29"/>
      <c r="S563" s="29"/>
      <c r="T563" s="29"/>
      <c r="U563" s="29"/>
      <c r="V563" s="10"/>
      <c r="W563" s="10"/>
      <c r="X563" s="10"/>
      <c r="Y563" s="10"/>
      <c r="Z563" s="10"/>
      <c r="AA563" s="10"/>
      <c r="AB563" s="10"/>
      <c r="AC563" s="10"/>
      <c r="AD563" s="10"/>
    </row>
    <row r="564" spans="1:30" ht="15.75" customHeight="1">
      <c r="A564" s="52"/>
      <c r="B564" s="42"/>
      <c r="C564" s="42"/>
      <c r="D564" s="26"/>
      <c r="E564" s="21" t="str">
        <f>IFERROR(VLOOKUP(D564,'DATOS ASIGNACIÓN'!B:I,7,0),"")</f>
        <v/>
      </c>
      <c r="F564" s="21" t="str">
        <f>IFERROR(VLOOKUP(D564,'DATOS ASIGNACIÓN'!B:I,6,0),"")</f>
        <v/>
      </c>
      <c r="G564" s="27"/>
      <c r="H564" s="27"/>
      <c r="I564" s="27"/>
      <c r="J564" s="26"/>
      <c r="K564" s="26"/>
      <c r="L564" s="26"/>
      <c r="M564" s="28"/>
      <c r="N564" s="28"/>
      <c r="O564" s="29"/>
      <c r="P564" s="29"/>
      <c r="Q564" s="29"/>
      <c r="R564" s="29"/>
      <c r="S564" s="29"/>
      <c r="T564" s="29"/>
      <c r="U564" s="29"/>
      <c r="V564" s="10"/>
      <c r="W564" s="10"/>
      <c r="X564" s="10"/>
      <c r="Y564" s="10"/>
      <c r="Z564" s="10"/>
      <c r="AA564" s="10"/>
      <c r="AB564" s="10"/>
      <c r="AC564" s="10"/>
      <c r="AD564" s="10"/>
    </row>
    <row r="565" spans="1:30" ht="15.75" customHeight="1">
      <c r="A565" s="52"/>
      <c r="B565" s="42"/>
      <c r="C565" s="42"/>
      <c r="D565" s="26"/>
      <c r="E565" s="21" t="str">
        <f>IFERROR(VLOOKUP(D565,'DATOS ASIGNACIÓN'!B:I,7,0),"")</f>
        <v/>
      </c>
      <c r="F565" s="21" t="str">
        <f>IFERROR(VLOOKUP(D565,'DATOS ASIGNACIÓN'!B:I,6,0),"")</f>
        <v/>
      </c>
      <c r="G565" s="27"/>
      <c r="H565" s="27"/>
      <c r="I565" s="27"/>
      <c r="J565" s="26"/>
      <c r="K565" s="26"/>
      <c r="L565" s="26"/>
      <c r="M565" s="28"/>
      <c r="N565" s="28"/>
      <c r="O565" s="29"/>
      <c r="P565" s="29"/>
      <c r="Q565" s="29"/>
      <c r="R565" s="29"/>
      <c r="S565" s="29"/>
      <c r="T565" s="29"/>
      <c r="U565" s="29"/>
      <c r="V565" s="10"/>
      <c r="W565" s="10"/>
      <c r="X565" s="10"/>
      <c r="Y565" s="10"/>
      <c r="Z565" s="10"/>
      <c r="AA565" s="10"/>
      <c r="AB565" s="10"/>
      <c r="AC565" s="10"/>
      <c r="AD565" s="10"/>
    </row>
    <row r="566" spans="1:30" ht="15.75" customHeight="1">
      <c r="A566" s="52"/>
      <c r="B566" s="42"/>
      <c r="C566" s="42"/>
      <c r="D566" s="26"/>
      <c r="E566" s="21" t="str">
        <f>IFERROR(VLOOKUP(D566,'DATOS ASIGNACIÓN'!B:I,7,0),"")</f>
        <v/>
      </c>
      <c r="F566" s="21" t="str">
        <f>IFERROR(VLOOKUP(D566,'DATOS ASIGNACIÓN'!B:I,6,0),"")</f>
        <v/>
      </c>
      <c r="G566" s="27"/>
      <c r="H566" s="27"/>
      <c r="I566" s="27"/>
      <c r="J566" s="26"/>
      <c r="K566" s="26"/>
      <c r="L566" s="26"/>
      <c r="M566" s="28"/>
      <c r="N566" s="28"/>
      <c r="O566" s="29"/>
      <c r="P566" s="29"/>
      <c r="Q566" s="29"/>
      <c r="R566" s="29"/>
      <c r="S566" s="29"/>
      <c r="T566" s="29"/>
      <c r="U566" s="29"/>
      <c r="V566" s="10"/>
      <c r="W566" s="10"/>
      <c r="X566" s="10"/>
      <c r="Y566" s="10"/>
      <c r="Z566" s="10"/>
      <c r="AA566" s="10"/>
      <c r="AB566" s="10"/>
      <c r="AC566" s="10"/>
      <c r="AD566" s="10"/>
    </row>
    <row r="567" spans="1:30" ht="15.75" customHeight="1">
      <c r="A567" s="52"/>
      <c r="B567" s="42"/>
      <c r="C567" s="42"/>
      <c r="D567" s="26"/>
      <c r="E567" s="21" t="str">
        <f>IFERROR(VLOOKUP(D567,'DATOS ASIGNACIÓN'!B:I,7,0),"")</f>
        <v/>
      </c>
      <c r="F567" s="21" t="str">
        <f>IFERROR(VLOOKUP(D567,'DATOS ASIGNACIÓN'!B:I,6,0),"")</f>
        <v/>
      </c>
      <c r="G567" s="27"/>
      <c r="H567" s="27"/>
      <c r="I567" s="27"/>
      <c r="J567" s="26"/>
      <c r="K567" s="26"/>
      <c r="L567" s="26"/>
      <c r="M567" s="28"/>
      <c r="N567" s="28"/>
      <c r="O567" s="29"/>
      <c r="P567" s="29"/>
      <c r="Q567" s="29"/>
      <c r="R567" s="29"/>
      <c r="S567" s="29"/>
      <c r="T567" s="29"/>
      <c r="U567" s="29"/>
      <c r="V567" s="10"/>
      <c r="W567" s="10"/>
      <c r="X567" s="10"/>
      <c r="Y567" s="10"/>
      <c r="Z567" s="10"/>
      <c r="AA567" s="10"/>
      <c r="AB567" s="10"/>
      <c r="AC567" s="10"/>
      <c r="AD567" s="10"/>
    </row>
    <row r="568" spans="1:30" ht="15.75" customHeight="1">
      <c r="A568" s="52"/>
      <c r="B568" s="42"/>
      <c r="C568" s="42"/>
      <c r="D568" s="26"/>
      <c r="E568" s="21" t="str">
        <f>IFERROR(VLOOKUP(D568,'DATOS ASIGNACIÓN'!B:I,7,0),"")</f>
        <v/>
      </c>
      <c r="F568" s="21" t="str">
        <f>IFERROR(VLOOKUP(D568,'DATOS ASIGNACIÓN'!B:I,6,0),"")</f>
        <v/>
      </c>
      <c r="G568" s="27"/>
      <c r="H568" s="27"/>
      <c r="I568" s="27"/>
      <c r="J568" s="26"/>
      <c r="K568" s="26"/>
      <c r="L568" s="26"/>
      <c r="M568" s="28"/>
      <c r="N568" s="28"/>
      <c r="O568" s="29"/>
      <c r="P568" s="29"/>
      <c r="Q568" s="29"/>
      <c r="R568" s="29"/>
      <c r="S568" s="29"/>
      <c r="T568" s="29"/>
      <c r="U568" s="29"/>
      <c r="V568" s="10"/>
      <c r="W568" s="10"/>
      <c r="X568" s="10"/>
      <c r="Y568" s="10"/>
      <c r="Z568" s="10"/>
      <c r="AA568" s="10"/>
      <c r="AB568" s="10"/>
      <c r="AC568" s="10"/>
      <c r="AD568" s="10"/>
    </row>
    <row r="569" spans="1:30" ht="15.75" customHeight="1">
      <c r="A569" s="52"/>
      <c r="B569" s="42"/>
      <c r="C569" s="42"/>
      <c r="D569" s="26"/>
      <c r="E569" s="21" t="str">
        <f>IFERROR(VLOOKUP(D569,'DATOS ASIGNACIÓN'!B:I,7,0),"")</f>
        <v/>
      </c>
      <c r="F569" s="21" t="str">
        <f>IFERROR(VLOOKUP(D569,'DATOS ASIGNACIÓN'!B:I,6,0),"")</f>
        <v/>
      </c>
      <c r="G569" s="27"/>
      <c r="H569" s="27"/>
      <c r="I569" s="27"/>
      <c r="J569" s="26"/>
      <c r="K569" s="26"/>
      <c r="L569" s="26"/>
      <c r="M569" s="28"/>
      <c r="N569" s="28"/>
      <c r="O569" s="29"/>
      <c r="P569" s="29"/>
      <c r="Q569" s="29"/>
      <c r="R569" s="29"/>
      <c r="S569" s="29"/>
      <c r="T569" s="29"/>
      <c r="U569" s="29"/>
      <c r="V569" s="10"/>
      <c r="W569" s="10"/>
      <c r="X569" s="10"/>
      <c r="Y569" s="10"/>
      <c r="Z569" s="10"/>
      <c r="AA569" s="10"/>
      <c r="AB569" s="10"/>
      <c r="AC569" s="10"/>
      <c r="AD569" s="10"/>
    </row>
    <row r="570" spans="1:30" ht="15.75" customHeight="1">
      <c r="A570" s="52"/>
      <c r="B570" s="42"/>
      <c r="C570" s="42"/>
      <c r="D570" s="26"/>
      <c r="E570" s="21" t="str">
        <f>IFERROR(VLOOKUP(D570,'DATOS ASIGNACIÓN'!B:I,7,0),"")</f>
        <v/>
      </c>
      <c r="F570" s="21" t="str">
        <f>IFERROR(VLOOKUP(D570,'DATOS ASIGNACIÓN'!B:I,6,0),"")</f>
        <v/>
      </c>
      <c r="G570" s="27"/>
      <c r="H570" s="27"/>
      <c r="I570" s="27"/>
      <c r="J570" s="26"/>
      <c r="K570" s="26"/>
      <c r="L570" s="26"/>
      <c r="M570" s="28"/>
      <c r="N570" s="28"/>
      <c r="O570" s="29"/>
      <c r="P570" s="29"/>
      <c r="Q570" s="29"/>
      <c r="R570" s="29"/>
      <c r="S570" s="29"/>
      <c r="T570" s="29"/>
      <c r="U570" s="29"/>
      <c r="V570" s="10"/>
      <c r="W570" s="10"/>
      <c r="X570" s="10"/>
      <c r="Y570" s="10"/>
      <c r="Z570" s="10"/>
      <c r="AA570" s="10"/>
      <c r="AB570" s="10"/>
      <c r="AC570" s="10"/>
      <c r="AD570" s="10"/>
    </row>
    <row r="571" spans="1:30" ht="15.75" customHeight="1">
      <c r="A571" s="52"/>
      <c r="B571" s="42"/>
      <c r="C571" s="42"/>
      <c r="D571" s="26"/>
      <c r="E571" s="21" t="str">
        <f>IFERROR(VLOOKUP(D571,'DATOS ASIGNACIÓN'!B:I,7,0),"")</f>
        <v/>
      </c>
      <c r="F571" s="21" t="str">
        <f>IFERROR(VLOOKUP(D571,'DATOS ASIGNACIÓN'!B:I,6,0),"")</f>
        <v/>
      </c>
      <c r="G571" s="27"/>
      <c r="H571" s="27"/>
      <c r="I571" s="27"/>
      <c r="J571" s="26"/>
      <c r="K571" s="26"/>
      <c r="L571" s="26"/>
      <c r="M571" s="28"/>
      <c r="N571" s="28"/>
      <c r="O571" s="29"/>
      <c r="P571" s="29"/>
      <c r="Q571" s="29"/>
      <c r="R571" s="29"/>
      <c r="S571" s="29"/>
      <c r="T571" s="29"/>
      <c r="U571" s="29"/>
      <c r="V571" s="10"/>
      <c r="W571" s="10"/>
      <c r="X571" s="10"/>
      <c r="Y571" s="10"/>
      <c r="Z571" s="10"/>
      <c r="AA571" s="10"/>
      <c r="AB571" s="10"/>
      <c r="AC571" s="10"/>
      <c r="AD571" s="10"/>
    </row>
    <row r="572" spans="1:30" ht="15.75" customHeight="1">
      <c r="A572" s="52"/>
      <c r="B572" s="42"/>
      <c r="C572" s="42"/>
      <c r="D572" s="26"/>
      <c r="E572" s="21" t="str">
        <f>IFERROR(VLOOKUP(D572,'DATOS ASIGNACIÓN'!B:I,7,0),"")</f>
        <v/>
      </c>
      <c r="F572" s="21" t="str">
        <f>IFERROR(VLOOKUP(D572,'DATOS ASIGNACIÓN'!B:I,6,0),"")</f>
        <v/>
      </c>
      <c r="G572" s="27"/>
      <c r="H572" s="27"/>
      <c r="I572" s="27"/>
      <c r="J572" s="26"/>
      <c r="K572" s="26"/>
      <c r="L572" s="26"/>
      <c r="M572" s="28"/>
      <c r="N572" s="28"/>
      <c r="O572" s="29"/>
      <c r="P572" s="29"/>
      <c r="Q572" s="29"/>
      <c r="R572" s="29"/>
      <c r="S572" s="29"/>
      <c r="T572" s="29"/>
      <c r="U572" s="29"/>
      <c r="V572" s="10"/>
      <c r="W572" s="10"/>
      <c r="X572" s="10"/>
      <c r="Y572" s="10"/>
      <c r="Z572" s="10"/>
      <c r="AA572" s="10"/>
      <c r="AB572" s="10"/>
      <c r="AC572" s="10"/>
      <c r="AD572" s="10"/>
    </row>
    <row r="573" spans="1:30" ht="15.75" customHeight="1">
      <c r="A573" s="52"/>
      <c r="B573" s="42"/>
      <c r="C573" s="42"/>
      <c r="D573" s="26"/>
      <c r="E573" s="21" t="str">
        <f>IFERROR(VLOOKUP(D573,'DATOS ASIGNACIÓN'!B:I,7,0),"")</f>
        <v/>
      </c>
      <c r="F573" s="21" t="str">
        <f>IFERROR(VLOOKUP(D573,'DATOS ASIGNACIÓN'!B:I,6,0),"")</f>
        <v/>
      </c>
      <c r="G573" s="27"/>
      <c r="H573" s="27"/>
      <c r="I573" s="27"/>
      <c r="J573" s="26"/>
      <c r="K573" s="26"/>
      <c r="L573" s="26"/>
      <c r="M573" s="28"/>
      <c r="N573" s="28"/>
      <c r="O573" s="29"/>
      <c r="P573" s="29"/>
      <c r="Q573" s="29"/>
      <c r="R573" s="29"/>
      <c r="S573" s="29"/>
      <c r="T573" s="29"/>
      <c r="U573" s="29"/>
      <c r="V573" s="10"/>
      <c r="W573" s="10"/>
      <c r="X573" s="10"/>
      <c r="Y573" s="10"/>
      <c r="Z573" s="10"/>
      <c r="AA573" s="10"/>
      <c r="AB573" s="10"/>
      <c r="AC573" s="10"/>
      <c r="AD573" s="10"/>
    </row>
    <row r="574" spans="1:30" ht="15.75" customHeight="1">
      <c r="A574" s="52"/>
      <c r="B574" s="42"/>
      <c r="C574" s="42"/>
      <c r="D574" s="26"/>
      <c r="E574" s="21" t="str">
        <f>IFERROR(VLOOKUP(D574,'DATOS ASIGNACIÓN'!B:I,7,0),"")</f>
        <v/>
      </c>
      <c r="F574" s="21" t="str">
        <f>IFERROR(VLOOKUP(D574,'DATOS ASIGNACIÓN'!B:I,6,0),"")</f>
        <v/>
      </c>
      <c r="G574" s="27"/>
      <c r="H574" s="27"/>
      <c r="I574" s="27"/>
      <c r="J574" s="26"/>
      <c r="K574" s="26"/>
      <c r="L574" s="26"/>
      <c r="M574" s="28"/>
      <c r="N574" s="28"/>
      <c r="O574" s="29"/>
      <c r="P574" s="29"/>
      <c r="Q574" s="29"/>
      <c r="R574" s="29"/>
      <c r="S574" s="29"/>
      <c r="T574" s="29"/>
      <c r="U574" s="29"/>
      <c r="V574" s="10"/>
      <c r="W574" s="10"/>
      <c r="X574" s="10"/>
      <c r="Y574" s="10"/>
      <c r="Z574" s="10"/>
      <c r="AA574" s="10"/>
      <c r="AB574" s="10"/>
      <c r="AC574" s="10"/>
      <c r="AD574" s="10"/>
    </row>
    <row r="575" spans="1:30" ht="15.75" customHeight="1">
      <c r="A575" s="52"/>
      <c r="B575" s="42"/>
      <c r="C575" s="42"/>
      <c r="D575" s="26"/>
      <c r="E575" s="21" t="str">
        <f>IFERROR(VLOOKUP(D575,'DATOS ASIGNACIÓN'!B:I,7,0),"")</f>
        <v/>
      </c>
      <c r="F575" s="21" t="str">
        <f>IFERROR(VLOOKUP(D575,'DATOS ASIGNACIÓN'!B:I,6,0),"")</f>
        <v/>
      </c>
      <c r="G575" s="27"/>
      <c r="H575" s="27"/>
      <c r="I575" s="27"/>
      <c r="J575" s="26"/>
      <c r="K575" s="26"/>
      <c r="L575" s="26"/>
      <c r="M575" s="28"/>
      <c r="N575" s="28"/>
      <c r="O575" s="29"/>
      <c r="P575" s="29"/>
      <c r="Q575" s="29"/>
      <c r="R575" s="29"/>
      <c r="S575" s="29"/>
      <c r="T575" s="29"/>
      <c r="U575" s="29"/>
      <c r="V575" s="10"/>
      <c r="W575" s="10"/>
      <c r="X575" s="10"/>
      <c r="Y575" s="10"/>
      <c r="Z575" s="10"/>
      <c r="AA575" s="10"/>
      <c r="AB575" s="10"/>
      <c r="AC575" s="10"/>
      <c r="AD575" s="10"/>
    </row>
    <row r="576" spans="1:30" ht="15.75" customHeight="1">
      <c r="A576" s="52"/>
      <c r="B576" s="42"/>
      <c r="C576" s="42"/>
      <c r="D576" s="26"/>
      <c r="E576" s="21" t="str">
        <f>IFERROR(VLOOKUP(D576,'DATOS ASIGNACIÓN'!B:I,7,0),"")</f>
        <v/>
      </c>
      <c r="F576" s="21" t="str">
        <f>IFERROR(VLOOKUP(D576,'DATOS ASIGNACIÓN'!B:I,6,0),"")</f>
        <v/>
      </c>
      <c r="G576" s="26"/>
      <c r="H576" s="26"/>
      <c r="I576" s="26"/>
      <c r="J576" s="26"/>
      <c r="K576" s="26"/>
      <c r="L576" s="26"/>
      <c r="M576" s="28"/>
      <c r="N576" s="28"/>
      <c r="O576" s="29"/>
      <c r="P576" s="29"/>
      <c r="Q576" s="29"/>
      <c r="R576" s="29"/>
      <c r="S576" s="29"/>
      <c r="T576" s="29"/>
      <c r="U576" s="29"/>
      <c r="V576" s="10"/>
      <c r="W576" s="10"/>
      <c r="X576" s="10"/>
      <c r="Y576" s="10"/>
      <c r="Z576" s="10"/>
      <c r="AA576" s="10"/>
      <c r="AB576" s="10"/>
      <c r="AC576" s="10"/>
      <c r="AD576" s="10"/>
    </row>
    <row r="577" spans="1:30" ht="15.75" customHeight="1">
      <c r="A577" s="52"/>
      <c r="B577" s="42"/>
      <c r="C577" s="42"/>
      <c r="D577" s="26"/>
      <c r="E577" s="21" t="str">
        <f>IFERROR(VLOOKUP(D577,'DATOS ASIGNACIÓN'!B:I,7,0),"")</f>
        <v/>
      </c>
      <c r="F577" s="21" t="str">
        <f>IFERROR(VLOOKUP(D577,'DATOS ASIGNACIÓN'!B:I,6,0),"")</f>
        <v/>
      </c>
      <c r="G577" s="26"/>
      <c r="H577" s="26"/>
      <c r="I577" s="26"/>
      <c r="J577" s="26"/>
      <c r="K577" s="26"/>
      <c r="L577" s="26"/>
      <c r="M577" s="28"/>
      <c r="N577" s="28"/>
      <c r="O577" s="29"/>
      <c r="P577" s="29"/>
      <c r="Q577" s="29"/>
      <c r="R577" s="29"/>
      <c r="S577" s="29"/>
      <c r="T577" s="29"/>
      <c r="U577" s="29"/>
      <c r="V577" s="10"/>
      <c r="W577" s="10"/>
      <c r="X577" s="10"/>
      <c r="Y577" s="10"/>
      <c r="Z577" s="10"/>
      <c r="AA577" s="10"/>
      <c r="AB577" s="10"/>
      <c r="AC577" s="10"/>
      <c r="AD577" s="10"/>
    </row>
    <row r="578" spans="1:30" ht="15.75" customHeight="1">
      <c r="A578" s="52"/>
      <c r="B578" s="42"/>
      <c r="C578" s="42"/>
      <c r="D578" s="26"/>
      <c r="E578" s="21" t="str">
        <f>IFERROR(VLOOKUP(D578,'DATOS ASIGNACIÓN'!B:I,7,0),"")</f>
        <v/>
      </c>
      <c r="F578" s="21" t="str">
        <f>IFERROR(VLOOKUP(D578,'DATOS ASIGNACIÓN'!B:I,6,0),"")</f>
        <v/>
      </c>
      <c r="G578" s="26"/>
      <c r="H578" s="26"/>
      <c r="I578" s="26"/>
      <c r="J578" s="26"/>
      <c r="K578" s="26"/>
      <c r="L578" s="26"/>
      <c r="M578" s="28"/>
      <c r="N578" s="28"/>
      <c r="O578" s="29"/>
      <c r="P578" s="29"/>
      <c r="Q578" s="29"/>
      <c r="R578" s="29"/>
      <c r="S578" s="29"/>
      <c r="T578" s="29"/>
      <c r="U578" s="29"/>
      <c r="V578" s="10"/>
      <c r="W578" s="10"/>
      <c r="X578" s="10"/>
      <c r="Y578" s="10"/>
      <c r="Z578" s="10"/>
      <c r="AA578" s="10"/>
      <c r="AB578" s="10"/>
      <c r="AC578" s="10"/>
      <c r="AD578" s="10"/>
    </row>
    <row r="579" spans="1:30" ht="15.75" customHeight="1">
      <c r="A579" s="52"/>
      <c r="B579" s="42"/>
      <c r="C579" s="42"/>
      <c r="D579" s="26"/>
      <c r="E579" s="21" t="str">
        <f>IFERROR(VLOOKUP(D579,'DATOS ASIGNACIÓN'!B:I,7,0),"")</f>
        <v/>
      </c>
      <c r="F579" s="21" t="str">
        <f>IFERROR(VLOOKUP(D579,'DATOS ASIGNACIÓN'!B:I,6,0),"")</f>
        <v/>
      </c>
      <c r="G579" s="26"/>
      <c r="H579" s="26"/>
      <c r="I579" s="26"/>
      <c r="J579" s="26"/>
      <c r="K579" s="26"/>
      <c r="L579" s="26"/>
      <c r="M579" s="28"/>
      <c r="N579" s="28"/>
      <c r="O579" s="29"/>
      <c r="P579" s="29"/>
      <c r="Q579" s="29"/>
      <c r="R579" s="29"/>
      <c r="S579" s="29"/>
      <c r="T579" s="29"/>
      <c r="U579" s="29"/>
      <c r="V579" s="10"/>
      <c r="W579" s="10"/>
      <c r="X579" s="10"/>
      <c r="Y579" s="10"/>
      <c r="Z579" s="10"/>
      <c r="AA579" s="10"/>
      <c r="AB579" s="10"/>
      <c r="AC579" s="10"/>
      <c r="AD579" s="10"/>
    </row>
    <row r="580" spans="1:30" ht="15.75" customHeight="1">
      <c r="A580" s="52"/>
      <c r="B580" s="42"/>
      <c r="C580" s="42"/>
      <c r="D580" s="26"/>
      <c r="E580" s="21" t="str">
        <f>IFERROR(VLOOKUP(D580,'DATOS ASIGNACIÓN'!B:I,7,0),"")</f>
        <v/>
      </c>
      <c r="F580" s="21" t="str">
        <f>IFERROR(VLOOKUP(D580,'DATOS ASIGNACIÓN'!B:I,6,0),"")</f>
        <v/>
      </c>
      <c r="G580" s="26"/>
      <c r="H580" s="26"/>
      <c r="I580" s="26"/>
      <c r="J580" s="26"/>
      <c r="K580" s="26"/>
      <c r="L580" s="26"/>
      <c r="M580" s="28"/>
      <c r="N580" s="28"/>
      <c r="O580" s="29"/>
      <c r="P580" s="29"/>
      <c r="Q580" s="29"/>
      <c r="R580" s="29"/>
      <c r="S580" s="29"/>
      <c r="T580" s="29"/>
      <c r="U580" s="29"/>
      <c r="V580" s="10"/>
      <c r="W580" s="10"/>
      <c r="X580" s="10"/>
      <c r="Y580" s="10"/>
      <c r="Z580" s="10"/>
      <c r="AA580" s="10"/>
      <c r="AB580" s="10"/>
      <c r="AC580" s="10"/>
      <c r="AD580" s="10"/>
    </row>
    <row r="581" spans="1:30" ht="15.75" customHeight="1">
      <c r="A581" s="52"/>
      <c r="B581" s="42"/>
      <c r="C581" s="42"/>
      <c r="D581" s="26"/>
      <c r="E581" s="21" t="str">
        <f>IFERROR(VLOOKUP(D581,'DATOS ASIGNACIÓN'!B:I,7,0),"")</f>
        <v/>
      </c>
      <c r="F581" s="21" t="str">
        <f>IFERROR(VLOOKUP(D581,'DATOS ASIGNACIÓN'!B:I,6,0),"")</f>
        <v/>
      </c>
      <c r="G581" s="26"/>
      <c r="H581" s="26"/>
      <c r="I581" s="26"/>
      <c r="J581" s="26"/>
      <c r="K581" s="26"/>
      <c r="L581" s="26"/>
      <c r="M581" s="28"/>
      <c r="N581" s="28"/>
      <c r="O581" s="29"/>
      <c r="P581" s="29"/>
      <c r="Q581" s="29"/>
      <c r="R581" s="29"/>
      <c r="S581" s="29"/>
      <c r="T581" s="29"/>
      <c r="U581" s="29"/>
      <c r="V581" s="10"/>
      <c r="W581" s="10"/>
      <c r="X581" s="10"/>
      <c r="Y581" s="10"/>
      <c r="Z581" s="10"/>
      <c r="AA581" s="10"/>
      <c r="AB581" s="10"/>
      <c r="AC581" s="10"/>
      <c r="AD581" s="10"/>
    </row>
    <row r="582" spans="1:30" ht="15.75" customHeight="1">
      <c r="A582" s="52"/>
      <c r="B582" s="42"/>
      <c r="C582" s="42"/>
      <c r="D582" s="26"/>
      <c r="E582" s="21" t="str">
        <f>IFERROR(VLOOKUP(D582,'DATOS ASIGNACIÓN'!B:I,7,0),"")</f>
        <v/>
      </c>
      <c r="F582" s="21" t="str">
        <f>IFERROR(VLOOKUP(D582,'DATOS ASIGNACIÓN'!B:I,6,0),"")</f>
        <v/>
      </c>
      <c r="G582" s="26"/>
      <c r="H582" s="26"/>
      <c r="I582" s="26"/>
      <c r="J582" s="26"/>
      <c r="K582" s="26"/>
      <c r="L582" s="26"/>
      <c r="M582" s="28"/>
      <c r="N582" s="28"/>
      <c r="O582" s="29"/>
      <c r="P582" s="29"/>
      <c r="Q582" s="29"/>
      <c r="R582" s="29"/>
      <c r="S582" s="29"/>
      <c r="T582" s="29"/>
      <c r="U582" s="29"/>
      <c r="V582" s="10"/>
      <c r="W582" s="10"/>
      <c r="X582" s="10"/>
      <c r="Y582" s="10"/>
      <c r="Z582" s="10"/>
      <c r="AA582" s="10"/>
      <c r="AB582" s="10"/>
      <c r="AC582" s="10"/>
      <c r="AD582" s="10"/>
    </row>
    <row r="583" spans="1:30" ht="15.75" customHeight="1">
      <c r="A583" s="52"/>
      <c r="B583" s="42"/>
      <c r="C583" s="42"/>
      <c r="D583" s="26"/>
      <c r="E583" s="21" t="str">
        <f>IFERROR(VLOOKUP(D583,'DATOS ASIGNACIÓN'!B:I,7,0),"")</f>
        <v/>
      </c>
      <c r="F583" s="21" t="str">
        <f>IFERROR(VLOOKUP(D583,'DATOS ASIGNACIÓN'!B:I,6,0),"")</f>
        <v/>
      </c>
      <c r="G583" s="26"/>
      <c r="H583" s="26"/>
      <c r="I583" s="26"/>
      <c r="J583" s="26"/>
      <c r="K583" s="26"/>
      <c r="L583" s="26"/>
      <c r="M583" s="28"/>
      <c r="N583" s="28"/>
      <c r="O583" s="29"/>
      <c r="P583" s="29"/>
      <c r="Q583" s="29"/>
      <c r="R583" s="29"/>
      <c r="S583" s="29"/>
      <c r="T583" s="29"/>
      <c r="U583" s="29"/>
      <c r="V583" s="10"/>
      <c r="W583" s="10"/>
      <c r="X583" s="10"/>
      <c r="Y583" s="10"/>
      <c r="Z583" s="10"/>
      <c r="AA583" s="10"/>
      <c r="AB583" s="10"/>
      <c r="AC583" s="10"/>
      <c r="AD583" s="10"/>
    </row>
    <row r="584" spans="1:30" ht="15.75" customHeight="1">
      <c r="A584" s="52"/>
      <c r="B584" s="42"/>
      <c r="C584" s="42"/>
      <c r="D584" s="26"/>
      <c r="E584" s="21" t="str">
        <f>IFERROR(VLOOKUP(D584,'DATOS ASIGNACIÓN'!B:I,7,0),"")</f>
        <v/>
      </c>
      <c r="F584" s="21" t="str">
        <f>IFERROR(VLOOKUP(D584,'DATOS ASIGNACIÓN'!B:I,6,0),"")</f>
        <v/>
      </c>
      <c r="G584" s="26"/>
      <c r="H584" s="26"/>
      <c r="I584" s="26"/>
      <c r="J584" s="26"/>
      <c r="K584" s="26"/>
      <c r="L584" s="26"/>
      <c r="M584" s="28"/>
      <c r="N584" s="28"/>
      <c r="O584" s="29"/>
      <c r="P584" s="29"/>
      <c r="Q584" s="29"/>
      <c r="R584" s="29"/>
      <c r="S584" s="29"/>
      <c r="T584" s="29"/>
      <c r="U584" s="29"/>
      <c r="V584" s="10"/>
      <c r="W584" s="10"/>
      <c r="X584" s="10"/>
      <c r="Y584" s="10"/>
      <c r="Z584" s="10"/>
      <c r="AA584" s="10"/>
      <c r="AB584" s="10"/>
      <c r="AC584" s="10"/>
      <c r="AD584" s="10"/>
    </row>
    <row r="585" spans="1:30" ht="15.75" customHeight="1">
      <c r="A585" s="52"/>
      <c r="B585" s="42"/>
      <c r="C585" s="42"/>
      <c r="D585" s="26"/>
      <c r="E585" s="21" t="str">
        <f>IFERROR(VLOOKUP(D585,'DATOS ASIGNACIÓN'!B:I,7,0),"")</f>
        <v/>
      </c>
      <c r="F585" s="21" t="str">
        <f>IFERROR(VLOOKUP(D585,'DATOS ASIGNACIÓN'!B:I,6,0),"")</f>
        <v/>
      </c>
      <c r="G585" s="26"/>
      <c r="H585" s="26"/>
      <c r="I585" s="26"/>
      <c r="J585" s="26"/>
      <c r="K585" s="26"/>
      <c r="L585" s="26"/>
      <c r="M585" s="28"/>
      <c r="N585" s="28"/>
      <c r="O585" s="29"/>
      <c r="P585" s="29"/>
      <c r="Q585" s="29"/>
      <c r="R585" s="29"/>
      <c r="S585" s="29"/>
      <c r="T585" s="29"/>
      <c r="U585" s="29"/>
      <c r="V585" s="10"/>
      <c r="W585" s="10"/>
      <c r="X585" s="10"/>
      <c r="Y585" s="10"/>
      <c r="Z585" s="10"/>
      <c r="AA585" s="10"/>
      <c r="AB585" s="10"/>
      <c r="AC585" s="10"/>
      <c r="AD585" s="10"/>
    </row>
    <row r="586" spans="1:30" ht="15.75" customHeight="1">
      <c r="A586" s="52"/>
      <c r="B586" s="42"/>
      <c r="C586" s="42"/>
      <c r="D586" s="26"/>
      <c r="E586" s="21" t="str">
        <f>IFERROR(VLOOKUP(D586,'DATOS ASIGNACIÓN'!B:I,7,0),"")</f>
        <v/>
      </c>
      <c r="F586" s="21" t="str">
        <f>IFERROR(VLOOKUP(D586,'DATOS ASIGNACIÓN'!B:I,6,0),"")</f>
        <v/>
      </c>
      <c r="G586" s="26"/>
      <c r="H586" s="26"/>
      <c r="I586" s="26"/>
      <c r="J586" s="26"/>
      <c r="K586" s="26"/>
      <c r="L586" s="26"/>
      <c r="M586" s="28"/>
      <c r="N586" s="28"/>
      <c r="O586" s="29"/>
      <c r="P586" s="29"/>
      <c r="Q586" s="29"/>
      <c r="R586" s="29"/>
      <c r="S586" s="29"/>
      <c r="T586" s="29"/>
      <c r="U586" s="29"/>
      <c r="V586" s="10"/>
      <c r="W586" s="10"/>
      <c r="X586" s="10"/>
      <c r="Y586" s="10"/>
      <c r="Z586" s="10"/>
      <c r="AA586" s="10"/>
      <c r="AB586" s="10"/>
      <c r="AC586" s="10"/>
      <c r="AD586" s="10"/>
    </row>
    <row r="587" spans="1:30" ht="15.75" customHeight="1">
      <c r="A587" s="52"/>
      <c r="B587" s="42"/>
      <c r="C587" s="42"/>
      <c r="D587" s="26"/>
      <c r="E587" s="21" t="str">
        <f>IFERROR(VLOOKUP(D587,'DATOS ASIGNACIÓN'!B:I,7,0),"")</f>
        <v/>
      </c>
      <c r="F587" s="21" t="str">
        <f>IFERROR(VLOOKUP(D587,'DATOS ASIGNACIÓN'!B:I,6,0),"")</f>
        <v/>
      </c>
      <c r="G587" s="26"/>
      <c r="H587" s="26"/>
      <c r="I587" s="26"/>
      <c r="J587" s="26"/>
      <c r="K587" s="26"/>
      <c r="L587" s="26"/>
      <c r="M587" s="28"/>
      <c r="N587" s="28"/>
      <c r="O587" s="29"/>
      <c r="P587" s="29"/>
      <c r="Q587" s="29"/>
      <c r="R587" s="29"/>
      <c r="S587" s="29"/>
      <c r="T587" s="29"/>
      <c r="U587" s="29"/>
      <c r="V587" s="10"/>
      <c r="W587" s="10"/>
      <c r="X587" s="10"/>
      <c r="Y587" s="10"/>
      <c r="Z587" s="10"/>
      <c r="AA587" s="10"/>
      <c r="AB587" s="10"/>
      <c r="AC587" s="10"/>
      <c r="AD587" s="10"/>
    </row>
    <row r="588" spans="1:30" ht="15.75" customHeight="1">
      <c r="A588" s="52"/>
      <c r="B588" s="42"/>
      <c r="C588" s="42"/>
      <c r="D588" s="26"/>
      <c r="E588" s="21" t="str">
        <f>IFERROR(VLOOKUP(D588,'DATOS ASIGNACIÓN'!B:I,7,0),"")</f>
        <v/>
      </c>
      <c r="F588" s="21" t="str">
        <f>IFERROR(VLOOKUP(D588,'DATOS ASIGNACIÓN'!B:I,6,0),"")</f>
        <v/>
      </c>
      <c r="G588" s="26"/>
      <c r="H588" s="26"/>
      <c r="I588" s="26"/>
      <c r="J588" s="26"/>
      <c r="K588" s="26"/>
      <c r="L588" s="26"/>
      <c r="M588" s="28"/>
      <c r="N588" s="28"/>
      <c r="O588" s="29"/>
      <c r="P588" s="29"/>
      <c r="Q588" s="29"/>
      <c r="R588" s="29"/>
      <c r="S588" s="29"/>
      <c r="T588" s="29"/>
      <c r="U588" s="29"/>
      <c r="V588" s="10"/>
      <c r="W588" s="10"/>
      <c r="X588" s="10"/>
      <c r="Y588" s="10"/>
      <c r="Z588" s="10"/>
      <c r="AA588" s="10"/>
      <c r="AB588" s="10"/>
      <c r="AC588" s="10"/>
      <c r="AD588" s="10"/>
    </row>
    <row r="589" spans="1:30" ht="15.75" customHeight="1">
      <c r="A589" s="52"/>
      <c r="B589" s="42"/>
      <c r="C589" s="42"/>
      <c r="D589" s="26"/>
      <c r="E589" s="21" t="str">
        <f>IFERROR(VLOOKUP(D589,'DATOS ASIGNACIÓN'!B:I,7,0),"")</f>
        <v/>
      </c>
      <c r="F589" s="21" t="str">
        <f>IFERROR(VLOOKUP(D589,'DATOS ASIGNACIÓN'!B:I,6,0),"")</f>
        <v/>
      </c>
      <c r="G589" s="26"/>
      <c r="H589" s="26"/>
      <c r="I589" s="26"/>
      <c r="J589" s="26"/>
      <c r="K589" s="26"/>
      <c r="L589" s="26"/>
      <c r="M589" s="28"/>
      <c r="N589" s="28"/>
      <c r="O589" s="29"/>
      <c r="P589" s="29"/>
      <c r="Q589" s="29"/>
      <c r="R589" s="29"/>
      <c r="S589" s="29"/>
      <c r="T589" s="29"/>
      <c r="U589" s="29"/>
      <c r="V589" s="10"/>
      <c r="W589" s="10"/>
      <c r="X589" s="10"/>
      <c r="Y589" s="10"/>
      <c r="Z589" s="10"/>
      <c r="AA589" s="10"/>
      <c r="AB589" s="10"/>
      <c r="AC589" s="10"/>
      <c r="AD589" s="10"/>
    </row>
    <row r="590" spans="1:30" ht="15.75" customHeight="1">
      <c r="A590" s="52"/>
      <c r="B590" s="42"/>
      <c r="C590" s="42"/>
      <c r="D590" s="26"/>
      <c r="E590" s="21" t="str">
        <f>IFERROR(VLOOKUP(D590,'DATOS ASIGNACIÓN'!B:I,7,0),"")</f>
        <v/>
      </c>
      <c r="F590" s="21" t="str">
        <f>IFERROR(VLOOKUP(D590,'DATOS ASIGNACIÓN'!B:I,6,0),"")</f>
        <v/>
      </c>
      <c r="G590" s="26"/>
      <c r="H590" s="26"/>
      <c r="I590" s="26"/>
      <c r="J590" s="26"/>
      <c r="K590" s="26"/>
      <c r="L590" s="26"/>
      <c r="M590" s="28"/>
      <c r="N590" s="28"/>
      <c r="O590" s="29"/>
      <c r="P590" s="29"/>
      <c r="Q590" s="29"/>
      <c r="R590" s="29"/>
      <c r="S590" s="29"/>
      <c r="T590" s="29"/>
      <c r="U590" s="29"/>
      <c r="V590" s="10"/>
      <c r="W590" s="10"/>
      <c r="X590" s="10"/>
      <c r="Y590" s="10"/>
      <c r="Z590" s="10"/>
      <c r="AA590" s="10"/>
      <c r="AB590" s="10"/>
      <c r="AC590" s="10"/>
      <c r="AD590" s="10"/>
    </row>
    <row r="591" spans="1:30" ht="15.75" customHeight="1">
      <c r="A591" s="52"/>
      <c r="B591" s="42"/>
      <c r="C591" s="42"/>
      <c r="D591" s="26"/>
      <c r="E591" s="21" t="str">
        <f>IFERROR(VLOOKUP(D591,'DATOS ASIGNACIÓN'!B:I,7,0),"")</f>
        <v/>
      </c>
      <c r="F591" s="21" t="str">
        <f>IFERROR(VLOOKUP(D591,'DATOS ASIGNACIÓN'!B:I,6,0),"")</f>
        <v/>
      </c>
      <c r="G591" s="26"/>
      <c r="H591" s="26"/>
      <c r="I591" s="26"/>
      <c r="J591" s="26"/>
      <c r="K591" s="26"/>
      <c r="L591" s="26"/>
      <c r="M591" s="28"/>
      <c r="N591" s="28"/>
      <c r="O591" s="29"/>
      <c r="P591" s="29"/>
      <c r="Q591" s="29"/>
      <c r="R591" s="29"/>
      <c r="S591" s="29"/>
      <c r="T591" s="29"/>
      <c r="U591" s="29"/>
      <c r="V591" s="10"/>
      <c r="W591" s="10"/>
      <c r="X591" s="10"/>
      <c r="Y591" s="10"/>
      <c r="Z591" s="10"/>
      <c r="AA591" s="10"/>
      <c r="AB591" s="10"/>
      <c r="AC591" s="10"/>
      <c r="AD591" s="10"/>
    </row>
    <row r="592" spans="1:30" ht="15.75" customHeight="1">
      <c r="A592" s="52"/>
      <c r="B592" s="42"/>
      <c r="C592" s="42"/>
      <c r="D592" s="26"/>
      <c r="E592" s="21" t="str">
        <f>IFERROR(VLOOKUP(D592,'DATOS ASIGNACIÓN'!B:I,7,0),"")</f>
        <v/>
      </c>
      <c r="F592" s="21" t="str">
        <f>IFERROR(VLOOKUP(D592,'DATOS ASIGNACIÓN'!B:I,6,0),"")</f>
        <v/>
      </c>
      <c r="G592" s="26"/>
      <c r="H592" s="26"/>
      <c r="I592" s="26"/>
      <c r="J592" s="26"/>
      <c r="K592" s="26"/>
      <c r="L592" s="26"/>
      <c r="M592" s="28"/>
      <c r="N592" s="28"/>
      <c r="O592" s="29"/>
      <c r="P592" s="29"/>
      <c r="Q592" s="29"/>
      <c r="R592" s="29"/>
      <c r="S592" s="29"/>
      <c r="T592" s="29"/>
      <c r="U592" s="29"/>
      <c r="V592" s="10"/>
      <c r="W592" s="10"/>
      <c r="X592" s="10"/>
      <c r="Y592" s="10"/>
      <c r="Z592" s="10"/>
      <c r="AA592" s="10"/>
      <c r="AB592" s="10"/>
      <c r="AC592" s="10"/>
      <c r="AD592" s="10"/>
    </row>
    <row r="593" spans="1:30" ht="15.75" customHeight="1">
      <c r="A593" s="52"/>
      <c r="B593" s="42"/>
      <c r="C593" s="42"/>
      <c r="D593" s="26"/>
      <c r="E593" s="21" t="str">
        <f>IFERROR(VLOOKUP(D593,'DATOS ASIGNACIÓN'!B:I,7,0),"")</f>
        <v/>
      </c>
      <c r="F593" s="21" t="str">
        <f>IFERROR(VLOOKUP(D593,'DATOS ASIGNACIÓN'!B:I,6,0),"")</f>
        <v/>
      </c>
      <c r="G593" s="26"/>
      <c r="H593" s="26"/>
      <c r="I593" s="26"/>
      <c r="J593" s="26"/>
      <c r="K593" s="26"/>
      <c r="L593" s="26"/>
      <c r="M593" s="28"/>
      <c r="N593" s="28"/>
      <c r="O593" s="29"/>
      <c r="P593" s="29"/>
      <c r="Q593" s="29"/>
      <c r="R593" s="29"/>
      <c r="S593" s="29"/>
      <c r="T593" s="29"/>
      <c r="U593" s="29"/>
      <c r="V593" s="10"/>
      <c r="W593" s="10"/>
      <c r="X593" s="10"/>
      <c r="Y593" s="10"/>
      <c r="Z593" s="10"/>
      <c r="AA593" s="10"/>
      <c r="AB593" s="10"/>
      <c r="AC593" s="10"/>
      <c r="AD593" s="10"/>
    </row>
    <row r="594" spans="1:30" ht="15.75" customHeight="1">
      <c r="A594" s="52"/>
      <c r="B594" s="42"/>
      <c r="C594" s="42"/>
      <c r="D594" s="26"/>
      <c r="E594" s="21" t="str">
        <f>IFERROR(VLOOKUP(D594,'DATOS ASIGNACIÓN'!B:I,7,0),"")</f>
        <v/>
      </c>
      <c r="F594" s="21" t="str">
        <f>IFERROR(VLOOKUP(D594,'DATOS ASIGNACIÓN'!B:I,6,0),"")</f>
        <v/>
      </c>
      <c r="G594" s="26"/>
      <c r="H594" s="26"/>
      <c r="I594" s="26"/>
      <c r="J594" s="26"/>
      <c r="K594" s="26"/>
      <c r="L594" s="26"/>
      <c r="M594" s="28"/>
      <c r="N594" s="28"/>
      <c r="O594" s="29"/>
      <c r="P594" s="29"/>
      <c r="Q594" s="29"/>
      <c r="R594" s="29"/>
      <c r="S594" s="29"/>
      <c r="T594" s="29"/>
      <c r="U594" s="29"/>
      <c r="V594" s="10"/>
      <c r="W594" s="10"/>
      <c r="X594" s="10"/>
      <c r="Y594" s="10"/>
      <c r="Z594" s="10"/>
      <c r="AA594" s="10"/>
      <c r="AB594" s="10"/>
      <c r="AC594" s="10"/>
      <c r="AD594" s="10"/>
    </row>
    <row r="595" spans="1:30" ht="15.75" customHeight="1">
      <c r="A595" s="52"/>
      <c r="B595" s="42"/>
      <c r="C595" s="42"/>
      <c r="D595" s="26"/>
      <c r="E595" s="21" t="str">
        <f>IFERROR(VLOOKUP(D595,'DATOS ASIGNACIÓN'!B:I,7,0),"")</f>
        <v/>
      </c>
      <c r="F595" s="21" t="str">
        <f>IFERROR(VLOOKUP(D595,'DATOS ASIGNACIÓN'!B:I,6,0),"")</f>
        <v/>
      </c>
      <c r="G595" s="26"/>
      <c r="H595" s="26"/>
      <c r="I595" s="26"/>
      <c r="J595" s="26"/>
      <c r="K595" s="26"/>
      <c r="L595" s="26"/>
      <c r="M595" s="28"/>
      <c r="N595" s="28"/>
      <c r="O595" s="29"/>
      <c r="P595" s="29"/>
      <c r="Q595" s="29"/>
      <c r="R595" s="29"/>
      <c r="S595" s="29"/>
      <c r="T595" s="29"/>
      <c r="U595" s="29"/>
      <c r="V595" s="10"/>
      <c r="W595" s="10"/>
      <c r="X595" s="10"/>
      <c r="Y595" s="10"/>
      <c r="Z595" s="10"/>
      <c r="AA595" s="10"/>
      <c r="AB595" s="10"/>
      <c r="AC595" s="10"/>
      <c r="AD595" s="10"/>
    </row>
    <row r="596" spans="1:30" ht="15.75" customHeight="1">
      <c r="A596" s="52"/>
      <c r="B596" s="42"/>
      <c r="C596" s="42"/>
      <c r="D596" s="26"/>
      <c r="E596" s="21" t="str">
        <f>IFERROR(VLOOKUP(D596,'DATOS ASIGNACIÓN'!B:I,7,0),"")</f>
        <v/>
      </c>
      <c r="F596" s="21" t="str">
        <f>IFERROR(VLOOKUP(D596,'DATOS ASIGNACIÓN'!B:I,6,0),"")</f>
        <v/>
      </c>
      <c r="G596" s="26"/>
      <c r="H596" s="26"/>
      <c r="I596" s="26"/>
      <c r="J596" s="26"/>
      <c r="K596" s="26"/>
      <c r="L596" s="26"/>
      <c r="M596" s="28"/>
      <c r="N596" s="28"/>
      <c r="O596" s="29"/>
      <c r="P596" s="29"/>
      <c r="Q596" s="29"/>
      <c r="R596" s="29"/>
      <c r="S596" s="29"/>
      <c r="T596" s="29"/>
      <c r="U596" s="29"/>
      <c r="V596" s="10"/>
      <c r="W596" s="10"/>
      <c r="X596" s="10"/>
      <c r="Y596" s="10"/>
      <c r="Z596" s="10"/>
      <c r="AA596" s="10"/>
      <c r="AB596" s="10"/>
      <c r="AC596" s="10"/>
      <c r="AD596" s="10"/>
    </row>
    <row r="597" spans="1:30" ht="15.75" customHeight="1">
      <c r="A597" s="52"/>
      <c r="B597" s="42"/>
      <c r="C597" s="42"/>
      <c r="D597" s="26"/>
      <c r="E597" s="21" t="str">
        <f>IFERROR(VLOOKUP(D597,'DATOS ASIGNACIÓN'!B:I,7,0),"")</f>
        <v/>
      </c>
      <c r="F597" s="21" t="str">
        <f>IFERROR(VLOOKUP(D597,'DATOS ASIGNACIÓN'!B:I,6,0),"")</f>
        <v/>
      </c>
      <c r="G597" s="26"/>
      <c r="H597" s="26"/>
      <c r="I597" s="26"/>
      <c r="J597" s="26"/>
      <c r="K597" s="26"/>
      <c r="L597" s="26"/>
      <c r="M597" s="28"/>
      <c r="N597" s="28"/>
      <c r="O597" s="29"/>
      <c r="P597" s="29"/>
      <c r="Q597" s="29"/>
      <c r="R597" s="29"/>
      <c r="S597" s="29"/>
      <c r="T597" s="29"/>
      <c r="U597" s="29"/>
      <c r="V597" s="10"/>
      <c r="W597" s="10"/>
      <c r="X597" s="10"/>
      <c r="Y597" s="10"/>
      <c r="Z597" s="10"/>
      <c r="AA597" s="10"/>
      <c r="AB597" s="10"/>
      <c r="AC597" s="10"/>
      <c r="AD597" s="10"/>
    </row>
    <row r="598" spans="1:30" ht="15.75" customHeight="1">
      <c r="A598" s="52"/>
      <c r="B598" s="42"/>
      <c r="C598" s="42"/>
      <c r="D598" s="26"/>
      <c r="E598" s="21" t="str">
        <f>IFERROR(VLOOKUP(D598,'DATOS ASIGNACIÓN'!B:I,7,0),"")</f>
        <v/>
      </c>
      <c r="F598" s="21" t="str">
        <f>IFERROR(VLOOKUP(D598,'DATOS ASIGNACIÓN'!B:I,6,0),"")</f>
        <v/>
      </c>
      <c r="G598" s="26"/>
      <c r="H598" s="26"/>
      <c r="I598" s="26"/>
      <c r="J598" s="26"/>
      <c r="K598" s="26"/>
      <c r="L598" s="26"/>
      <c r="M598" s="28"/>
      <c r="N598" s="28"/>
      <c r="O598" s="29"/>
      <c r="P598" s="29"/>
      <c r="Q598" s="29"/>
      <c r="R598" s="29"/>
      <c r="S598" s="29"/>
      <c r="T598" s="29"/>
      <c r="U598" s="29"/>
      <c r="V598" s="10"/>
      <c r="W598" s="10"/>
      <c r="X598" s="10"/>
      <c r="Y598" s="10"/>
      <c r="Z598" s="10"/>
      <c r="AA598" s="10"/>
      <c r="AB598" s="10"/>
      <c r="AC598" s="10"/>
      <c r="AD598" s="10"/>
    </row>
    <row r="599" spans="1:30" ht="15.75" customHeight="1">
      <c r="A599" s="52"/>
      <c r="B599" s="42"/>
      <c r="C599" s="42"/>
      <c r="D599" s="26"/>
      <c r="E599" s="21" t="str">
        <f>IFERROR(VLOOKUP(D599,'DATOS ASIGNACIÓN'!B:I,7,0),"")</f>
        <v/>
      </c>
      <c r="F599" s="21" t="str">
        <f>IFERROR(VLOOKUP(D599,'DATOS ASIGNACIÓN'!B:I,6,0),"")</f>
        <v/>
      </c>
      <c r="G599" s="26"/>
      <c r="H599" s="26"/>
      <c r="I599" s="26"/>
      <c r="J599" s="26"/>
      <c r="K599" s="26"/>
      <c r="L599" s="26"/>
      <c r="M599" s="28"/>
      <c r="N599" s="28"/>
      <c r="O599" s="29"/>
      <c r="P599" s="29"/>
      <c r="Q599" s="29"/>
      <c r="R599" s="29"/>
      <c r="S599" s="29"/>
      <c r="T599" s="29"/>
      <c r="U599" s="29"/>
      <c r="V599" s="10"/>
      <c r="W599" s="10"/>
      <c r="X599" s="10"/>
      <c r="Y599" s="10"/>
      <c r="Z599" s="10"/>
      <c r="AA599" s="10"/>
      <c r="AB599" s="10"/>
      <c r="AC599" s="10"/>
      <c r="AD599" s="10"/>
    </row>
    <row r="600" spans="1:30" ht="15.75" customHeight="1">
      <c r="A600" s="52"/>
      <c r="B600" s="42"/>
      <c r="C600" s="42"/>
      <c r="D600" s="26"/>
      <c r="E600" s="21" t="str">
        <f>IFERROR(VLOOKUP(D600,'DATOS ASIGNACIÓN'!B:I,7,0),"")</f>
        <v/>
      </c>
      <c r="F600" s="21" t="str">
        <f>IFERROR(VLOOKUP(D600,'DATOS ASIGNACIÓN'!B:I,6,0),"")</f>
        <v/>
      </c>
      <c r="G600" s="26"/>
      <c r="H600" s="26"/>
      <c r="I600" s="26"/>
      <c r="J600" s="26"/>
      <c r="K600" s="26"/>
      <c r="L600" s="26"/>
      <c r="M600" s="28"/>
      <c r="N600" s="28"/>
      <c r="O600" s="29"/>
      <c r="P600" s="29"/>
      <c r="Q600" s="29"/>
      <c r="R600" s="29"/>
      <c r="S600" s="29"/>
      <c r="T600" s="29"/>
      <c r="U600" s="29"/>
      <c r="V600" s="10"/>
      <c r="W600" s="10"/>
      <c r="X600" s="10"/>
      <c r="Y600" s="10"/>
      <c r="Z600" s="10"/>
      <c r="AA600" s="10"/>
      <c r="AB600" s="10"/>
      <c r="AC600" s="10"/>
      <c r="AD600" s="10"/>
    </row>
    <row r="601" spans="1:30" ht="15.75" customHeight="1">
      <c r="A601" s="52"/>
      <c r="B601" s="42"/>
      <c r="C601" s="42"/>
      <c r="D601" s="26"/>
      <c r="E601" s="21" t="str">
        <f>IFERROR(VLOOKUP(D601,'DATOS ASIGNACIÓN'!B:I,7,0),"")</f>
        <v/>
      </c>
      <c r="F601" s="21" t="str">
        <f>IFERROR(VLOOKUP(D601,'DATOS ASIGNACIÓN'!B:I,6,0),"")</f>
        <v/>
      </c>
      <c r="G601" s="26"/>
      <c r="H601" s="26"/>
      <c r="I601" s="26"/>
      <c r="J601" s="26"/>
      <c r="K601" s="26"/>
      <c r="L601" s="26"/>
      <c r="M601" s="28"/>
      <c r="N601" s="28"/>
      <c r="O601" s="29"/>
      <c r="P601" s="29"/>
      <c r="Q601" s="29"/>
      <c r="R601" s="29"/>
      <c r="S601" s="29"/>
      <c r="T601" s="29"/>
      <c r="U601" s="29"/>
      <c r="V601" s="10"/>
      <c r="W601" s="10"/>
      <c r="X601" s="10"/>
      <c r="Y601" s="10"/>
      <c r="Z601" s="10"/>
      <c r="AA601" s="10"/>
      <c r="AB601" s="10"/>
      <c r="AC601" s="10"/>
      <c r="AD601" s="10"/>
    </row>
    <row r="602" spans="1:30" ht="15.75" customHeight="1">
      <c r="A602" s="52"/>
      <c r="B602" s="42"/>
      <c r="C602" s="42"/>
      <c r="D602" s="26"/>
      <c r="E602" s="21" t="str">
        <f>IFERROR(VLOOKUP(D602,'DATOS ASIGNACIÓN'!B:I,7,0),"")</f>
        <v/>
      </c>
      <c r="F602" s="21" t="str">
        <f>IFERROR(VLOOKUP(D602,'DATOS ASIGNACIÓN'!B:I,6,0),"")</f>
        <v/>
      </c>
      <c r="G602" s="26"/>
      <c r="H602" s="26"/>
      <c r="I602" s="26"/>
      <c r="J602" s="26"/>
      <c r="K602" s="26"/>
      <c r="L602" s="26"/>
      <c r="M602" s="28"/>
      <c r="N602" s="28"/>
      <c r="O602" s="29"/>
      <c r="P602" s="29"/>
      <c r="Q602" s="29"/>
      <c r="R602" s="29"/>
      <c r="S602" s="29"/>
      <c r="T602" s="29"/>
      <c r="U602" s="29"/>
      <c r="V602" s="10"/>
      <c r="W602" s="10"/>
      <c r="X602" s="10"/>
      <c r="Y602" s="10"/>
      <c r="Z602" s="10"/>
      <c r="AA602" s="10"/>
      <c r="AB602" s="10"/>
      <c r="AC602" s="10"/>
      <c r="AD602" s="10"/>
    </row>
    <row r="603" spans="1:30" ht="15.75" customHeight="1">
      <c r="A603" s="52"/>
      <c r="B603" s="42"/>
      <c r="C603" s="42"/>
      <c r="D603" s="26"/>
      <c r="E603" s="21" t="str">
        <f>IFERROR(VLOOKUP(D603,'DATOS ASIGNACIÓN'!B:I,7,0),"")</f>
        <v/>
      </c>
      <c r="F603" s="21" t="str">
        <f>IFERROR(VLOOKUP(D603,'DATOS ASIGNACIÓN'!B:I,6,0),"")</f>
        <v/>
      </c>
      <c r="G603" s="26"/>
      <c r="H603" s="26"/>
      <c r="I603" s="26"/>
      <c r="J603" s="26"/>
      <c r="K603" s="26"/>
      <c r="L603" s="26"/>
      <c r="M603" s="28"/>
      <c r="N603" s="28"/>
      <c r="O603" s="29"/>
      <c r="P603" s="29"/>
      <c r="Q603" s="29"/>
      <c r="R603" s="29"/>
      <c r="S603" s="29"/>
      <c r="T603" s="29"/>
      <c r="U603" s="29"/>
      <c r="V603" s="10"/>
      <c r="W603" s="10"/>
      <c r="X603" s="10"/>
      <c r="Y603" s="10"/>
      <c r="Z603" s="10"/>
      <c r="AA603" s="10"/>
      <c r="AB603" s="10"/>
      <c r="AC603" s="10"/>
      <c r="AD603" s="10"/>
    </row>
    <row r="604" spans="1:30" ht="15.75" customHeight="1">
      <c r="A604" s="52"/>
      <c r="B604" s="42"/>
      <c r="C604" s="42"/>
      <c r="D604" s="26"/>
      <c r="E604" s="21" t="str">
        <f>IFERROR(VLOOKUP(D604,'DATOS ASIGNACIÓN'!B:I,7,0),"")</f>
        <v/>
      </c>
      <c r="F604" s="21" t="str">
        <f>IFERROR(VLOOKUP(D604,'DATOS ASIGNACIÓN'!B:I,6,0),"")</f>
        <v/>
      </c>
      <c r="G604" s="26"/>
      <c r="H604" s="26"/>
      <c r="I604" s="26"/>
      <c r="J604" s="26"/>
      <c r="K604" s="26"/>
      <c r="L604" s="26"/>
      <c r="M604" s="28"/>
      <c r="N604" s="28"/>
      <c r="O604" s="29"/>
      <c r="P604" s="29"/>
      <c r="Q604" s="29"/>
      <c r="R604" s="29"/>
      <c r="S604" s="29"/>
      <c r="T604" s="29"/>
      <c r="U604" s="29"/>
      <c r="V604" s="10"/>
      <c r="W604" s="10"/>
      <c r="X604" s="10"/>
      <c r="Y604" s="10"/>
      <c r="Z604" s="10"/>
      <c r="AA604" s="10"/>
      <c r="AB604" s="10"/>
      <c r="AC604" s="10"/>
      <c r="AD604" s="10"/>
    </row>
    <row r="605" spans="1:30" ht="15.75" customHeight="1">
      <c r="A605" s="52"/>
      <c r="B605" s="42"/>
      <c r="C605" s="42"/>
      <c r="D605" s="26"/>
      <c r="E605" s="21" t="str">
        <f>IFERROR(VLOOKUP(D605,'DATOS ASIGNACIÓN'!B:I,7,0),"")</f>
        <v/>
      </c>
      <c r="F605" s="21" t="str">
        <f>IFERROR(VLOOKUP(D605,'DATOS ASIGNACIÓN'!B:I,6,0),"")</f>
        <v/>
      </c>
      <c r="G605" s="26"/>
      <c r="H605" s="26"/>
      <c r="I605" s="26"/>
      <c r="J605" s="26"/>
      <c r="K605" s="26"/>
      <c r="L605" s="26"/>
      <c r="M605" s="28"/>
      <c r="N605" s="28"/>
      <c r="O605" s="29"/>
      <c r="P605" s="29"/>
      <c r="Q605" s="29"/>
      <c r="R605" s="29"/>
      <c r="S605" s="29"/>
      <c r="T605" s="29"/>
      <c r="U605" s="29"/>
      <c r="V605" s="10"/>
      <c r="W605" s="10"/>
      <c r="X605" s="10"/>
      <c r="Y605" s="10"/>
      <c r="Z605" s="10"/>
      <c r="AA605" s="10"/>
      <c r="AB605" s="10"/>
      <c r="AC605" s="10"/>
      <c r="AD605" s="10"/>
    </row>
    <row r="606" spans="1:30" ht="15.75" customHeight="1">
      <c r="A606" s="52"/>
      <c r="B606" s="42"/>
      <c r="C606" s="42"/>
      <c r="D606" s="26"/>
      <c r="E606" s="21" t="str">
        <f>IFERROR(VLOOKUP(D606,'DATOS ASIGNACIÓN'!B:I,7,0),"")</f>
        <v/>
      </c>
      <c r="F606" s="21" t="str">
        <f>IFERROR(VLOOKUP(D606,'DATOS ASIGNACIÓN'!B:I,6,0),"")</f>
        <v/>
      </c>
      <c r="G606" s="26"/>
      <c r="H606" s="26"/>
      <c r="I606" s="26"/>
      <c r="J606" s="26"/>
      <c r="K606" s="26"/>
      <c r="L606" s="26"/>
      <c r="M606" s="28"/>
      <c r="N606" s="28"/>
      <c r="O606" s="29"/>
      <c r="P606" s="29"/>
      <c r="Q606" s="29"/>
      <c r="R606" s="29"/>
      <c r="S606" s="29"/>
      <c r="T606" s="29"/>
      <c r="U606" s="29"/>
      <c r="V606" s="10"/>
      <c r="W606" s="10"/>
      <c r="X606" s="10"/>
      <c r="Y606" s="10"/>
      <c r="Z606" s="10"/>
      <c r="AA606" s="10"/>
      <c r="AB606" s="10"/>
      <c r="AC606" s="10"/>
      <c r="AD606" s="10"/>
    </row>
    <row r="607" spans="1:30" ht="15.75" customHeight="1">
      <c r="A607" s="52"/>
      <c r="B607" s="42"/>
      <c r="C607" s="42"/>
      <c r="D607" s="26"/>
      <c r="E607" s="21" t="str">
        <f>IFERROR(VLOOKUP(D607,'DATOS ASIGNACIÓN'!B:I,7,0),"")</f>
        <v/>
      </c>
      <c r="F607" s="21" t="str">
        <f>IFERROR(VLOOKUP(D607,'DATOS ASIGNACIÓN'!B:I,6,0),"")</f>
        <v/>
      </c>
      <c r="G607" s="10"/>
      <c r="H607" s="35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</row>
    <row r="608" spans="1:30" ht="15.75" customHeight="1">
      <c r="A608" s="52"/>
      <c r="B608" s="42"/>
      <c r="C608" s="42"/>
      <c r="D608" s="26"/>
      <c r="E608" s="21" t="str">
        <f>IFERROR(VLOOKUP(D608,'DATOS ASIGNACIÓN'!B:I,7,0),"")</f>
        <v/>
      </c>
      <c r="F608" s="21" t="str">
        <f>IFERROR(VLOOKUP(D608,'DATOS ASIGNACIÓN'!B:I,6,0),"")</f>
        <v/>
      </c>
      <c r="G608" s="10"/>
      <c r="H608" s="35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</row>
    <row r="609" spans="1:30" ht="15.75" customHeight="1">
      <c r="A609" s="52"/>
      <c r="B609" s="42"/>
      <c r="C609" s="42"/>
      <c r="D609" s="26"/>
      <c r="E609" s="21" t="str">
        <f>IFERROR(VLOOKUP(D609,'DATOS ASIGNACIÓN'!B:I,7,0),"")</f>
        <v/>
      </c>
      <c r="F609" s="21" t="str">
        <f>IFERROR(VLOOKUP(D609,'DATOS ASIGNACIÓN'!B:I,6,0),"")</f>
        <v/>
      </c>
      <c r="G609" s="10"/>
      <c r="H609" s="35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</row>
    <row r="610" spans="1:30" ht="15.75" customHeight="1">
      <c r="A610" s="52"/>
      <c r="B610" s="42"/>
      <c r="C610" s="42"/>
      <c r="D610" s="26"/>
      <c r="E610" s="21" t="str">
        <f>IFERROR(VLOOKUP(D610,'DATOS ASIGNACIÓN'!B:I,7,0),"")</f>
        <v/>
      </c>
      <c r="F610" s="21" t="str">
        <f>IFERROR(VLOOKUP(D610,'DATOS ASIGNACIÓN'!B:I,6,0),"")</f>
        <v/>
      </c>
      <c r="G610" s="10"/>
      <c r="H610" s="35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</row>
    <row r="611" spans="1:30" ht="15.75" customHeight="1">
      <c r="A611" s="52"/>
      <c r="B611" s="42"/>
      <c r="C611" s="42"/>
      <c r="D611" s="26"/>
      <c r="E611" s="21" t="str">
        <f>IFERROR(VLOOKUP(D611,'DATOS ASIGNACIÓN'!B:I,7,0),"")</f>
        <v/>
      </c>
      <c r="F611" s="21" t="str">
        <f>IFERROR(VLOOKUP(D611,'DATOS ASIGNACIÓN'!B:I,6,0),"")</f>
        <v/>
      </c>
      <c r="G611" s="10"/>
      <c r="H611" s="35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</row>
    <row r="612" spans="1:30" ht="15.75" customHeight="1">
      <c r="A612" s="52"/>
      <c r="B612" s="42"/>
      <c r="C612" s="42"/>
      <c r="D612" s="26"/>
      <c r="E612" s="21" t="str">
        <f>IFERROR(VLOOKUP(D612,'DATOS ASIGNACIÓN'!B:I,7,0),"")</f>
        <v/>
      </c>
      <c r="F612" s="21" t="str">
        <f>IFERROR(VLOOKUP(D612,'DATOS ASIGNACIÓN'!B:I,6,0),"")</f>
        <v/>
      </c>
      <c r="G612" s="10"/>
      <c r="H612" s="35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</row>
    <row r="613" spans="1:30" ht="15.75" customHeight="1">
      <c r="A613" s="52"/>
      <c r="B613" s="42"/>
      <c r="C613" s="42"/>
      <c r="D613" s="26"/>
      <c r="E613" s="21" t="str">
        <f>IFERROR(VLOOKUP(D613,'DATOS ASIGNACIÓN'!B:I,7,0),"")</f>
        <v/>
      </c>
      <c r="F613" s="21" t="str">
        <f>IFERROR(VLOOKUP(D613,'DATOS ASIGNACIÓN'!B:I,6,0),"")</f>
        <v/>
      </c>
      <c r="G613" s="10"/>
      <c r="H613" s="35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</row>
    <row r="614" spans="1:30" ht="15.75" customHeight="1">
      <c r="A614" s="52"/>
      <c r="B614" s="42"/>
      <c r="C614" s="42"/>
      <c r="D614" s="26"/>
      <c r="E614" s="21" t="str">
        <f>IFERROR(VLOOKUP(D614,'DATOS ASIGNACIÓN'!B:I,7,0),"")</f>
        <v/>
      </c>
      <c r="F614" s="21" t="str">
        <f>IFERROR(VLOOKUP(D614,'DATOS ASIGNACIÓN'!B:I,6,0),"")</f>
        <v/>
      </c>
      <c r="G614" s="10"/>
      <c r="H614" s="35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</row>
    <row r="615" spans="1:30" ht="15.75" customHeight="1">
      <c r="A615" s="52"/>
      <c r="B615" s="42"/>
      <c r="C615" s="42"/>
      <c r="D615" s="26"/>
      <c r="E615" s="21" t="str">
        <f>IFERROR(VLOOKUP(D615,'DATOS ASIGNACIÓN'!B:I,7,0),"")</f>
        <v/>
      </c>
      <c r="F615" s="21" t="str">
        <f>IFERROR(VLOOKUP(D615,'DATOS ASIGNACIÓN'!B:I,6,0),"")</f>
        <v/>
      </c>
      <c r="G615" s="10"/>
      <c r="H615" s="35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</row>
    <row r="616" spans="1:30" ht="15.75" customHeight="1">
      <c r="A616" s="52"/>
      <c r="B616" s="42"/>
      <c r="C616" s="42"/>
      <c r="D616" s="26"/>
      <c r="E616" s="21" t="str">
        <f>IFERROR(VLOOKUP(D616,'DATOS ASIGNACIÓN'!B:I,7,0),"")</f>
        <v/>
      </c>
      <c r="F616" s="21" t="str">
        <f>IFERROR(VLOOKUP(D616,'DATOS ASIGNACIÓN'!B:I,6,0),"")</f>
        <v/>
      </c>
      <c r="G616" s="10"/>
      <c r="H616" s="35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</row>
    <row r="617" spans="1:30" ht="15.75" customHeight="1">
      <c r="A617" s="52"/>
      <c r="B617" s="42"/>
      <c r="C617" s="42"/>
      <c r="D617" s="26"/>
      <c r="E617" s="21" t="str">
        <f>IFERROR(VLOOKUP(D617,'DATOS ASIGNACIÓN'!B:I,7,0),"")</f>
        <v/>
      </c>
      <c r="F617" s="21" t="str">
        <f>IFERROR(VLOOKUP(D617,'DATOS ASIGNACIÓN'!B:I,6,0),"")</f>
        <v/>
      </c>
      <c r="G617" s="10"/>
      <c r="H617" s="35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</row>
    <row r="618" spans="1:30" ht="15.75" customHeight="1">
      <c r="A618" s="52"/>
      <c r="B618" s="42"/>
      <c r="C618" s="42"/>
      <c r="D618" s="26"/>
      <c r="E618" s="21" t="str">
        <f>IFERROR(VLOOKUP(D618,'DATOS ASIGNACIÓN'!B:I,7,0),"")</f>
        <v/>
      </c>
      <c r="F618" s="21" t="str">
        <f>IFERROR(VLOOKUP(D618,'DATOS ASIGNACIÓN'!B:I,6,0),"")</f>
        <v/>
      </c>
      <c r="G618" s="10"/>
      <c r="H618" s="35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</row>
    <row r="619" spans="1:30" ht="15.75" customHeight="1">
      <c r="A619" s="52"/>
      <c r="B619" s="42"/>
      <c r="C619" s="42"/>
      <c r="D619" s="26"/>
      <c r="E619" s="21" t="str">
        <f>IFERROR(VLOOKUP(D619,'DATOS ASIGNACIÓN'!B:I,7,0),"")</f>
        <v/>
      </c>
      <c r="F619" s="21" t="str">
        <f>IFERROR(VLOOKUP(D619,'DATOS ASIGNACIÓN'!B:I,6,0),"")</f>
        <v/>
      </c>
      <c r="G619" s="10"/>
      <c r="H619" s="35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</row>
    <row r="620" spans="1:30" ht="15.75" customHeight="1">
      <c r="A620" s="52"/>
      <c r="B620" s="42"/>
      <c r="C620" s="42"/>
      <c r="D620" s="26"/>
      <c r="E620" s="21" t="str">
        <f>IFERROR(VLOOKUP(D620,'DATOS ASIGNACIÓN'!B:I,7,0),"")</f>
        <v/>
      </c>
      <c r="F620" s="21" t="str">
        <f>IFERROR(VLOOKUP(D620,'DATOS ASIGNACIÓN'!B:I,6,0),"")</f>
        <v/>
      </c>
      <c r="G620" s="10"/>
      <c r="H620" s="35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</row>
    <row r="621" spans="1:30" ht="15.75" customHeight="1">
      <c r="A621" s="52"/>
      <c r="B621" s="42"/>
      <c r="C621" s="42"/>
      <c r="D621" s="26"/>
      <c r="E621" s="21" t="str">
        <f>IFERROR(VLOOKUP(D621,'DATOS ASIGNACIÓN'!B:I,7,0),"")</f>
        <v/>
      </c>
      <c r="F621" s="21" t="str">
        <f>IFERROR(VLOOKUP(D621,'DATOS ASIGNACIÓN'!B:I,6,0),"")</f>
        <v/>
      </c>
      <c r="G621" s="10"/>
      <c r="H621" s="35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</row>
    <row r="622" spans="1:30" ht="15.75" customHeight="1">
      <c r="A622" s="52"/>
      <c r="B622" s="42"/>
      <c r="C622" s="42"/>
      <c r="D622" s="26"/>
      <c r="E622" s="21" t="str">
        <f>IFERROR(VLOOKUP(D622,'DATOS ASIGNACIÓN'!B:I,7,0),"")</f>
        <v/>
      </c>
      <c r="F622" s="21" t="str">
        <f>IFERROR(VLOOKUP(D622,'DATOS ASIGNACIÓN'!B:I,6,0),"")</f>
        <v/>
      </c>
      <c r="G622" s="10"/>
      <c r="H622" s="35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</row>
    <row r="623" spans="1:30" ht="15.75" customHeight="1">
      <c r="A623" s="52"/>
      <c r="B623" s="42"/>
      <c r="C623" s="42"/>
      <c r="D623" s="26"/>
      <c r="E623" s="21" t="str">
        <f>IFERROR(VLOOKUP(D623,'DATOS ASIGNACIÓN'!B:I,7,0),"")</f>
        <v/>
      </c>
      <c r="F623" s="21" t="str">
        <f>IFERROR(VLOOKUP(D623,'DATOS ASIGNACIÓN'!B:I,6,0),"")</f>
        <v/>
      </c>
      <c r="G623" s="10"/>
      <c r="H623" s="35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</row>
    <row r="624" spans="1:30" ht="15.75" customHeight="1">
      <c r="A624" s="52"/>
      <c r="B624" s="42"/>
      <c r="C624" s="42"/>
      <c r="D624" s="26"/>
      <c r="E624" s="21" t="str">
        <f>IFERROR(VLOOKUP(D624,'DATOS ASIGNACIÓN'!B:I,7,0),"")</f>
        <v/>
      </c>
      <c r="F624" s="21" t="str">
        <f>IFERROR(VLOOKUP(D624,'DATOS ASIGNACIÓN'!B:I,6,0),"")</f>
        <v/>
      </c>
      <c r="G624" s="10"/>
      <c r="H624" s="35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</row>
    <row r="625" spans="1:30" ht="15.75" customHeight="1">
      <c r="A625" s="52"/>
      <c r="B625" s="42"/>
      <c r="C625" s="42"/>
      <c r="D625" s="26"/>
      <c r="E625" s="21" t="str">
        <f>IFERROR(VLOOKUP(D625,'DATOS ASIGNACIÓN'!B:I,7,0),"")</f>
        <v/>
      </c>
      <c r="F625" s="21" t="str">
        <f>IFERROR(VLOOKUP(D625,'DATOS ASIGNACIÓN'!B:I,6,0),"")</f>
        <v/>
      </c>
      <c r="G625" s="10"/>
      <c r="H625" s="35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</row>
    <row r="626" spans="1:30" ht="15.75" customHeight="1">
      <c r="A626" s="52"/>
      <c r="B626" s="42"/>
      <c r="C626" s="42"/>
      <c r="D626" s="26"/>
      <c r="E626" s="21" t="str">
        <f>IFERROR(VLOOKUP(D626,'DATOS ASIGNACIÓN'!B:I,7,0),"")</f>
        <v/>
      </c>
      <c r="F626" s="21" t="str">
        <f>IFERROR(VLOOKUP(D626,'DATOS ASIGNACIÓN'!B:I,6,0),"")</f>
        <v/>
      </c>
      <c r="G626" s="10"/>
      <c r="H626" s="35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</row>
    <row r="627" spans="1:30" ht="15.75" customHeight="1">
      <c r="A627" s="52"/>
      <c r="B627" s="42"/>
      <c r="C627" s="42"/>
      <c r="D627" s="26"/>
      <c r="E627" s="21" t="str">
        <f>IFERROR(VLOOKUP(D627,'DATOS ASIGNACIÓN'!B:I,7,0),"")</f>
        <v/>
      </c>
      <c r="F627" s="21" t="str">
        <f>IFERROR(VLOOKUP(D627,'DATOS ASIGNACIÓN'!B:I,6,0),"")</f>
        <v/>
      </c>
      <c r="G627" s="10"/>
      <c r="H627" s="35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</row>
    <row r="628" spans="1:30" ht="15.75" customHeight="1">
      <c r="A628" s="52"/>
      <c r="B628" s="42"/>
      <c r="C628" s="42"/>
      <c r="D628" s="26"/>
      <c r="E628" s="21" t="str">
        <f>IFERROR(VLOOKUP(D628,'DATOS ASIGNACIÓN'!B:I,7,0),"")</f>
        <v/>
      </c>
      <c r="F628" s="21" t="str">
        <f>IFERROR(VLOOKUP(D628,'DATOS ASIGNACIÓN'!B:I,6,0),"")</f>
        <v/>
      </c>
      <c r="G628" s="10"/>
      <c r="H628" s="35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</row>
    <row r="629" spans="1:30" ht="15.75" customHeight="1">
      <c r="A629" s="52"/>
      <c r="B629" s="42"/>
      <c r="C629" s="42"/>
      <c r="D629" s="26"/>
      <c r="E629" s="21" t="str">
        <f>IFERROR(VLOOKUP(D629,'DATOS ASIGNACIÓN'!B:I,7,0),"")</f>
        <v/>
      </c>
      <c r="F629" s="21" t="str">
        <f>IFERROR(VLOOKUP(D629,'DATOS ASIGNACIÓN'!B:I,6,0),"")</f>
        <v/>
      </c>
      <c r="G629" s="10"/>
      <c r="H629" s="35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</row>
    <row r="630" spans="1:30" ht="15.75" customHeight="1">
      <c r="A630" s="52"/>
      <c r="B630" s="42"/>
      <c r="C630" s="42"/>
      <c r="D630" s="26"/>
      <c r="E630" s="21" t="str">
        <f>IFERROR(VLOOKUP(D630,'DATOS ASIGNACIÓN'!B:I,7,0),"")</f>
        <v/>
      </c>
      <c r="F630" s="21" t="str">
        <f>IFERROR(VLOOKUP(D630,'DATOS ASIGNACIÓN'!B:I,6,0),"")</f>
        <v/>
      </c>
      <c r="G630" s="10"/>
      <c r="H630" s="35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</row>
    <row r="631" spans="1:30" ht="15.75" customHeight="1">
      <c r="A631" s="52"/>
      <c r="B631" s="42"/>
      <c r="C631" s="42"/>
      <c r="D631" s="26"/>
      <c r="E631" s="21" t="str">
        <f>IFERROR(VLOOKUP(D631,'DATOS ASIGNACIÓN'!B:I,7,0),"")</f>
        <v/>
      </c>
      <c r="F631" s="21" t="str">
        <f>IFERROR(VLOOKUP(D631,'DATOS ASIGNACIÓN'!B:I,6,0),"")</f>
        <v/>
      </c>
      <c r="G631" s="10"/>
      <c r="H631" s="35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</row>
    <row r="632" spans="1:30" ht="15.75" customHeight="1">
      <c r="A632" s="52"/>
      <c r="B632" s="42"/>
      <c r="C632" s="42"/>
      <c r="D632" s="26"/>
      <c r="E632" s="21" t="str">
        <f>IFERROR(VLOOKUP(D632,'DATOS ASIGNACIÓN'!B:I,7,0),"")</f>
        <v/>
      </c>
      <c r="F632" s="21" t="str">
        <f>IFERROR(VLOOKUP(D632,'DATOS ASIGNACIÓN'!B:I,6,0),"")</f>
        <v/>
      </c>
      <c r="G632" s="10"/>
      <c r="H632" s="35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</row>
    <row r="633" spans="1:30" ht="15.75" customHeight="1">
      <c r="A633" s="52"/>
      <c r="B633" s="42"/>
      <c r="C633" s="42"/>
      <c r="D633" s="26"/>
      <c r="E633" s="21" t="str">
        <f>IFERROR(VLOOKUP(D633,'DATOS ASIGNACIÓN'!B:I,7,0),"")</f>
        <v/>
      </c>
      <c r="F633" s="21" t="str">
        <f>IFERROR(VLOOKUP(D633,'DATOS ASIGNACIÓN'!B:I,6,0),"")</f>
        <v/>
      </c>
      <c r="G633" s="10"/>
      <c r="H633" s="35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</row>
    <row r="634" spans="1:30" ht="15.75" customHeight="1">
      <c r="A634" s="52"/>
      <c r="B634" s="42"/>
      <c r="C634" s="42"/>
      <c r="D634" s="26"/>
      <c r="E634" s="21" t="str">
        <f>IFERROR(VLOOKUP(D634,'DATOS ASIGNACIÓN'!B:I,7,0),"")</f>
        <v/>
      </c>
      <c r="F634" s="21" t="str">
        <f>IFERROR(VLOOKUP(D634,'DATOS ASIGNACIÓN'!B:I,6,0),"")</f>
        <v/>
      </c>
      <c r="G634" s="10"/>
      <c r="H634" s="35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</row>
    <row r="635" spans="1:30" ht="15.75" customHeight="1">
      <c r="A635" s="52"/>
      <c r="B635" s="42"/>
      <c r="C635" s="42"/>
      <c r="D635" s="26"/>
      <c r="E635" s="21" t="str">
        <f>IFERROR(VLOOKUP(D635,'DATOS ASIGNACIÓN'!B:I,7,0),"")</f>
        <v/>
      </c>
      <c r="F635" s="21" t="str">
        <f>IFERROR(VLOOKUP(D635,'DATOS ASIGNACIÓN'!B:I,6,0),"")</f>
        <v/>
      </c>
      <c r="G635" s="10"/>
      <c r="H635" s="35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</row>
    <row r="636" spans="1:30" ht="15.75" customHeight="1">
      <c r="A636" s="52"/>
      <c r="B636" s="42"/>
      <c r="C636" s="42"/>
      <c r="D636" s="26"/>
      <c r="E636" s="21" t="str">
        <f>IFERROR(VLOOKUP(D636,'DATOS ASIGNACIÓN'!B:I,7,0),"")</f>
        <v/>
      </c>
      <c r="F636" s="21" t="str">
        <f>IFERROR(VLOOKUP(D636,'DATOS ASIGNACIÓN'!B:I,6,0),"")</f>
        <v/>
      </c>
      <c r="G636" s="10"/>
      <c r="H636" s="35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</row>
    <row r="637" spans="1:30" ht="15.75" customHeight="1">
      <c r="A637" s="52"/>
      <c r="B637" s="42"/>
      <c r="C637" s="42"/>
      <c r="D637" s="26"/>
      <c r="E637" s="21" t="str">
        <f>IFERROR(VLOOKUP(D637,'DATOS ASIGNACIÓN'!B:I,7,0),"")</f>
        <v/>
      </c>
      <c r="F637" s="21" t="str">
        <f>IFERROR(VLOOKUP(D637,'DATOS ASIGNACIÓN'!B:I,6,0),"")</f>
        <v/>
      </c>
      <c r="G637" s="10"/>
      <c r="H637" s="35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</row>
    <row r="638" spans="1:30" ht="15.75" customHeight="1">
      <c r="A638" s="52"/>
      <c r="B638" s="42"/>
      <c r="C638" s="42"/>
      <c r="D638" s="26"/>
      <c r="E638" s="21" t="str">
        <f>IFERROR(VLOOKUP(D638,'DATOS ASIGNACIÓN'!B:I,7,0),"")</f>
        <v/>
      </c>
      <c r="F638" s="21" t="str">
        <f>IFERROR(VLOOKUP(D638,'DATOS ASIGNACIÓN'!B:I,6,0),"")</f>
        <v/>
      </c>
      <c r="G638" s="10"/>
      <c r="H638" s="35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</row>
    <row r="639" spans="1:30" ht="15.75" customHeight="1">
      <c r="A639" s="52"/>
      <c r="B639" s="42"/>
      <c r="C639" s="42"/>
      <c r="D639" s="26"/>
      <c r="E639" s="21" t="str">
        <f>IFERROR(VLOOKUP(D639,'DATOS ASIGNACIÓN'!B:I,7,0),"")</f>
        <v/>
      </c>
      <c r="F639" s="21" t="str">
        <f>IFERROR(VLOOKUP(D639,'DATOS ASIGNACIÓN'!B:I,6,0),"")</f>
        <v/>
      </c>
      <c r="G639" s="10"/>
      <c r="H639" s="35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</row>
    <row r="640" spans="1:30" ht="15.75" customHeight="1">
      <c r="A640" s="52"/>
      <c r="B640" s="42"/>
      <c r="C640" s="42"/>
      <c r="D640" s="26"/>
      <c r="E640" s="21" t="str">
        <f>IFERROR(VLOOKUP(D640,'DATOS ASIGNACIÓN'!B:I,7,0),"")</f>
        <v/>
      </c>
      <c r="F640" s="21" t="str">
        <f>IFERROR(VLOOKUP(D640,'DATOS ASIGNACIÓN'!B:I,6,0),"")</f>
        <v/>
      </c>
      <c r="G640" s="10"/>
      <c r="H640" s="35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</row>
    <row r="641" spans="1:30" ht="15.75" customHeight="1">
      <c r="A641" s="52"/>
      <c r="B641" s="42"/>
      <c r="C641" s="42"/>
      <c r="D641" s="26"/>
      <c r="E641" s="21" t="str">
        <f>IFERROR(VLOOKUP(D641,'DATOS ASIGNACIÓN'!B:I,7,0),"")</f>
        <v/>
      </c>
      <c r="F641" s="21" t="str">
        <f>IFERROR(VLOOKUP(D641,'DATOS ASIGNACIÓN'!B:I,6,0),"")</f>
        <v/>
      </c>
      <c r="G641" s="10"/>
      <c r="H641" s="35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</row>
    <row r="642" spans="1:30" ht="15.75" customHeight="1">
      <c r="A642" s="52"/>
      <c r="B642" s="42"/>
      <c r="C642" s="42"/>
      <c r="D642" s="26"/>
      <c r="E642" s="21" t="str">
        <f>IFERROR(VLOOKUP(D642,'DATOS ASIGNACIÓN'!B:I,7,0),"")</f>
        <v/>
      </c>
      <c r="F642" s="21" t="str">
        <f>IFERROR(VLOOKUP(D642,'DATOS ASIGNACIÓN'!B:I,6,0),"")</f>
        <v/>
      </c>
      <c r="G642" s="10"/>
      <c r="H642" s="35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</row>
    <row r="643" spans="1:30" ht="15.75" customHeight="1">
      <c r="A643" s="52"/>
      <c r="B643" s="42"/>
      <c r="C643" s="42"/>
      <c r="D643" s="26"/>
      <c r="E643" s="21" t="str">
        <f>IFERROR(VLOOKUP(D643,'DATOS ASIGNACIÓN'!B:I,7,0),"")</f>
        <v/>
      </c>
      <c r="F643" s="21" t="str">
        <f>IFERROR(VLOOKUP(D643,'DATOS ASIGNACIÓN'!B:I,6,0),"")</f>
        <v/>
      </c>
      <c r="G643" s="10"/>
      <c r="H643" s="35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</row>
    <row r="644" spans="1:30" ht="15.75" customHeight="1">
      <c r="A644" s="52"/>
      <c r="B644" s="42"/>
      <c r="C644" s="42"/>
      <c r="D644" s="26"/>
      <c r="E644" s="21" t="str">
        <f>IFERROR(VLOOKUP(D644,'DATOS ASIGNACIÓN'!B:I,7,0),"")</f>
        <v/>
      </c>
      <c r="F644" s="21" t="str">
        <f>IFERROR(VLOOKUP(D644,'DATOS ASIGNACIÓN'!B:I,6,0),"")</f>
        <v/>
      </c>
      <c r="G644" s="10"/>
      <c r="H644" s="35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</row>
    <row r="645" spans="1:30" ht="15.75" customHeight="1">
      <c r="A645" s="52"/>
      <c r="B645" s="42"/>
      <c r="C645" s="42"/>
      <c r="D645" s="26"/>
      <c r="E645" s="21" t="str">
        <f>IFERROR(VLOOKUP(D645,'DATOS ASIGNACIÓN'!B:I,7,0),"")</f>
        <v/>
      </c>
      <c r="F645" s="21" t="str">
        <f>IFERROR(VLOOKUP(D645,'DATOS ASIGNACIÓN'!B:I,6,0),"")</f>
        <v/>
      </c>
      <c r="G645" s="10"/>
      <c r="H645" s="35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</row>
    <row r="646" spans="1:30" ht="15.75" customHeight="1">
      <c r="A646" s="52"/>
      <c r="B646" s="42"/>
      <c r="C646" s="42"/>
      <c r="D646" s="26"/>
      <c r="E646" s="21" t="str">
        <f>IFERROR(VLOOKUP(D646,'DATOS ASIGNACIÓN'!B:I,7,0),"")</f>
        <v/>
      </c>
      <c r="F646" s="21" t="str">
        <f>IFERROR(VLOOKUP(D646,'DATOS ASIGNACIÓN'!B:I,6,0),"")</f>
        <v/>
      </c>
      <c r="G646" s="10"/>
      <c r="H646" s="35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</row>
    <row r="647" spans="1:30" ht="15.75" customHeight="1">
      <c r="A647" s="52"/>
      <c r="B647" s="42"/>
      <c r="C647" s="42"/>
      <c r="D647" s="26"/>
      <c r="E647" s="21" t="str">
        <f>IFERROR(VLOOKUP(D647,'DATOS ASIGNACIÓN'!B:I,7,0),"")</f>
        <v/>
      </c>
      <c r="F647" s="21" t="str">
        <f>IFERROR(VLOOKUP(D647,'DATOS ASIGNACIÓN'!B:I,6,0),"")</f>
        <v/>
      </c>
      <c r="G647" s="10"/>
      <c r="H647" s="35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</row>
    <row r="648" spans="1:30" ht="15.75" customHeight="1">
      <c r="A648" s="52"/>
      <c r="B648" s="42"/>
      <c r="C648" s="42"/>
      <c r="D648" s="26"/>
      <c r="E648" s="21" t="str">
        <f>IFERROR(VLOOKUP(D648,'DATOS ASIGNACIÓN'!B:I,7,0),"")</f>
        <v/>
      </c>
      <c r="F648" s="21" t="str">
        <f>IFERROR(VLOOKUP(D648,'DATOS ASIGNACIÓN'!B:I,6,0),"")</f>
        <v/>
      </c>
      <c r="G648" s="10"/>
      <c r="H648" s="35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</row>
    <row r="649" spans="1:30" ht="15.75" customHeight="1">
      <c r="A649" s="52"/>
      <c r="B649" s="42"/>
      <c r="C649" s="42"/>
      <c r="D649" s="26"/>
      <c r="E649" s="21" t="str">
        <f>IFERROR(VLOOKUP(D649,'DATOS ASIGNACIÓN'!B:I,7,0),"")</f>
        <v/>
      </c>
      <c r="F649" s="21" t="str">
        <f>IFERROR(VLOOKUP(D649,'DATOS ASIGNACIÓN'!B:I,6,0),"")</f>
        <v/>
      </c>
      <c r="G649" s="10"/>
      <c r="H649" s="35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</row>
    <row r="650" spans="1:30" ht="15.75" customHeight="1">
      <c r="A650" s="52"/>
      <c r="B650" s="42"/>
      <c r="C650" s="42"/>
      <c r="D650" s="26"/>
      <c r="E650" s="21" t="str">
        <f>IFERROR(VLOOKUP(D650,'DATOS ASIGNACIÓN'!B:I,7,0),"")</f>
        <v/>
      </c>
      <c r="F650" s="21" t="str">
        <f>IFERROR(VLOOKUP(D650,'DATOS ASIGNACIÓN'!B:I,6,0),"")</f>
        <v/>
      </c>
      <c r="G650" s="10"/>
      <c r="H650" s="35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</row>
    <row r="651" spans="1:30" ht="15.75" customHeight="1">
      <c r="A651" s="52"/>
      <c r="B651" s="42"/>
      <c r="C651" s="42"/>
      <c r="D651" s="26"/>
      <c r="E651" s="21" t="str">
        <f>IFERROR(VLOOKUP(D651,'DATOS ASIGNACIÓN'!B:I,7,0),"")</f>
        <v/>
      </c>
      <c r="F651" s="21" t="str">
        <f>IFERROR(VLOOKUP(D651,'DATOS ASIGNACIÓN'!B:I,6,0),"")</f>
        <v/>
      </c>
      <c r="G651" s="10"/>
      <c r="H651" s="35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</row>
    <row r="652" spans="1:30" ht="15.75" customHeight="1">
      <c r="A652" s="52"/>
      <c r="B652" s="42"/>
      <c r="C652" s="42"/>
      <c r="D652" s="26"/>
      <c r="E652" s="21" t="str">
        <f>IFERROR(VLOOKUP(D652,'DATOS ASIGNACIÓN'!B:I,7,0),"")</f>
        <v/>
      </c>
      <c r="F652" s="21" t="str">
        <f>IFERROR(VLOOKUP(D652,'DATOS ASIGNACIÓN'!B:I,6,0),"")</f>
        <v/>
      </c>
      <c r="G652" s="10"/>
      <c r="H652" s="35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</row>
    <row r="653" spans="1:30" ht="15.75" customHeight="1">
      <c r="A653" s="52"/>
      <c r="B653" s="42"/>
      <c r="C653" s="42"/>
      <c r="D653" s="26"/>
      <c r="E653" s="21" t="str">
        <f>IFERROR(VLOOKUP(D653,'DATOS ASIGNACIÓN'!B:I,7,0),"")</f>
        <v/>
      </c>
      <c r="F653" s="21" t="str">
        <f>IFERROR(VLOOKUP(D653,'DATOS ASIGNACIÓN'!B:I,6,0),"")</f>
        <v/>
      </c>
      <c r="G653" s="10"/>
      <c r="H653" s="35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</row>
    <row r="654" spans="1:30" ht="15.75" customHeight="1">
      <c r="A654" s="52"/>
      <c r="B654" s="42"/>
      <c r="C654" s="42"/>
      <c r="D654" s="26"/>
      <c r="E654" s="21" t="str">
        <f>IFERROR(VLOOKUP(D654,'DATOS ASIGNACIÓN'!B:I,7,0),"")</f>
        <v/>
      </c>
      <c r="F654" s="21" t="str">
        <f>IFERROR(VLOOKUP(D654,'DATOS ASIGNACIÓN'!B:I,6,0),"")</f>
        <v/>
      </c>
      <c r="G654" s="10"/>
      <c r="H654" s="35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</row>
    <row r="655" spans="1:30" ht="15.75" customHeight="1">
      <c r="A655" s="52"/>
      <c r="B655" s="42"/>
      <c r="C655" s="42"/>
      <c r="D655" s="26"/>
      <c r="E655" s="21" t="str">
        <f>IFERROR(VLOOKUP(D655,'DATOS ASIGNACIÓN'!B:I,7,0),"")</f>
        <v/>
      </c>
      <c r="F655" s="21" t="str">
        <f>IFERROR(VLOOKUP(D655,'DATOS ASIGNACIÓN'!B:I,6,0),"")</f>
        <v/>
      </c>
      <c r="G655" s="10"/>
      <c r="H655" s="35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</row>
    <row r="656" spans="1:30" ht="15.75" customHeight="1">
      <c r="A656" s="52"/>
      <c r="B656" s="42"/>
      <c r="C656" s="42"/>
      <c r="D656" s="26"/>
      <c r="E656" s="21" t="str">
        <f>IFERROR(VLOOKUP(D656,'DATOS ASIGNACIÓN'!B:I,7,0),"")</f>
        <v/>
      </c>
      <c r="F656" s="21" t="str">
        <f>IFERROR(VLOOKUP(D656,'DATOS ASIGNACIÓN'!B:I,6,0),"")</f>
        <v/>
      </c>
      <c r="G656" s="10"/>
      <c r="H656" s="35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</row>
    <row r="657" spans="1:30" ht="15.75" customHeight="1">
      <c r="A657" s="52"/>
      <c r="B657" s="42"/>
      <c r="C657" s="42"/>
      <c r="D657" s="26"/>
      <c r="E657" s="21" t="str">
        <f>IFERROR(VLOOKUP(D657,'DATOS ASIGNACIÓN'!B:I,7,0),"")</f>
        <v/>
      </c>
      <c r="F657" s="21" t="str">
        <f>IFERROR(VLOOKUP(D657,'DATOS ASIGNACIÓN'!B:I,6,0),"")</f>
        <v/>
      </c>
      <c r="G657" s="10"/>
      <c r="H657" s="35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</row>
    <row r="658" spans="1:30" ht="15.75" customHeight="1">
      <c r="A658" s="52"/>
      <c r="B658" s="42"/>
      <c r="C658" s="42"/>
      <c r="D658" s="26"/>
      <c r="E658" s="21" t="str">
        <f>IFERROR(VLOOKUP(D658,'DATOS ASIGNACIÓN'!B:I,7,0),"")</f>
        <v/>
      </c>
      <c r="F658" s="21" t="str">
        <f>IFERROR(VLOOKUP(D658,'DATOS ASIGNACIÓN'!B:I,6,0),"")</f>
        <v/>
      </c>
      <c r="G658" s="10"/>
      <c r="H658" s="35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</row>
    <row r="659" spans="1:30" ht="15.75" customHeight="1">
      <c r="A659" s="52"/>
      <c r="B659" s="42"/>
      <c r="C659" s="42"/>
      <c r="D659" s="26"/>
      <c r="E659" s="21" t="str">
        <f>IFERROR(VLOOKUP(D659,'DATOS ASIGNACIÓN'!B:I,7,0),"")</f>
        <v/>
      </c>
      <c r="F659" s="21" t="str">
        <f>IFERROR(VLOOKUP(D659,'DATOS ASIGNACIÓN'!B:I,6,0),"")</f>
        <v/>
      </c>
      <c r="G659" s="10"/>
      <c r="H659" s="35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</row>
    <row r="660" spans="1:30" ht="15.75" customHeight="1">
      <c r="A660" s="52"/>
      <c r="B660" s="42"/>
      <c r="C660" s="42"/>
      <c r="D660" s="26"/>
      <c r="E660" s="21" t="str">
        <f>IFERROR(VLOOKUP(D660,'DATOS ASIGNACIÓN'!B:I,7,0),"")</f>
        <v/>
      </c>
      <c r="F660" s="21" t="str">
        <f>IFERROR(VLOOKUP(D660,'DATOS ASIGNACIÓN'!B:I,6,0),"")</f>
        <v/>
      </c>
      <c r="G660" s="10"/>
      <c r="H660" s="35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</row>
    <row r="661" spans="1:30" ht="15.75" customHeight="1">
      <c r="A661" s="52"/>
      <c r="B661" s="42"/>
      <c r="C661" s="42"/>
      <c r="D661" s="26"/>
      <c r="E661" s="21" t="str">
        <f>IFERROR(VLOOKUP(D661,'DATOS ASIGNACIÓN'!B:I,7,0),"")</f>
        <v/>
      </c>
      <c r="F661" s="21" t="str">
        <f>IFERROR(VLOOKUP(D661,'DATOS ASIGNACIÓN'!B:I,6,0),"")</f>
        <v/>
      </c>
      <c r="G661" s="10"/>
      <c r="H661" s="35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</row>
    <row r="662" spans="1:30" ht="15.75" customHeight="1">
      <c r="A662" s="52"/>
      <c r="B662" s="42"/>
      <c r="C662" s="42"/>
      <c r="D662" s="26"/>
      <c r="E662" s="21" t="str">
        <f>IFERROR(VLOOKUP(D662,'DATOS ASIGNACIÓN'!B:I,7,0),"")</f>
        <v/>
      </c>
      <c r="F662" s="21" t="str">
        <f>IFERROR(VLOOKUP(D662,'DATOS ASIGNACIÓN'!B:I,6,0),"")</f>
        <v/>
      </c>
      <c r="G662" s="10"/>
      <c r="H662" s="35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</row>
    <row r="663" spans="1:30" ht="15.75" customHeight="1">
      <c r="A663" s="52"/>
      <c r="B663" s="42"/>
      <c r="C663" s="42"/>
      <c r="D663" s="26"/>
      <c r="E663" s="21" t="str">
        <f>IFERROR(VLOOKUP(D663,'DATOS ASIGNACIÓN'!B:I,7,0),"")</f>
        <v/>
      </c>
      <c r="F663" s="21" t="str">
        <f>IFERROR(VLOOKUP(D663,'DATOS ASIGNACIÓN'!B:I,6,0),"")</f>
        <v/>
      </c>
      <c r="G663" s="10"/>
      <c r="H663" s="35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</row>
    <row r="664" spans="1:30" ht="15.75" customHeight="1">
      <c r="A664" s="52"/>
      <c r="B664" s="42"/>
      <c r="C664" s="42"/>
      <c r="D664" s="26"/>
      <c r="E664" s="21" t="str">
        <f>IFERROR(VLOOKUP(D664,'DATOS ASIGNACIÓN'!B:I,7,0),"")</f>
        <v/>
      </c>
      <c r="F664" s="21" t="str">
        <f>IFERROR(VLOOKUP(D664,'DATOS ASIGNACIÓN'!B:I,6,0),"")</f>
        <v/>
      </c>
      <c r="G664" s="10"/>
      <c r="H664" s="35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</row>
    <row r="665" spans="1:30" ht="15.75" customHeight="1">
      <c r="A665" s="52"/>
      <c r="B665" s="42"/>
      <c r="C665" s="42"/>
      <c r="D665" s="26"/>
      <c r="E665" s="21" t="str">
        <f>IFERROR(VLOOKUP(D665,'DATOS ASIGNACIÓN'!B:I,7,0),"")</f>
        <v/>
      </c>
      <c r="F665" s="21" t="str">
        <f>IFERROR(VLOOKUP(D665,'DATOS ASIGNACIÓN'!B:I,6,0),"")</f>
        <v/>
      </c>
      <c r="G665" s="10"/>
      <c r="H665" s="35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</row>
    <row r="666" spans="1:30" ht="15.75" customHeight="1">
      <c r="A666" s="52"/>
      <c r="B666" s="42"/>
      <c r="C666" s="42"/>
      <c r="D666" s="26"/>
      <c r="E666" s="21" t="str">
        <f>IFERROR(VLOOKUP(D666,'DATOS ASIGNACIÓN'!B:I,7,0),"")</f>
        <v/>
      </c>
      <c r="F666" s="21" t="str">
        <f>IFERROR(VLOOKUP(D666,'DATOS ASIGNACIÓN'!B:I,6,0),"")</f>
        <v/>
      </c>
      <c r="G666" s="10"/>
      <c r="H666" s="35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</row>
    <row r="667" spans="1:30" ht="15.75" customHeight="1">
      <c r="A667" s="52"/>
      <c r="B667" s="42"/>
      <c r="C667" s="42"/>
      <c r="D667" s="26"/>
      <c r="E667" s="21" t="str">
        <f>IFERROR(VLOOKUP(D667,'DATOS ASIGNACIÓN'!B:I,7,0),"")</f>
        <v/>
      </c>
      <c r="F667" s="21" t="str">
        <f>IFERROR(VLOOKUP(D667,'DATOS ASIGNACIÓN'!B:I,6,0),"")</f>
        <v/>
      </c>
      <c r="G667" s="10"/>
      <c r="H667" s="35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</row>
    <row r="668" spans="1:30" ht="15.75" customHeight="1">
      <c r="A668" s="52"/>
      <c r="B668" s="42"/>
      <c r="C668" s="42"/>
      <c r="D668" s="26"/>
      <c r="E668" s="21" t="str">
        <f>IFERROR(VLOOKUP(D668,'DATOS ASIGNACIÓN'!B:I,7,0),"")</f>
        <v/>
      </c>
      <c r="F668" s="21" t="str">
        <f>IFERROR(VLOOKUP(D668,'DATOS ASIGNACIÓN'!B:I,6,0),"")</f>
        <v/>
      </c>
      <c r="G668" s="10"/>
      <c r="H668" s="35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</row>
    <row r="669" spans="1:30" ht="15.75" customHeight="1">
      <c r="A669" s="52"/>
      <c r="B669" s="42"/>
      <c r="C669" s="42"/>
      <c r="D669" s="26"/>
      <c r="E669" s="21" t="str">
        <f>IFERROR(VLOOKUP(D669,'DATOS ASIGNACIÓN'!B:I,7,0),"")</f>
        <v/>
      </c>
      <c r="F669" s="21" t="str">
        <f>IFERROR(VLOOKUP(D669,'DATOS ASIGNACIÓN'!B:I,6,0),"")</f>
        <v/>
      </c>
      <c r="G669" s="10"/>
      <c r="H669" s="35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</row>
    <row r="670" spans="1:30" ht="15.75" customHeight="1">
      <c r="A670" s="52"/>
      <c r="B670" s="42"/>
      <c r="C670" s="42"/>
      <c r="D670" s="26"/>
      <c r="E670" s="21" t="str">
        <f>IFERROR(VLOOKUP(D670,'DATOS ASIGNACIÓN'!B:I,7,0),"")</f>
        <v/>
      </c>
      <c r="F670" s="21" t="str">
        <f>IFERROR(VLOOKUP(D670,'DATOS ASIGNACIÓN'!B:I,6,0),"")</f>
        <v/>
      </c>
      <c r="G670" s="10"/>
      <c r="H670" s="35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</row>
    <row r="671" spans="1:30" ht="15.75" customHeight="1">
      <c r="A671" s="52"/>
      <c r="B671" s="42"/>
      <c r="C671" s="42"/>
      <c r="D671" s="26"/>
      <c r="E671" s="21" t="str">
        <f>IFERROR(VLOOKUP(D671,'DATOS ASIGNACIÓN'!B:I,7,0),"")</f>
        <v/>
      </c>
      <c r="F671" s="21" t="str">
        <f>IFERROR(VLOOKUP(D671,'DATOS ASIGNACIÓN'!B:I,6,0),"")</f>
        <v/>
      </c>
      <c r="G671" s="10"/>
      <c r="H671" s="35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</row>
    <row r="672" spans="1:30" ht="15.75" customHeight="1">
      <c r="A672" s="52"/>
      <c r="B672" s="42"/>
      <c r="C672" s="42"/>
      <c r="D672" s="26"/>
      <c r="E672" s="21" t="str">
        <f>IFERROR(VLOOKUP(D672,'DATOS ASIGNACIÓN'!B:I,7,0),"")</f>
        <v/>
      </c>
      <c r="F672" s="21" t="str">
        <f>IFERROR(VLOOKUP(D672,'DATOS ASIGNACIÓN'!B:I,6,0),"")</f>
        <v/>
      </c>
      <c r="G672" s="10"/>
      <c r="H672" s="35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</row>
    <row r="673" spans="1:30" ht="15.75" customHeight="1">
      <c r="A673" s="52"/>
      <c r="B673" s="42"/>
      <c r="C673" s="42"/>
      <c r="D673" s="26"/>
      <c r="E673" s="21" t="str">
        <f>IFERROR(VLOOKUP(D673,'DATOS ASIGNACIÓN'!B:I,7,0),"")</f>
        <v/>
      </c>
      <c r="F673" s="21" t="str">
        <f>IFERROR(VLOOKUP(D673,'DATOS ASIGNACIÓN'!B:I,6,0),"")</f>
        <v/>
      </c>
      <c r="G673" s="10"/>
      <c r="H673" s="35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</row>
    <row r="674" spans="1:30" ht="15.75" customHeight="1">
      <c r="A674" s="52"/>
      <c r="B674" s="42"/>
      <c r="C674" s="42"/>
      <c r="D674" s="26"/>
      <c r="E674" s="21" t="str">
        <f>IFERROR(VLOOKUP(D674,'DATOS ASIGNACIÓN'!B:I,7,0),"")</f>
        <v/>
      </c>
      <c r="F674" s="21" t="str">
        <f>IFERROR(VLOOKUP(D674,'DATOS ASIGNACIÓN'!B:I,6,0),"")</f>
        <v/>
      </c>
      <c r="G674" s="10"/>
      <c r="H674" s="35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</row>
    <row r="675" spans="1:30" ht="15.75" customHeight="1">
      <c r="A675" s="52"/>
      <c r="B675" s="42"/>
      <c r="C675" s="42"/>
      <c r="D675" s="26"/>
      <c r="E675" s="21" t="str">
        <f>IFERROR(VLOOKUP(D675,'DATOS ASIGNACIÓN'!B:I,7,0),"")</f>
        <v/>
      </c>
      <c r="F675" s="21" t="str">
        <f>IFERROR(VLOOKUP(D675,'DATOS ASIGNACIÓN'!B:I,6,0),"")</f>
        <v/>
      </c>
      <c r="G675" s="10"/>
      <c r="H675" s="35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</row>
    <row r="676" spans="1:30" ht="15.75" customHeight="1">
      <c r="A676" s="52"/>
      <c r="B676" s="42"/>
      <c r="C676" s="42"/>
      <c r="D676" s="26"/>
      <c r="E676" s="21" t="str">
        <f>IFERROR(VLOOKUP(D676,'DATOS ASIGNACIÓN'!B:I,7,0),"")</f>
        <v/>
      </c>
      <c r="F676" s="21" t="str">
        <f>IFERROR(VLOOKUP(D676,'DATOS ASIGNACIÓN'!B:I,6,0),"")</f>
        <v/>
      </c>
      <c r="G676" s="10"/>
      <c r="H676" s="35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</row>
    <row r="677" spans="1:30" ht="15.75" customHeight="1">
      <c r="A677" s="52"/>
      <c r="B677" s="42"/>
      <c r="C677" s="42"/>
      <c r="D677" s="26"/>
      <c r="E677" s="21" t="str">
        <f>IFERROR(VLOOKUP(D677,'DATOS ASIGNACIÓN'!B:I,7,0),"")</f>
        <v/>
      </c>
      <c r="F677" s="21" t="str">
        <f>IFERROR(VLOOKUP(D677,'DATOS ASIGNACIÓN'!B:I,6,0),"")</f>
        <v/>
      </c>
      <c r="G677" s="10"/>
      <c r="H677" s="35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</row>
    <row r="678" spans="1:30" ht="15.75" customHeight="1">
      <c r="A678" s="52"/>
      <c r="B678" s="42"/>
      <c r="C678" s="42"/>
      <c r="D678" s="26"/>
      <c r="E678" s="21" t="str">
        <f>IFERROR(VLOOKUP(D678,'DATOS ASIGNACIÓN'!B:I,7,0),"")</f>
        <v/>
      </c>
      <c r="F678" s="21" t="str">
        <f>IFERROR(VLOOKUP(D678,'DATOS ASIGNACIÓN'!B:I,6,0),"")</f>
        <v/>
      </c>
      <c r="G678" s="10"/>
      <c r="H678" s="35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</row>
    <row r="679" spans="1:30" ht="15.75" customHeight="1">
      <c r="A679" s="52"/>
      <c r="B679" s="42"/>
      <c r="C679" s="42"/>
      <c r="D679" s="26"/>
      <c r="E679" s="21" t="str">
        <f>IFERROR(VLOOKUP(D679,'DATOS ASIGNACIÓN'!B:I,7,0),"")</f>
        <v/>
      </c>
      <c r="F679" s="21" t="str">
        <f>IFERROR(VLOOKUP(D679,'DATOS ASIGNACIÓN'!B:I,6,0),"")</f>
        <v/>
      </c>
      <c r="G679" s="10"/>
      <c r="H679" s="35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</row>
    <row r="680" spans="1:30" ht="15.75" customHeight="1">
      <c r="A680" s="52"/>
      <c r="B680" s="42"/>
      <c r="C680" s="42"/>
      <c r="D680" s="26"/>
      <c r="E680" s="21" t="str">
        <f>IFERROR(VLOOKUP(D680,'DATOS ASIGNACIÓN'!B:I,7,0),"")</f>
        <v/>
      </c>
      <c r="F680" s="21" t="str">
        <f>IFERROR(VLOOKUP(D680,'DATOS ASIGNACIÓN'!B:I,6,0),"")</f>
        <v/>
      </c>
      <c r="G680" s="10"/>
      <c r="H680" s="35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</row>
    <row r="681" spans="1:30" ht="15.75" customHeight="1">
      <c r="A681" s="52"/>
      <c r="B681" s="42"/>
      <c r="C681" s="42"/>
      <c r="D681" s="26"/>
      <c r="E681" s="21" t="str">
        <f>IFERROR(VLOOKUP(D681,'DATOS ASIGNACIÓN'!B:I,7,0),"")</f>
        <v/>
      </c>
      <c r="F681" s="21" t="str">
        <f>IFERROR(VLOOKUP(D681,'DATOS ASIGNACIÓN'!B:I,6,0),"")</f>
        <v/>
      </c>
      <c r="G681" s="10"/>
      <c r="H681" s="35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</row>
    <row r="682" spans="1:30" ht="15.75" customHeight="1">
      <c r="A682" s="52"/>
      <c r="B682" s="42"/>
      <c r="C682" s="42"/>
      <c r="D682" s="26"/>
      <c r="E682" s="21" t="str">
        <f>IFERROR(VLOOKUP(D682,'DATOS ASIGNACIÓN'!B:I,7,0),"")</f>
        <v/>
      </c>
      <c r="F682" s="21" t="str">
        <f>IFERROR(VLOOKUP(D682,'DATOS ASIGNACIÓN'!B:I,6,0),"")</f>
        <v/>
      </c>
      <c r="G682" s="10"/>
      <c r="H682" s="35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</row>
    <row r="683" spans="1:30" ht="15.75" customHeight="1">
      <c r="A683" s="52"/>
      <c r="B683" s="42"/>
      <c r="C683" s="42"/>
      <c r="D683" s="26"/>
      <c r="E683" s="21" t="str">
        <f>IFERROR(VLOOKUP(D683,'DATOS ASIGNACIÓN'!B:I,7,0),"")</f>
        <v/>
      </c>
      <c r="F683" s="21" t="str">
        <f>IFERROR(VLOOKUP(D683,'DATOS ASIGNACIÓN'!B:I,6,0),"")</f>
        <v/>
      </c>
      <c r="G683" s="10"/>
      <c r="H683" s="35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</row>
    <row r="684" spans="1:30" ht="15.75" customHeight="1">
      <c r="A684" s="52"/>
      <c r="B684" s="42"/>
      <c r="C684" s="42"/>
      <c r="D684" s="26"/>
      <c r="E684" s="21" t="str">
        <f>IFERROR(VLOOKUP(D684,'DATOS ASIGNACIÓN'!B:I,7,0),"")</f>
        <v/>
      </c>
      <c r="F684" s="21" t="str">
        <f>IFERROR(VLOOKUP(D684,'DATOS ASIGNACIÓN'!B:I,6,0),"")</f>
        <v/>
      </c>
      <c r="G684" s="10"/>
      <c r="H684" s="35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</row>
    <row r="685" spans="1:30" ht="15.75" customHeight="1">
      <c r="A685" s="52"/>
      <c r="B685" s="42"/>
      <c r="C685" s="42"/>
      <c r="D685" s="26"/>
      <c r="E685" s="21" t="str">
        <f>IFERROR(VLOOKUP(D685,'DATOS ASIGNACIÓN'!B:I,7,0),"")</f>
        <v/>
      </c>
      <c r="F685" s="21" t="str">
        <f>IFERROR(VLOOKUP(D685,'DATOS ASIGNACIÓN'!B:I,6,0),"")</f>
        <v/>
      </c>
      <c r="G685" s="10"/>
      <c r="H685" s="35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</row>
    <row r="686" spans="1:30" ht="15.75" customHeight="1">
      <c r="A686" s="52"/>
      <c r="B686" s="42"/>
      <c r="C686" s="42"/>
      <c r="D686" s="26"/>
      <c r="E686" s="21" t="str">
        <f>IFERROR(VLOOKUP(D686,'DATOS ASIGNACIÓN'!B:I,7,0),"")</f>
        <v/>
      </c>
      <c r="F686" s="21" t="str">
        <f>IFERROR(VLOOKUP(D686,'DATOS ASIGNACIÓN'!B:I,6,0),"")</f>
        <v/>
      </c>
      <c r="G686" s="10"/>
      <c r="H686" s="35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</row>
    <row r="687" spans="1:30" ht="15.75" customHeight="1">
      <c r="A687" s="52"/>
      <c r="B687" s="42"/>
      <c r="C687" s="42"/>
      <c r="D687" s="26"/>
      <c r="E687" s="21" t="str">
        <f>IFERROR(VLOOKUP(D687,'DATOS ASIGNACIÓN'!B:I,7,0),"")</f>
        <v/>
      </c>
      <c r="F687" s="21" t="str">
        <f>IFERROR(VLOOKUP(D687,'DATOS ASIGNACIÓN'!B:I,6,0),"")</f>
        <v/>
      </c>
      <c r="G687" s="10"/>
      <c r="H687" s="35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</row>
    <row r="688" spans="1:30" ht="15.75" customHeight="1">
      <c r="A688" s="52"/>
      <c r="B688" s="42"/>
      <c r="C688" s="42"/>
      <c r="D688" s="26"/>
      <c r="E688" s="21" t="str">
        <f>IFERROR(VLOOKUP(D688,'DATOS ASIGNACIÓN'!B:I,7,0),"")</f>
        <v/>
      </c>
      <c r="F688" s="21" t="str">
        <f>IFERROR(VLOOKUP(D688,'DATOS ASIGNACIÓN'!B:I,6,0),"")</f>
        <v/>
      </c>
      <c r="G688" s="10"/>
      <c r="H688" s="35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</row>
    <row r="689" spans="1:30" ht="15.75" customHeight="1">
      <c r="A689" s="52"/>
      <c r="B689" s="42"/>
      <c r="C689" s="42"/>
      <c r="D689" s="26"/>
      <c r="E689" s="21" t="str">
        <f>IFERROR(VLOOKUP(D689,'DATOS ASIGNACIÓN'!B:I,7,0),"")</f>
        <v/>
      </c>
      <c r="F689" s="21" t="str">
        <f>IFERROR(VLOOKUP(D689,'DATOS ASIGNACIÓN'!B:I,6,0),"")</f>
        <v/>
      </c>
      <c r="G689" s="10"/>
      <c r="H689" s="35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</row>
    <row r="690" spans="1:30" ht="15.75" customHeight="1">
      <c r="A690" s="52"/>
      <c r="B690" s="42"/>
      <c r="C690" s="42"/>
      <c r="D690" s="26"/>
      <c r="E690" s="21" t="str">
        <f>IFERROR(VLOOKUP(D690,'DATOS ASIGNACIÓN'!B:I,7,0),"")</f>
        <v/>
      </c>
      <c r="F690" s="21" t="str">
        <f>IFERROR(VLOOKUP(D690,'DATOS ASIGNACIÓN'!B:I,6,0),"")</f>
        <v/>
      </c>
      <c r="G690" s="10"/>
      <c r="H690" s="35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</row>
    <row r="691" spans="1:30" ht="15.75" customHeight="1">
      <c r="A691" s="52"/>
      <c r="B691" s="42"/>
      <c r="C691" s="42"/>
      <c r="D691" s="26"/>
      <c r="E691" s="21" t="str">
        <f>IFERROR(VLOOKUP(D691,'DATOS ASIGNACIÓN'!B:I,7,0),"")</f>
        <v/>
      </c>
      <c r="F691" s="21" t="str">
        <f>IFERROR(VLOOKUP(D691,'DATOS ASIGNACIÓN'!B:I,6,0),"")</f>
        <v/>
      </c>
      <c r="G691" s="10"/>
      <c r="H691" s="35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</row>
    <row r="692" spans="1:30" ht="15.75" customHeight="1">
      <c r="A692" s="52"/>
      <c r="B692" s="42"/>
      <c r="C692" s="42"/>
      <c r="D692" s="26"/>
      <c r="E692" s="21" t="str">
        <f>IFERROR(VLOOKUP(D692,'DATOS ASIGNACIÓN'!B:I,7,0),"")</f>
        <v/>
      </c>
      <c r="F692" s="21" t="str">
        <f>IFERROR(VLOOKUP(D692,'DATOS ASIGNACIÓN'!B:I,6,0),"")</f>
        <v/>
      </c>
      <c r="G692" s="10"/>
      <c r="H692" s="35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</row>
    <row r="693" spans="1:30" ht="15.75" customHeight="1">
      <c r="A693" s="52"/>
      <c r="B693" s="42"/>
      <c r="C693" s="42"/>
      <c r="D693" s="26"/>
      <c r="E693" s="21" t="str">
        <f>IFERROR(VLOOKUP(D693,'DATOS ASIGNACIÓN'!B:I,7,0),"")</f>
        <v/>
      </c>
      <c r="F693" s="21" t="str">
        <f>IFERROR(VLOOKUP(D693,'DATOS ASIGNACIÓN'!B:I,6,0),"")</f>
        <v/>
      </c>
      <c r="G693" s="10"/>
      <c r="H693" s="35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</row>
    <row r="694" spans="1:30" ht="15.75" customHeight="1">
      <c r="A694" s="52"/>
      <c r="B694" s="42"/>
      <c r="C694" s="42"/>
      <c r="D694" s="26"/>
      <c r="E694" s="21" t="str">
        <f>IFERROR(VLOOKUP(D694,'DATOS ASIGNACIÓN'!B:I,7,0),"")</f>
        <v/>
      </c>
      <c r="F694" s="21" t="str">
        <f>IFERROR(VLOOKUP(D694,'DATOS ASIGNACIÓN'!B:I,6,0),"")</f>
        <v/>
      </c>
      <c r="G694" s="10"/>
      <c r="H694" s="35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</row>
    <row r="695" spans="1:30" ht="15.75" customHeight="1">
      <c r="A695" s="52"/>
      <c r="B695" s="42"/>
      <c r="C695" s="42"/>
      <c r="D695" s="26"/>
      <c r="E695" s="21" t="str">
        <f>IFERROR(VLOOKUP(D695,'DATOS ASIGNACIÓN'!B:I,7,0),"")</f>
        <v/>
      </c>
      <c r="F695" s="21" t="str">
        <f>IFERROR(VLOOKUP(D695,'DATOS ASIGNACIÓN'!B:I,6,0),"")</f>
        <v/>
      </c>
      <c r="G695" s="10"/>
      <c r="H695" s="35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</row>
    <row r="696" spans="1:30" ht="15.75" customHeight="1">
      <c r="A696" s="52"/>
      <c r="B696" s="42"/>
      <c r="C696" s="42"/>
      <c r="D696" s="26"/>
      <c r="E696" s="21" t="str">
        <f>IFERROR(VLOOKUP(D696,'DATOS ASIGNACIÓN'!B:I,7,0),"")</f>
        <v/>
      </c>
      <c r="F696" s="21" t="str">
        <f>IFERROR(VLOOKUP(D696,'DATOS ASIGNACIÓN'!B:I,6,0),"")</f>
        <v/>
      </c>
      <c r="G696" s="10"/>
      <c r="H696" s="35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</row>
    <row r="697" spans="1:30" ht="15.75" customHeight="1">
      <c r="A697" s="52"/>
      <c r="B697" s="42"/>
      <c r="C697" s="42"/>
      <c r="D697" s="26"/>
      <c r="E697" s="21" t="str">
        <f>IFERROR(VLOOKUP(D697,'DATOS ASIGNACIÓN'!B:I,7,0),"")</f>
        <v/>
      </c>
      <c r="F697" s="21" t="str">
        <f>IFERROR(VLOOKUP(D697,'DATOS ASIGNACIÓN'!B:I,6,0),"")</f>
        <v/>
      </c>
      <c r="G697" s="10"/>
      <c r="H697" s="35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</row>
    <row r="698" spans="1:30" ht="15.75" customHeight="1">
      <c r="A698" s="52"/>
      <c r="B698" s="42"/>
      <c r="C698" s="42"/>
      <c r="D698" s="26"/>
      <c r="E698" s="21" t="str">
        <f>IFERROR(VLOOKUP(D698,'DATOS ASIGNACIÓN'!B:I,7,0),"")</f>
        <v/>
      </c>
      <c r="F698" s="21" t="str">
        <f>IFERROR(VLOOKUP(D698,'DATOS ASIGNACIÓN'!B:I,6,0),"")</f>
        <v/>
      </c>
      <c r="G698" s="10"/>
      <c r="H698" s="35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</row>
    <row r="699" spans="1:30" ht="15.75" customHeight="1">
      <c r="A699" s="52"/>
      <c r="B699" s="42"/>
      <c r="C699" s="42"/>
      <c r="D699" s="26"/>
      <c r="E699" s="21" t="str">
        <f>IFERROR(VLOOKUP(D699,'DATOS ASIGNACIÓN'!B:I,7,0),"")</f>
        <v/>
      </c>
      <c r="F699" s="21" t="str">
        <f>IFERROR(VLOOKUP(D699,'DATOS ASIGNACIÓN'!B:I,6,0),"")</f>
        <v/>
      </c>
      <c r="G699" s="10"/>
      <c r="H699" s="35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</row>
    <row r="700" spans="1:30" ht="15.75" customHeight="1">
      <c r="A700" s="52"/>
      <c r="B700" s="42"/>
      <c r="C700" s="42"/>
      <c r="D700" s="26"/>
      <c r="E700" s="21" t="str">
        <f>IFERROR(VLOOKUP(D700,'DATOS ASIGNACIÓN'!B:I,7,0),"")</f>
        <v/>
      </c>
      <c r="F700" s="21" t="str">
        <f>IFERROR(VLOOKUP(D700,'DATOS ASIGNACIÓN'!B:I,6,0),"")</f>
        <v/>
      </c>
      <c r="G700" s="10"/>
      <c r="H700" s="35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</row>
    <row r="701" spans="1:30" ht="15.75" customHeight="1">
      <c r="A701" s="52"/>
      <c r="B701" s="42"/>
      <c r="C701" s="42"/>
      <c r="D701" s="26"/>
      <c r="E701" s="21" t="str">
        <f>IFERROR(VLOOKUP(D701,'DATOS ASIGNACIÓN'!B:I,7,0),"")</f>
        <v/>
      </c>
      <c r="F701" s="21" t="str">
        <f>IFERROR(VLOOKUP(D701,'DATOS ASIGNACIÓN'!B:I,6,0),"")</f>
        <v/>
      </c>
      <c r="G701" s="10"/>
      <c r="H701" s="35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</row>
    <row r="702" spans="1:30" ht="15.75" customHeight="1">
      <c r="A702" s="52"/>
      <c r="B702" s="42"/>
      <c r="C702" s="42"/>
      <c r="D702" s="26"/>
      <c r="E702" s="21" t="str">
        <f>IFERROR(VLOOKUP(D702,'DATOS ASIGNACIÓN'!B:I,7,0),"")</f>
        <v/>
      </c>
      <c r="F702" s="21" t="str">
        <f>IFERROR(VLOOKUP(D702,'DATOS ASIGNACIÓN'!B:I,6,0),"")</f>
        <v/>
      </c>
      <c r="G702" s="10"/>
      <c r="H702" s="35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</row>
    <row r="703" spans="1:30" ht="15.75" customHeight="1">
      <c r="A703" s="52"/>
      <c r="B703" s="42"/>
      <c r="C703" s="42"/>
      <c r="D703" s="26"/>
      <c r="E703" s="21" t="str">
        <f>IFERROR(VLOOKUP(D703,'DATOS ASIGNACIÓN'!B:I,7,0),"")</f>
        <v/>
      </c>
      <c r="F703" s="21" t="str">
        <f>IFERROR(VLOOKUP(D703,'DATOS ASIGNACIÓN'!B:I,6,0),"")</f>
        <v/>
      </c>
      <c r="G703" s="10"/>
      <c r="H703" s="35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</row>
    <row r="704" spans="1:30" ht="15.75" customHeight="1">
      <c r="A704" s="52"/>
      <c r="B704" s="42"/>
      <c r="C704" s="42"/>
      <c r="D704" s="26"/>
      <c r="E704" s="21" t="str">
        <f>IFERROR(VLOOKUP(D704,'DATOS ASIGNACIÓN'!B:I,7,0),"")</f>
        <v/>
      </c>
      <c r="F704" s="21" t="str">
        <f>IFERROR(VLOOKUP(D704,'DATOS ASIGNACIÓN'!B:I,6,0),"")</f>
        <v/>
      </c>
      <c r="G704" s="10"/>
      <c r="H704" s="35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</row>
    <row r="705" spans="1:30" ht="15.75" customHeight="1">
      <c r="A705" s="52"/>
      <c r="B705" s="42"/>
      <c r="C705" s="42"/>
      <c r="D705" s="26"/>
      <c r="E705" s="21" t="str">
        <f>IFERROR(VLOOKUP(D705,'DATOS ASIGNACIÓN'!B:I,7,0),"")</f>
        <v/>
      </c>
      <c r="F705" s="21" t="str">
        <f>IFERROR(VLOOKUP(D705,'DATOS ASIGNACIÓN'!B:I,6,0),"")</f>
        <v/>
      </c>
      <c r="G705" s="10"/>
      <c r="H705" s="35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</row>
    <row r="706" spans="1:30" ht="15.75" customHeight="1">
      <c r="A706" s="52"/>
      <c r="B706" s="42"/>
      <c r="C706" s="42"/>
      <c r="D706" s="26"/>
      <c r="E706" s="21" t="str">
        <f>IFERROR(VLOOKUP(D706,'DATOS ASIGNACIÓN'!B:I,7,0),"")</f>
        <v/>
      </c>
      <c r="F706" s="21" t="str">
        <f>IFERROR(VLOOKUP(D706,'DATOS ASIGNACIÓN'!B:I,6,0),"")</f>
        <v/>
      </c>
      <c r="G706" s="10"/>
      <c r="H706" s="35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</row>
    <row r="707" spans="1:30" ht="15.75" customHeight="1">
      <c r="A707" s="52"/>
      <c r="B707" s="42"/>
      <c r="C707" s="42"/>
      <c r="D707" s="26"/>
      <c r="E707" s="21" t="str">
        <f>IFERROR(VLOOKUP(D707,'DATOS ASIGNACIÓN'!B:I,7,0),"")</f>
        <v/>
      </c>
      <c r="F707" s="21" t="str">
        <f>IFERROR(VLOOKUP(D707,'DATOS ASIGNACIÓN'!B:I,6,0),"")</f>
        <v/>
      </c>
      <c r="G707" s="10"/>
      <c r="H707" s="35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</row>
    <row r="708" spans="1:30" ht="15.75" customHeight="1">
      <c r="A708" s="52"/>
      <c r="B708" s="42"/>
      <c r="C708" s="42"/>
      <c r="D708" s="26"/>
      <c r="E708" s="21" t="str">
        <f>IFERROR(VLOOKUP(D708,'DATOS ASIGNACIÓN'!B:I,7,0),"")</f>
        <v/>
      </c>
      <c r="F708" s="21" t="str">
        <f>IFERROR(VLOOKUP(D708,'DATOS ASIGNACIÓN'!B:I,6,0),"")</f>
        <v/>
      </c>
      <c r="G708" s="10"/>
      <c r="H708" s="35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</row>
    <row r="709" spans="1:30" ht="15.75" customHeight="1">
      <c r="A709" s="52"/>
      <c r="B709" s="42"/>
      <c r="C709" s="42"/>
      <c r="D709" s="26"/>
      <c r="E709" s="21" t="str">
        <f>IFERROR(VLOOKUP(D709,'DATOS ASIGNACIÓN'!B:I,7,0),"")</f>
        <v/>
      </c>
      <c r="F709" s="21" t="str">
        <f>IFERROR(VLOOKUP(D709,'DATOS ASIGNACIÓN'!B:I,6,0),"")</f>
        <v/>
      </c>
      <c r="G709" s="10"/>
      <c r="H709" s="35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</row>
    <row r="710" spans="1:30" ht="15.75" customHeight="1">
      <c r="A710" s="52"/>
      <c r="B710" s="42"/>
      <c r="C710" s="42"/>
      <c r="D710" s="26"/>
      <c r="E710" s="21" t="str">
        <f>IFERROR(VLOOKUP(D710,'DATOS ASIGNACIÓN'!B:I,7,0),"")</f>
        <v/>
      </c>
      <c r="F710" s="21" t="str">
        <f>IFERROR(VLOOKUP(D710,'DATOS ASIGNACIÓN'!B:I,6,0),"")</f>
        <v/>
      </c>
      <c r="G710" s="10"/>
      <c r="H710" s="35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</row>
    <row r="711" spans="1:30" ht="15.75" customHeight="1">
      <c r="A711" s="52"/>
      <c r="B711" s="42"/>
      <c r="C711" s="42"/>
      <c r="D711" s="26"/>
      <c r="E711" s="21" t="str">
        <f>IFERROR(VLOOKUP(D711,'DATOS ASIGNACIÓN'!B:I,7,0),"")</f>
        <v/>
      </c>
      <c r="F711" s="21" t="str">
        <f>IFERROR(VLOOKUP(D711,'DATOS ASIGNACIÓN'!B:I,6,0),"")</f>
        <v/>
      </c>
      <c r="G711" s="10"/>
      <c r="H711" s="35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</row>
    <row r="712" spans="1:30" ht="15.75" customHeight="1">
      <c r="A712" s="52"/>
      <c r="B712" s="42"/>
      <c r="C712" s="42"/>
      <c r="D712" s="26"/>
      <c r="E712" s="21" t="str">
        <f>IFERROR(VLOOKUP(D712,'DATOS ASIGNACIÓN'!B:I,7,0),"")</f>
        <v/>
      </c>
      <c r="F712" s="21" t="str">
        <f>IFERROR(VLOOKUP(D712,'DATOS ASIGNACIÓN'!B:I,6,0),"")</f>
        <v/>
      </c>
      <c r="G712" s="10"/>
      <c r="H712" s="35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</row>
    <row r="713" spans="1:30" ht="15.75" customHeight="1">
      <c r="A713" s="52"/>
      <c r="B713" s="42"/>
      <c r="C713" s="42"/>
      <c r="D713" s="26"/>
      <c r="E713" s="21" t="str">
        <f>IFERROR(VLOOKUP(D713,'DATOS ASIGNACIÓN'!B:I,7,0),"")</f>
        <v/>
      </c>
      <c r="F713" s="21" t="str">
        <f>IFERROR(VLOOKUP(D713,'DATOS ASIGNACIÓN'!B:I,6,0),"")</f>
        <v/>
      </c>
      <c r="G713" s="10"/>
      <c r="H713" s="35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</row>
    <row r="714" spans="1:30" ht="15.75" customHeight="1">
      <c r="A714" s="52"/>
      <c r="B714" s="42"/>
      <c r="C714" s="42"/>
      <c r="D714" s="26"/>
      <c r="E714" s="21" t="str">
        <f>IFERROR(VLOOKUP(D714,'DATOS ASIGNACIÓN'!B:I,7,0),"")</f>
        <v/>
      </c>
      <c r="F714" s="21" t="str">
        <f>IFERROR(VLOOKUP(D714,'DATOS ASIGNACIÓN'!B:I,6,0),"")</f>
        <v/>
      </c>
      <c r="G714" s="10"/>
      <c r="H714" s="35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</row>
    <row r="715" spans="1:30" ht="15.75" customHeight="1">
      <c r="A715" s="52"/>
      <c r="B715" s="42"/>
      <c r="C715" s="42"/>
      <c r="D715" s="26"/>
      <c r="E715" s="21" t="str">
        <f>IFERROR(VLOOKUP(D715,'DATOS ASIGNACIÓN'!B:I,7,0),"")</f>
        <v/>
      </c>
      <c r="F715" s="21" t="str">
        <f>IFERROR(VLOOKUP(D715,'DATOS ASIGNACIÓN'!B:I,6,0),"")</f>
        <v/>
      </c>
      <c r="G715" s="10"/>
      <c r="H715" s="35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</row>
    <row r="716" spans="1:30" ht="15.75" customHeight="1">
      <c r="A716" s="52"/>
      <c r="B716" s="42"/>
      <c r="C716" s="42"/>
      <c r="D716" s="26"/>
      <c r="E716" s="21" t="str">
        <f>IFERROR(VLOOKUP(D716,'DATOS ASIGNACIÓN'!B:I,7,0),"")</f>
        <v/>
      </c>
      <c r="F716" s="21" t="str">
        <f>IFERROR(VLOOKUP(D716,'DATOS ASIGNACIÓN'!B:I,6,0),"")</f>
        <v/>
      </c>
      <c r="G716" s="10"/>
      <c r="H716" s="35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</row>
    <row r="717" spans="1:30" ht="15.75" customHeight="1">
      <c r="A717" s="52"/>
      <c r="B717" s="42"/>
      <c r="C717" s="42"/>
      <c r="D717" s="26"/>
      <c r="E717" s="21" t="str">
        <f>IFERROR(VLOOKUP(D717,'DATOS ASIGNACIÓN'!B:I,7,0),"")</f>
        <v/>
      </c>
      <c r="F717" s="21" t="str">
        <f>IFERROR(VLOOKUP(D717,'DATOS ASIGNACIÓN'!B:I,6,0),"")</f>
        <v/>
      </c>
      <c r="G717" s="10"/>
      <c r="H717" s="35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</row>
    <row r="718" spans="1:30" ht="15.75" customHeight="1">
      <c r="A718" s="52"/>
      <c r="B718" s="42"/>
      <c r="C718" s="42"/>
      <c r="D718" s="26"/>
      <c r="E718" s="21" t="str">
        <f>IFERROR(VLOOKUP(D718,'DATOS ASIGNACIÓN'!B:I,7,0),"")</f>
        <v/>
      </c>
      <c r="F718" s="21" t="str">
        <f>IFERROR(VLOOKUP(D718,'DATOS ASIGNACIÓN'!B:I,6,0),"")</f>
        <v/>
      </c>
      <c r="G718" s="10"/>
      <c r="H718" s="35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</row>
    <row r="719" spans="1:30" ht="15.75" customHeight="1">
      <c r="A719" s="52"/>
      <c r="B719" s="42"/>
      <c r="C719" s="42"/>
      <c r="D719" s="26"/>
      <c r="E719" s="21" t="str">
        <f>IFERROR(VLOOKUP(D719,'DATOS ASIGNACIÓN'!B:I,7,0),"")</f>
        <v/>
      </c>
      <c r="F719" s="21" t="str">
        <f>IFERROR(VLOOKUP(D719,'DATOS ASIGNACIÓN'!B:I,6,0),"")</f>
        <v/>
      </c>
      <c r="G719" s="10"/>
      <c r="H719" s="35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</row>
    <row r="720" spans="1:30" ht="15.75" customHeight="1">
      <c r="A720" s="52"/>
      <c r="B720" s="42"/>
      <c r="C720" s="42"/>
      <c r="D720" s="26"/>
      <c r="E720" s="21" t="str">
        <f>IFERROR(VLOOKUP(D720,'DATOS ASIGNACIÓN'!B:I,7,0),"")</f>
        <v/>
      </c>
      <c r="F720" s="21" t="str">
        <f>IFERROR(VLOOKUP(D720,'DATOS ASIGNACIÓN'!B:I,6,0),"")</f>
        <v/>
      </c>
      <c r="G720" s="10"/>
      <c r="H720" s="35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</row>
    <row r="721" spans="1:30" ht="15.75" customHeight="1">
      <c r="A721" s="52"/>
      <c r="B721" s="42"/>
      <c r="C721" s="42"/>
      <c r="D721" s="26"/>
      <c r="E721" s="21" t="str">
        <f>IFERROR(VLOOKUP(D721,'DATOS ASIGNACIÓN'!B:I,7,0),"")</f>
        <v/>
      </c>
      <c r="F721" s="21" t="str">
        <f>IFERROR(VLOOKUP(D721,'DATOS ASIGNACIÓN'!B:I,6,0),"")</f>
        <v/>
      </c>
      <c r="G721" s="10"/>
      <c r="H721" s="35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</row>
    <row r="722" spans="1:30" ht="15.75" customHeight="1">
      <c r="A722" s="52"/>
      <c r="B722" s="42"/>
      <c r="C722" s="42"/>
      <c r="D722" s="26"/>
      <c r="E722" s="21" t="str">
        <f>IFERROR(VLOOKUP(D722,'DATOS ASIGNACIÓN'!B:I,7,0),"")</f>
        <v/>
      </c>
      <c r="F722" s="21" t="str">
        <f>IFERROR(VLOOKUP(D722,'DATOS ASIGNACIÓN'!B:I,6,0),"")</f>
        <v/>
      </c>
      <c r="G722" s="10"/>
      <c r="H722" s="35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</row>
    <row r="723" spans="1:30" ht="15.75" customHeight="1">
      <c r="A723" s="52"/>
      <c r="B723" s="42"/>
      <c r="C723" s="42"/>
      <c r="D723" s="26"/>
      <c r="E723" s="21" t="str">
        <f>IFERROR(VLOOKUP(D723,'DATOS ASIGNACIÓN'!B:I,7,0),"")</f>
        <v/>
      </c>
      <c r="F723" s="21" t="str">
        <f>IFERROR(VLOOKUP(D723,'DATOS ASIGNACIÓN'!B:I,6,0),"")</f>
        <v/>
      </c>
      <c r="G723" s="10"/>
      <c r="H723" s="35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</row>
    <row r="724" spans="1:30" ht="15.75" customHeight="1">
      <c r="A724" s="52"/>
      <c r="B724" s="42"/>
      <c r="C724" s="42"/>
      <c r="D724" s="26"/>
      <c r="E724" s="21" t="str">
        <f>IFERROR(VLOOKUP(D724,'DATOS ASIGNACIÓN'!B:I,7,0),"")</f>
        <v/>
      </c>
      <c r="F724" s="21" t="str">
        <f>IFERROR(VLOOKUP(D724,'DATOS ASIGNACIÓN'!B:I,6,0),"")</f>
        <v/>
      </c>
      <c r="G724" s="10"/>
      <c r="H724" s="35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</row>
    <row r="725" spans="1:30" ht="15.75" customHeight="1">
      <c r="A725" s="52"/>
      <c r="B725" s="42"/>
      <c r="C725" s="42"/>
      <c r="D725" s="26"/>
      <c r="E725" s="21" t="str">
        <f>IFERROR(VLOOKUP(D725,'DATOS ASIGNACIÓN'!B:I,7,0),"")</f>
        <v/>
      </c>
      <c r="F725" s="21" t="str">
        <f>IFERROR(VLOOKUP(D725,'DATOS ASIGNACIÓN'!B:I,6,0),"")</f>
        <v/>
      </c>
      <c r="G725" s="10"/>
      <c r="H725" s="35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</row>
    <row r="726" spans="1:30" ht="15.75" customHeight="1">
      <c r="A726" s="52"/>
      <c r="B726" s="42"/>
      <c r="C726" s="42"/>
      <c r="D726" s="26"/>
      <c r="E726" s="21" t="str">
        <f>IFERROR(VLOOKUP(D726,'DATOS ASIGNACIÓN'!B:I,7,0),"")</f>
        <v/>
      </c>
      <c r="F726" s="21" t="str">
        <f>IFERROR(VLOOKUP(D726,'DATOS ASIGNACIÓN'!B:I,6,0),"")</f>
        <v/>
      </c>
      <c r="G726" s="10"/>
      <c r="H726" s="35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</row>
    <row r="727" spans="1:30" ht="15.75" customHeight="1">
      <c r="A727" s="52"/>
      <c r="B727" s="42"/>
      <c r="C727" s="42"/>
      <c r="D727" s="26"/>
      <c r="E727" s="21" t="str">
        <f>IFERROR(VLOOKUP(D727,'DATOS ASIGNACIÓN'!B:I,7,0),"")</f>
        <v/>
      </c>
      <c r="F727" s="21" t="str">
        <f>IFERROR(VLOOKUP(D727,'DATOS ASIGNACIÓN'!B:I,6,0),"")</f>
        <v/>
      </c>
      <c r="G727" s="10"/>
      <c r="H727" s="35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</row>
    <row r="728" spans="1:30" ht="15.75" customHeight="1">
      <c r="A728" s="52"/>
      <c r="B728" s="42"/>
      <c r="C728" s="42"/>
      <c r="D728" s="26"/>
      <c r="E728" s="21" t="str">
        <f>IFERROR(VLOOKUP(D728,'DATOS ASIGNACIÓN'!B:I,7,0),"")</f>
        <v/>
      </c>
      <c r="F728" s="21" t="str">
        <f>IFERROR(VLOOKUP(D728,'DATOS ASIGNACIÓN'!B:I,6,0),"")</f>
        <v/>
      </c>
      <c r="G728" s="10"/>
      <c r="H728" s="35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</row>
    <row r="729" spans="1:30" ht="15.75" customHeight="1">
      <c r="A729" s="52"/>
      <c r="B729" s="42"/>
      <c r="C729" s="42"/>
      <c r="D729" s="26"/>
      <c r="E729" s="21" t="str">
        <f>IFERROR(VLOOKUP(D729,'DATOS ASIGNACIÓN'!B:I,7,0),"")</f>
        <v/>
      </c>
      <c r="F729" s="21" t="str">
        <f>IFERROR(VLOOKUP(D729,'DATOS ASIGNACIÓN'!B:I,6,0),"")</f>
        <v/>
      </c>
      <c r="G729" s="10"/>
      <c r="H729" s="35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</row>
    <row r="730" spans="1:30" ht="15.75" customHeight="1">
      <c r="A730" s="52"/>
      <c r="B730" s="42"/>
      <c r="C730" s="42"/>
      <c r="D730" s="26"/>
      <c r="E730" s="21" t="str">
        <f>IFERROR(VLOOKUP(D730,'DATOS ASIGNACIÓN'!B:I,7,0),"")</f>
        <v/>
      </c>
      <c r="F730" s="21" t="str">
        <f>IFERROR(VLOOKUP(D730,'DATOS ASIGNACIÓN'!B:I,6,0),"")</f>
        <v/>
      </c>
      <c r="G730" s="10"/>
      <c r="H730" s="35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</row>
    <row r="731" spans="1:30" ht="15.75" customHeight="1">
      <c r="A731" s="52"/>
      <c r="B731" s="42"/>
      <c r="C731" s="42"/>
      <c r="D731" s="26"/>
      <c r="E731" s="21" t="str">
        <f>IFERROR(VLOOKUP(D731,'DATOS ASIGNACIÓN'!B:I,7,0),"")</f>
        <v/>
      </c>
      <c r="F731" s="21" t="str">
        <f>IFERROR(VLOOKUP(D731,'DATOS ASIGNACIÓN'!B:I,6,0),"")</f>
        <v/>
      </c>
      <c r="G731" s="10"/>
      <c r="H731" s="35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</row>
    <row r="732" spans="1:30" ht="15.75" customHeight="1">
      <c r="A732" s="52"/>
      <c r="B732" s="42"/>
      <c r="C732" s="42"/>
      <c r="D732" s="26"/>
      <c r="E732" s="21" t="str">
        <f>IFERROR(VLOOKUP(D732,'DATOS ASIGNACIÓN'!B:I,7,0),"")</f>
        <v/>
      </c>
      <c r="F732" s="21" t="str">
        <f>IFERROR(VLOOKUP(D732,'DATOS ASIGNACIÓN'!B:I,6,0),"")</f>
        <v/>
      </c>
      <c r="G732" s="10"/>
      <c r="H732" s="35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</row>
    <row r="733" spans="1:30" ht="15.75" customHeight="1">
      <c r="A733" s="52"/>
      <c r="B733" s="42"/>
      <c r="C733" s="42"/>
      <c r="D733" s="26"/>
      <c r="E733" s="21" t="str">
        <f>IFERROR(VLOOKUP(D733,'DATOS ASIGNACIÓN'!B:I,7,0),"")</f>
        <v/>
      </c>
      <c r="F733" s="21" t="str">
        <f>IFERROR(VLOOKUP(D733,'DATOS ASIGNACIÓN'!B:I,6,0),"")</f>
        <v/>
      </c>
      <c r="G733" s="10"/>
      <c r="H733" s="35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</row>
    <row r="734" spans="1:30" ht="15.75" customHeight="1">
      <c r="A734" s="52"/>
      <c r="B734" s="42"/>
      <c r="C734" s="42"/>
      <c r="D734" s="26"/>
      <c r="E734" s="21" t="str">
        <f>IFERROR(VLOOKUP(D734,'DATOS ASIGNACIÓN'!B:I,7,0),"")</f>
        <v/>
      </c>
      <c r="F734" s="21" t="str">
        <f>IFERROR(VLOOKUP(D734,'DATOS ASIGNACIÓN'!B:I,6,0),"")</f>
        <v/>
      </c>
      <c r="G734" s="10"/>
      <c r="H734" s="35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</row>
    <row r="735" spans="1:30" ht="15.75" customHeight="1">
      <c r="A735" s="52"/>
      <c r="B735" s="42"/>
      <c r="C735" s="42"/>
      <c r="D735" s="26"/>
      <c r="E735" s="21" t="str">
        <f>IFERROR(VLOOKUP(D735,'DATOS ASIGNACIÓN'!B:I,7,0),"")</f>
        <v/>
      </c>
      <c r="F735" s="21" t="str">
        <f>IFERROR(VLOOKUP(D735,'DATOS ASIGNACIÓN'!B:I,6,0),"")</f>
        <v/>
      </c>
      <c r="G735" s="10"/>
      <c r="H735" s="35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</row>
    <row r="736" spans="1:30" ht="15.75" customHeight="1">
      <c r="A736" s="52"/>
      <c r="B736" s="42"/>
      <c r="C736" s="42"/>
      <c r="D736" s="26"/>
      <c r="E736" s="21" t="str">
        <f>IFERROR(VLOOKUP(D736,'DATOS ASIGNACIÓN'!B:I,7,0),"")</f>
        <v/>
      </c>
      <c r="F736" s="21" t="str">
        <f>IFERROR(VLOOKUP(D736,'DATOS ASIGNACIÓN'!B:I,6,0),"")</f>
        <v/>
      </c>
      <c r="G736" s="10"/>
      <c r="H736" s="35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</row>
    <row r="737" spans="1:30" ht="15.75" customHeight="1">
      <c r="A737" s="52"/>
      <c r="B737" s="42"/>
      <c r="C737" s="42"/>
      <c r="D737" s="26"/>
      <c r="E737" s="21" t="str">
        <f>IFERROR(VLOOKUP(D737,'DATOS ASIGNACIÓN'!B:I,7,0),"")</f>
        <v/>
      </c>
      <c r="F737" s="21" t="str">
        <f>IFERROR(VLOOKUP(D737,'DATOS ASIGNACIÓN'!B:I,6,0),"")</f>
        <v/>
      </c>
      <c r="G737" s="10"/>
      <c r="H737" s="35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</row>
    <row r="738" spans="1:30" ht="15.75" customHeight="1">
      <c r="A738" s="52"/>
      <c r="B738" s="42"/>
      <c r="C738" s="42"/>
      <c r="D738" s="26"/>
      <c r="E738" s="21" t="str">
        <f>IFERROR(VLOOKUP(D738,'DATOS ASIGNACIÓN'!B:I,7,0),"")</f>
        <v/>
      </c>
      <c r="F738" s="21" t="str">
        <f>IFERROR(VLOOKUP(D738,'DATOS ASIGNACIÓN'!B:I,6,0),"")</f>
        <v/>
      </c>
      <c r="G738" s="10"/>
      <c r="H738" s="35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</row>
    <row r="739" spans="1:30" ht="15.75" customHeight="1">
      <c r="A739" s="52"/>
      <c r="B739" s="42"/>
      <c r="C739" s="42"/>
      <c r="D739" s="26"/>
      <c r="E739" s="21" t="str">
        <f>IFERROR(VLOOKUP(D739,'DATOS ASIGNACIÓN'!B:I,7,0),"")</f>
        <v/>
      </c>
      <c r="F739" s="21" t="str">
        <f>IFERROR(VLOOKUP(D739,'DATOS ASIGNACIÓN'!B:I,6,0),"")</f>
        <v/>
      </c>
      <c r="G739" s="10"/>
      <c r="H739" s="35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</row>
    <row r="740" spans="1:30" ht="15.75" customHeight="1">
      <c r="A740" s="52"/>
      <c r="B740" s="42"/>
      <c r="C740" s="42"/>
      <c r="D740" s="26"/>
      <c r="E740" s="21" t="str">
        <f>IFERROR(VLOOKUP(D740,'DATOS ASIGNACIÓN'!B:I,7,0),"")</f>
        <v/>
      </c>
      <c r="F740" s="21" t="str">
        <f>IFERROR(VLOOKUP(D740,'DATOS ASIGNACIÓN'!B:I,6,0),"")</f>
        <v/>
      </c>
      <c r="G740" s="10"/>
      <c r="H740" s="35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</row>
    <row r="741" spans="1:30" ht="15.75" customHeight="1">
      <c r="A741" s="52"/>
      <c r="B741" s="42"/>
      <c r="C741" s="42"/>
      <c r="D741" s="26"/>
      <c r="E741" s="21" t="str">
        <f>IFERROR(VLOOKUP(D741,'DATOS ASIGNACIÓN'!B:I,7,0),"")</f>
        <v/>
      </c>
      <c r="F741" s="21" t="str">
        <f>IFERROR(VLOOKUP(D741,'DATOS ASIGNACIÓN'!B:I,6,0),"")</f>
        <v/>
      </c>
      <c r="G741" s="10"/>
      <c r="H741" s="35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</row>
    <row r="742" spans="1:30" ht="15.75" customHeight="1">
      <c r="A742" s="52"/>
      <c r="B742" s="42"/>
      <c r="C742" s="42"/>
      <c r="D742" s="26"/>
      <c r="E742" s="21" t="str">
        <f>IFERROR(VLOOKUP(D742,'DATOS ASIGNACIÓN'!B:I,7,0),"")</f>
        <v/>
      </c>
      <c r="F742" s="21" t="str">
        <f>IFERROR(VLOOKUP(D742,'DATOS ASIGNACIÓN'!B:I,6,0),"")</f>
        <v/>
      </c>
      <c r="G742" s="10"/>
      <c r="H742" s="35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</row>
    <row r="743" spans="1:30" ht="15.75" customHeight="1">
      <c r="A743" s="52"/>
      <c r="B743" s="42"/>
      <c r="C743" s="42"/>
      <c r="D743" s="26"/>
      <c r="E743" s="21" t="str">
        <f>IFERROR(VLOOKUP(D743,'DATOS ASIGNACIÓN'!B:I,7,0),"")</f>
        <v/>
      </c>
      <c r="F743" s="21" t="str">
        <f>IFERROR(VLOOKUP(D743,'DATOS ASIGNACIÓN'!B:I,6,0),"")</f>
        <v/>
      </c>
      <c r="G743" s="10"/>
      <c r="H743" s="35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</row>
    <row r="744" spans="1:30" ht="15.75" customHeight="1">
      <c r="A744" s="52"/>
      <c r="B744" s="42"/>
      <c r="C744" s="42"/>
      <c r="D744" s="26"/>
      <c r="E744" s="21" t="str">
        <f>IFERROR(VLOOKUP(D744,'DATOS ASIGNACIÓN'!B:I,7,0),"")</f>
        <v/>
      </c>
      <c r="F744" s="21" t="str">
        <f>IFERROR(VLOOKUP(D744,'DATOS ASIGNACIÓN'!B:I,6,0),"")</f>
        <v/>
      </c>
      <c r="G744" s="10"/>
      <c r="H744" s="35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</row>
    <row r="745" spans="1:30" ht="15.75" customHeight="1">
      <c r="A745" s="52"/>
      <c r="B745" s="42"/>
      <c r="C745" s="42"/>
      <c r="D745" s="26"/>
      <c r="E745" s="21" t="str">
        <f>IFERROR(VLOOKUP(D745,'DATOS ASIGNACIÓN'!B:I,7,0),"")</f>
        <v/>
      </c>
      <c r="F745" s="21" t="str">
        <f>IFERROR(VLOOKUP(D745,'DATOS ASIGNACIÓN'!B:I,6,0),"")</f>
        <v/>
      </c>
      <c r="G745" s="10"/>
      <c r="H745" s="35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</row>
    <row r="746" spans="1:30" ht="15.75" customHeight="1">
      <c r="A746" s="52"/>
      <c r="B746" s="42"/>
      <c r="C746" s="42"/>
      <c r="D746" s="26"/>
      <c r="E746" s="21" t="str">
        <f>IFERROR(VLOOKUP(D746,'DATOS ASIGNACIÓN'!B:I,7,0),"")</f>
        <v/>
      </c>
      <c r="F746" s="21" t="str">
        <f>IFERROR(VLOOKUP(D746,'DATOS ASIGNACIÓN'!B:I,6,0),"")</f>
        <v/>
      </c>
      <c r="G746" s="10"/>
      <c r="H746" s="35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</row>
    <row r="747" spans="1:30" ht="15.75" customHeight="1">
      <c r="A747" s="52"/>
      <c r="B747" s="42"/>
      <c r="C747" s="42"/>
      <c r="D747" s="26"/>
      <c r="E747" s="21" t="str">
        <f>IFERROR(VLOOKUP(D747,'DATOS ASIGNACIÓN'!B:I,7,0),"")</f>
        <v/>
      </c>
      <c r="F747" s="21" t="str">
        <f>IFERROR(VLOOKUP(D747,'DATOS ASIGNACIÓN'!B:I,6,0),"")</f>
        <v/>
      </c>
      <c r="G747" s="10"/>
      <c r="H747" s="35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</row>
    <row r="748" spans="1:30" ht="15.75" customHeight="1">
      <c r="A748" s="52"/>
      <c r="B748" s="42"/>
      <c r="C748" s="42"/>
      <c r="D748" s="26"/>
      <c r="E748" s="21" t="str">
        <f>IFERROR(VLOOKUP(D748,'DATOS ASIGNACIÓN'!B:I,7,0),"")</f>
        <v/>
      </c>
      <c r="F748" s="21" t="str">
        <f>IFERROR(VLOOKUP(D748,'DATOS ASIGNACIÓN'!B:I,6,0),"")</f>
        <v/>
      </c>
      <c r="G748" s="10"/>
      <c r="H748" s="35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</row>
    <row r="749" spans="1:30" ht="15.75" customHeight="1">
      <c r="A749" s="52"/>
      <c r="B749" s="42"/>
      <c r="C749" s="42"/>
      <c r="D749" s="26"/>
      <c r="E749" s="21" t="str">
        <f>IFERROR(VLOOKUP(D749,'DATOS ASIGNACIÓN'!B:I,7,0),"")</f>
        <v/>
      </c>
      <c r="F749" s="21" t="str">
        <f>IFERROR(VLOOKUP(D749,'DATOS ASIGNACIÓN'!B:I,6,0),"")</f>
        <v/>
      </c>
      <c r="G749" s="10"/>
      <c r="H749" s="35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</row>
    <row r="750" spans="1:30" ht="15.75" customHeight="1">
      <c r="A750" s="52"/>
      <c r="B750" s="42"/>
      <c r="C750" s="42"/>
      <c r="D750" s="26"/>
      <c r="E750" s="21" t="str">
        <f>IFERROR(VLOOKUP(D750,'DATOS ASIGNACIÓN'!B:I,7,0),"")</f>
        <v/>
      </c>
      <c r="F750" s="21" t="str">
        <f>IFERROR(VLOOKUP(D750,'DATOS ASIGNACIÓN'!B:I,6,0),"")</f>
        <v/>
      </c>
      <c r="G750" s="10"/>
      <c r="H750" s="35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</row>
    <row r="751" spans="1:30" ht="15.75" customHeight="1">
      <c r="A751" s="52"/>
      <c r="B751" s="42"/>
      <c r="C751" s="42"/>
      <c r="D751" s="14"/>
      <c r="E751" s="14"/>
      <c r="F751" s="21" t="str">
        <f>IFERROR(VLOOKUP(D751,'DATOS ASIGNACIÓN'!B:I,6,0),"")</f>
        <v/>
      </c>
      <c r="G751" s="10"/>
      <c r="H751" s="35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</row>
    <row r="752" spans="1:30" ht="15.75" customHeight="1">
      <c r="A752" s="52"/>
      <c r="B752" s="42"/>
      <c r="C752" s="42"/>
      <c r="D752" s="14"/>
      <c r="E752" s="14"/>
      <c r="F752" s="21" t="str">
        <f>IFERROR(VLOOKUP(D752,'DATOS ASIGNACIÓN'!B:I,6,0),"")</f>
        <v/>
      </c>
      <c r="G752" s="10"/>
      <c r="H752" s="35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</row>
    <row r="753" spans="1:30" ht="15.75" customHeight="1">
      <c r="A753" s="52"/>
      <c r="B753" s="42"/>
      <c r="C753" s="42"/>
      <c r="D753" s="14"/>
      <c r="E753" s="14"/>
      <c r="F753" s="21" t="str">
        <f>IFERROR(VLOOKUP(D753,'DATOS ASIGNACIÓN'!B:I,6,0),"")</f>
        <v/>
      </c>
      <c r="G753" s="10"/>
      <c r="H753" s="35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</row>
    <row r="754" spans="1:30" ht="15.75" customHeight="1">
      <c r="A754" s="52"/>
      <c r="B754" s="42"/>
      <c r="C754" s="42"/>
      <c r="D754" s="14"/>
      <c r="E754" s="14"/>
      <c r="F754" s="21" t="str">
        <f>IFERROR(VLOOKUP(D754,'DATOS ASIGNACIÓN'!B:I,6,0),"")</f>
        <v/>
      </c>
      <c r="G754" s="10"/>
      <c r="H754" s="35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</row>
    <row r="755" spans="1:30" ht="15.75" customHeight="1">
      <c r="A755" s="52"/>
      <c r="B755" s="42"/>
      <c r="C755" s="42"/>
      <c r="D755" s="14"/>
      <c r="E755" s="14"/>
      <c r="F755" s="21" t="str">
        <f>IFERROR(VLOOKUP(D755,'DATOS ASIGNACIÓN'!B:I,6,0),"")</f>
        <v/>
      </c>
      <c r="G755" s="10"/>
      <c r="H755" s="35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</row>
    <row r="756" spans="1:30" ht="15.75" customHeight="1">
      <c r="A756" s="52"/>
      <c r="B756" s="42"/>
      <c r="C756" s="42"/>
      <c r="D756" s="14"/>
      <c r="E756" s="14"/>
      <c r="F756" s="21" t="str">
        <f>IFERROR(VLOOKUP(D756,'DATOS ASIGNACIÓN'!B:I,6,0),"")</f>
        <v/>
      </c>
      <c r="G756" s="10"/>
      <c r="H756" s="35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</row>
    <row r="757" spans="1:30" ht="15.75" customHeight="1">
      <c r="A757" s="52"/>
      <c r="B757" s="42"/>
      <c r="C757" s="42"/>
      <c r="D757" s="14"/>
      <c r="E757" s="14"/>
      <c r="F757" s="21" t="str">
        <f>IFERROR(VLOOKUP(D757,'DATOS ASIGNACIÓN'!B:I,6,0),"")</f>
        <v/>
      </c>
      <c r="G757" s="10"/>
      <c r="H757" s="35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</row>
    <row r="758" spans="1:30" ht="15.75" customHeight="1">
      <c r="A758" s="52"/>
      <c r="B758" s="42"/>
      <c r="C758" s="42"/>
      <c r="D758" s="14"/>
      <c r="E758" s="14"/>
      <c r="F758" s="21" t="str">
        <f>IFERROR(VLOOKUP(D758,'DATOS ASIGNACIÓN'!B:I,6,0),"")</f>
        <v/>
      </c>
      <c r="G758" s="10"/>
      <c r="H758" s="35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</row>
    <row r="759" spans="1:30" ht="15.75" customHeight="1">
      <c r="A759" s="52"/>
      <c r="B759" s="42"/>
      <c r="C759" s="42"/>
      <c r="D759" s="14"/>
      <c r="E759" s="14"/>
      <c r="F759" s="21" t="str">
        <f>IFERROR(VLOOKUP(D759,'DATOS ASIGNACIÓN'!B:I,6,0),"")</f>
        <v/>
      </c>
      <c r="G759" s="10"/>
      <c r="H759" s="35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</row>
    <row r="760" spans="1:30" ht="15.75" customHeight="1">
      <c r="A760" s="52"/>
      <c r="B760" s="42"/>
      <c r="C760" s="42"/>
      <c r="D760" s="14"/>
      <c r="E760" s="14"/>
      <c r="F760" s="21" t="str">
        <f>IFERROR(VLOOKUP(D760,'DATOS ASIGNACIÓN'!B:I,6,0),"")</f>
        <v/>
      </c>
      <c r="G760" s="10"/>
      <c r="H760" s="35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</row>
    <row r="761" spans="1:30" ht="15.75" customHeight="1">
      <c r="A761" s="52"/>
      <c r="B761" s="42"/>
      <c r="C761" s="42"/>
      <c r="D761" s="14"/>
      <c r="E761" s="14"/>
      <c r="F761" s="21" t="str">
        <f>IFERROR(VLOOKUP(D761,'DATOS ASIGNACIÓN'!B:I,6,0),"")</f>
        <v/>
      </c>
      <c r="G761" s="10"/>
      <c r="H761" s="35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</row>
    <row r="762" spans="1:30" ht="15.75" customHeight="1">
      <c r="A762" s="52"/>
      <c r="B762" s="42"/>
      <c r="C762" s="42"/>
      <c r="D762" s="14"/>
      <c r="E762" s="14"/>
      <c r="F762" s="21" t="str">
        <f>IFERROR(VLOOKUP(D762,'DATOS ASIGNACIÓN'!B:I,6,0),"")</f>
        <v/>
      </c>
      <c r="G762" s="10"/>
      <c r="H762" s="35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</row>
    <row r="763" spans="1:30" ht="15.75" customHeight="1">
      <c r="A763" s="52"/>
      <c r="B763" s="42"/>
      <c r="C763" s="42"/>
      <c r="D763" s="14"/>
      <c r="E763" s="14"/>
      <c r="F763" s="21" t="str">
        <f>IFERROR(VLOOKUP(D763,'DATOS ASIGNACIÓN'!B:I,6,0),"")</f>
        <v/>
      </c>
      <c r="G763" s="10"/>
      <c r="H763" s="35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</row>
    <row r="764" spans="1:30" ht="15.75" customHeight="1">
      <c r="A764" s="52"/>
      <c r="B764" s="42"/>
      <c r="C764" s="42"/>
      <c r="D764" s="14"/>
      <c r="E764" s="14"/>
      <c r="F764" s="21" t="str">
        <f>IFERROR(VLOOKUP(D764,'DATOS ASIGNACIÓN'!B:I,6,0),"")</f>
        <v/>
      </c>
      <c r="G764" s="10"/>
      <c r="H764" s="35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</row>
    <row r="765" spans="1:30" ht="15.75" customHeight="1">
      <c r="A765" s="52"/>
      <c r="B765" s="42"/>
      <c r="C765" s="42"/>
      <c r="D765" s="14"/>
      <c r="E765" s="14"/>
      <c r="F765" s="21" t="str">
        <f>IFERROR(VLOOKUP(D765,'DATOS ASIGNACIÓN'!B:I,6,0),"")</f>
        <v/>
      </c>
      <c r="G765" s="10"/>
      <c r="H765" s="35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</row>
    <row r="766" spans="1:30" ht="15.75" customHeight="1">
      <c r="A766" s="52"/>
      <c r="B766" s="42"/>
      <c r="C766" s="42"/>
      <c r="D766" s="14"/>
      <c r="E766" s="14"/>
      <c r="F766" s="21" t="str">
        <f>IFERROR(VLOOKUP(D766,'DATOS ASIGNACIÓN'!B:I,6,0),"")</f>
        <v/>
      </c>
      <c r="G766" s="10"/>
      <c r="H766" s="35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</row>
    <row r="767" spans="1:30" ht="15.75" customHeight="1">
      <c r="A767" s="52"/>
      <c r="B767" s="42"/>
      <c r="C767" s="42"/>
      <c r="D767" s="14"/>
      <c r="E767" s="14"/>
      <c r="F767" s="21" t="str">
        <f>IFERROR(VLOOKUP(D767,'DATOS ASIGNACIÓN'!B:I,6,0),"")</f>
        <v/>
      </c>
      <c r="G767" s="10"/>
      <c r="H767" s="35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</row>
    <row r="768" spans="1:30" ht="15.75" customHeight="1">
      <c r="A768" s="52"/>
      <c r="B768" s="42"/>
      <c r="C768" s="42"/>
      <c r="D768" s="14"/>
      <c r="E768" s="14"/>
      <c r="F768" s="21" t="str">
        <f>IFERROR(VLOOKUP(D768,'DATOS ASIGNACIÓN'!B:I,6,0),"")</f>
        <v/>
      </c>
      <c r="G768" s="10"/>
      <c r="H768" s="35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</row>
    <row r="769" spans="1:30" ht="15.75" customHeight="1">
      <c r="A769" s="52"/>
      <c r="B769" s="42"/>
      <c r="C769" s="42"/>
      <c r="D769" s="14"/>
      <c r="E769" s="14"/>
      <c r="F769" s="21" t="str">
        <f>IFERROR(VLOOKUP(D769,'DATOS ASIGNACIÓN'!B:I,6,0),"")</f>
        <v/>
      </c>
      <c r="G769" s="10"/>
      <c r="H769" s="35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</row>
    <row r="770" spans="1:30" ht="15.75" customHeight="1">
      <c r="A770" s="52"/>
      <c r="B770" s="42"/>
      <c r="C770" s="42"/>
      <c r="D770" s="14"/>
      <c r="E770" s="14"/>
      <c r="F770" s="21" t="str">
        <f>IFERROR(VLOOKUP(D770,'DATOS ASIGNACIÓN'!B:I,6,0),"")</f>
        <v/>
      </c>
      <c r="G770" s="10"/>
      <c r="H770" s="35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</row>
    <row r="771" spans="1:30" ht="15.75" customHeight="1">
      <c r="A771" s="52"/>
      <c r="B771" s="42"/>
      <c r="C771" s="42"/>
      <c r="D771" s="14"/>
      <c r="E771" s="14"/>
      <c r="F771" s="21" t="str">
        <f>IFERROR(VLOOKUP(D771,'DATOS ASIGNACIÓN'!B:I,6,0),"")</f>
        <v/>
      </c>
      <c r="G771" s="10"/>
      <c r="H771" s="35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</row>
    <row r="772" spans="1:30" ht="15.75" customHeight="1">
      <c r="A772" s="52"/>
      <c r="B772" s="42"/>
      <c r="C772" s="42"/>
      <c r="D772" s="14"/>
      <c r="E772" s="14"/>
      <c r="F772" s="21" t="str">
        <f>IFERROR(VLOOKUP(D772,'DATOS ASIGNACIÓN'!B:I,6,0),"")</f>
        <v/>
      </c>
      <c r="G772" s="10"/>
      <c r="H772" s="35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</row>
    <row r="773" spans="1:30" ht="15.75" customHeight="1">
      <c r="A773" s="52"/>
      <c r="B773" s="42"/>
      <c r="C773" s="42"/>
      <c r="D773" s="14"/>
      <c r="E773" s="14"/>
      <c r="F773" s="21" t="str">
        <f>IFERROR(VLOOKUP(D773,'DATOS ASIGNACIÓN'!B:I,6,0),"")</f>
        <v/>
      </c>
      <c r="G773" s="10"/>
      <c r="H773" s="35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</row>
    <row r="774" spans="1:30" ht="15.75" customHeight="1">
      <c r="A774" s="52"/>
      <c r="B774" s="42"/>
      <c r="C774" s="42"/>
      <c r="D774" s="14"/>
      <c r="E774" s="14"/>
      <c r="F774" s="21" t="str">
        <f>IFERROR(VLOOKUP(D774,'DATOS ASIGNACIÓN'!B:I,6,0),"")</f>
        <v/>
      </c>
      <c r="G774" s="10"/>
      <c r="H774" s="35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</row>
    <row r="775" spans="1:30" ht="15.75" customHeight="1">
      <c r="A775" s="52"/>
      <c r="B775" s="42"/>
      <c r="C775" s="42"/>
      <c r="D775" s="14"/>
      <c r="E775" s="14"/>
      <c r="F775" s="21" t="str">
        <f>IFERROR(VLOOKUP(D775,'DATOS ASIGNACIÓN'!B:I,6,0),"")</f>
        <v/>
      </c>
      <c r="G775" s="10"/>
      <c r="H775" s="35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</row>
    <row r="776" spans="1:30" ht="15.75" customHeight="1">
      <c r="A776" s="52"/>
      <c r="B776" s="42"/>
      <c r="C776" s="42"/>
      <c r="D776" s="14"/>
      <c r="E776" s="14"/>
      <c r="F776" s="21" t="str">
        <f>IFERROR(VLOOKUP(D776,'DATOS ASIGNACIÓN'!B:I,6,0),"")</f>
        <v/>
      </c>
      <c r="G776" s="10"/>
      <c r="H776" s="35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</row>
    <row r="777" spans="1:30" ht="15.75" customHeight="1">
      <c r="A777" s="52"/>
      <c r="B777" s="42"/>
      <c r="C777" s="42"/>
      <c r="D777" s="14"/>
      <c r="E777" s="14"/>
      <c r="F777" s="21" t="str">
        <f>IFERROR(VLOOKUP(D777,'DATOS ASIGNACIÓN'!B:I,6,0),"")</f>
        <v/>
      </c>
      <c r="G777" s="10"/>
      <c r="H777" s="35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</row>
    <row r="778" spans="1:30" ht="15.75" customHeight="1">
      <c r="A778" s="52"/>
      <c r="B778" s="42"/>
      <c r="C778" s="42"/>
      <c r="D778" s="14"/>
      <c r="E778" s="14"/>
      <c r="F778" s="21" t="str">
        <f>IFERROR(VLOOKUP(D778,'DATOS ASIGNACIÓN'!B:I,6,0),"")</f>
        <v/>
      </c>
      <c r="G778" s="10"/>
      <c r="H778" s="35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</row>
    <row r="779" spans="1:30" ht="15.75" customHeight="1">
      <c r="A779" s="52"/>
      <c r="B779" s="42"/>
      <c r="C779" s="42"/>
      <c r="D779" s="14"/>
      <c r="E779" s="14"/>
      <c r="F779" s="21" t="str">
        <f>IFERROR(VLOOKUP(D779,'DATOS ASIGNACIÓN'!B:I,6,0),"")</f>
        <v/>
      </c>
      <c r="G779" s="10"/>
      <c r="H779" s="35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</row>
    <row r="780" spans="1:30" ht="15.75" customHeight="1">
      <c r="A780" s="52"/>
      <c r="B780" s="42"/>
      <c r="C780" s="42"/>
      <c r="D780" s="14"/>
      <c r="E780" s="14"/>
      <c r="F780" s="21" t="str">
        <f>IFERROR(VLOOKUP(D780,'DATOS ASIGNACIÓN'!B:I,6,0),"")</f>
        <v/>
      </c>
      <c r="G780" s="10"/>
      <c r="H780" s="35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</row>
    <row r="781" spans="1:30" ht="15.75" customHeight="1">
      <c r="A781" s="52"/>
      <c r="B781" s="42"/>
      <c r="C781" s="42"/>
      <c r="D781" s="14"/>
      <c r="E781" s="14"/>
      <c r="F781" s="21" t="str">
        <f>IFERROR(VLOOKUP(D781,'DATOS ASIGNACIÓN'!B:I,6,0),"")</f>
        <v/>
      </c>
      <c r="G781" s="10"/>
      <c r="H781" s="35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</row>
    <row r="782" spans="1:30" ht="15.75" customHeight="1">
      <c r="A782" s="52"/>
      <c r="B782" s="42"/>
      <c r="C782" s="42"/>
      <c r="D782" s="14"/>
      <c r="E782" s="14"/>
      <c r="F782" s="21" t="str">
        <f>IFERROR(VLOOKUP(D782,'DATOS ASIGNACIÓN'!B:I,6,0),"")</f>
        <v/>
      </c>
      <c r="G782" s="10"/>
      <c r="H782" s="35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</row>
    <row r="783" spans="1:30" ht="15.75" customHeight="1">
      <c r="A783" s="52"/>
      <c r="B783" s="42"/>
      <c r="C783" s="42"/>
      <c r="D783" s="14"/>
      <c r="E783" s="14"/>
      <c r="F783" s="21" t="str">
        <f>IFERROR(VLOOKUP(D783,'DATOS ASIGNACIÓN'!B:I,6,0),"")</f>
        <v/>
      </c>
      <c r="G783" s="10"/>
      <c r="H783" s="35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</row>
    <row r="784" spans="1:30" ht="15.75" customHeight="1">
      <c r="A784" s="52"/>
      <c r="B784" s="42"/>
      <c r="C784" s="42"/>
      <c r="D784" s="14"/>
      <c r="E784" s="14"/>
      <c r="F784" s="21" t="str">
        <f>IFERROR(VLOOKUP(D784,'DATOS ASIGNACIÓN'!B:I,6,0),"")</f>
        <v/>
      </c>
      <c r="G784" s="10"/>
      <c r="H784" s="35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</row>
    <row r="785" spans="1:30" ht="15.75" customHeight="1">
      <c r="A785" s="52"/>
      <c r="B785" s="42"/>
      <c r="C785" s="42"/>
      <c r="D785" s="14"/>
      <c r="E785" s="14"/>
      <c r="F785" s="21" t="str">
        <f>IFERROR(VLOOKUP(D785,'DATOS ASIGNACIÓN'!B:I,6,0),"")</f>
        <v/>
      </c>
      <c r="G785" s="10"/>
      <c r="H785" s="35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</row>
    <row r="786" spans="1:30">
      <c r="A786" s="52"/>
      <c r="B786" s="42"/>
      <c r="C786" s="42"/>
      <c r="D786" s="14"/>
      <c r="E786" s="14"/>
      <c r="F786" s="21" t="str">
        <f>IFERROR(VLOOKUP(D786,'DATOS ASIGNACIÓN'!B:I,6,0),"")</f>
        <v/>
      </c>
      <c r="G786" s="10"/>
      <c r="H786" s="35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</row>
    <row r="787" spans="1:30">
      <c r="A787" s="52"/>
      <c r="B787" s="42"/>
      <c r="C787" s="42"/>
      <c r="D787" s="14"/>
      <c r="E787" s="14"/>
      <c r="F787" s="21" t="str">
        <f>IFERROR(VLOOKUP(D787,'DATOS ASIGNACIÓN'!B:I,6,0),"")</f>
        <v/>
      </c>
      <c r="G787" s="10"/>
      <c r="H787" s="35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</row>
    <row r="788" spans="1:30">
      <c r="A788" s="52"/>
      <c r="B788" s="42"/>
      <c r="C788" s="42"/>
      <c r="D788" s="14"/>
      <c r="E788" s="14"/>
      <c r="F788" s="10"/>
      <c r="G788" s="10"/>
      <c r="H788" s="35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</row>
    <row r="789" spans="1:30">
      <c r="A789" s="52"/>
      <c r="B789" s="42"/>
      <c r="C789" s="42"/>
      <c r="D789" s="14"/>
      <c r="E789" s="14"/>
      <c r="F789" s="10"/>
      <c r="G789" s="10"/>
      <c r="H789" s="35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</row>
    <row r="790" spans="1:30">
      <c r="A790" s="52"/>
      <c r="B790" s="42"/>
      <c r="C790" s="42"/>
      <c r="D790" s="14"/>
      <c r="E790" s="14"/>
      <c r="F790" s="10"/>
      <c r="G790" s="10"/>
      <c r="H790" s="35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</row>
    <row r="791" spans="1:30">
      <c r="A791" s="52"/>
      <c r="B791" s="42"/>
      <c r="C791" s="42"/>
      <c r="D791" s="14"/>
      <c r="E791" s="14"/>
      <c r="F791" s="10"/>
      <c r="G791" s="10"/>
      <c r="H791" s="35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</row>
    <row r="792" spans="1:30">
      <c r="A792" s="52"/>
      <c r="B792" s="42"/>
      <c r="C792" s="42"/>
      <c r="D792" s="14"/>
      <c r="E792" s="14"/>
      <c r="F792" s="10"/>
      <c r="G792" s="10"/>
      <c r="H792" s="35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</row>
    <row r="793" spans="1:30">
      <c r="A793" s="52"/>
      <c r="B793" s="42"/>
      <c r="C793" s="42"/>
      <c r="D793" s="14"/>
      <c r="E793" s="14"/>
      <c r="F793" s="10"/>
      <c r="G793" s="10"/>
      <c r="H793" s="35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</row>
    <row r="794" spans="1:30">
      <c r="A794" s="52"/>
      <c r="B794" s="42"/>
      <c r="C794" s="42"/>
      <c r="D794" s="14"/>
      <c r="E794" s="14"/>
      <c r="F794" s="10"/>
      <c r="G794" s="10"/>
      <c r="H794" s="35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</row>
    <row r="795" spans="1:30">
      <c r="A795" s="52"/>
      <c r="B795" s="42"/>
      <c r="C795" s="42"/>
      <c r="D795" s="14"/>
      <c r="E795" s="14"/>
      <c r="F795" s="10"/>
      <c r="G795" s="10"/>
      <c r="H795" s="35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</row>
    <row r="796" spans="1:30">
      <c r="A796" s="52"/>
      <c r="B796" s="42"/>
      <c r="C796" s="42"/>
      <c r="D796" s="14"/>
      <c r="E796" s="14"/>
      <c r="F796" s="10"/>
      <c r="G796" s="10"/>
      <c r="H796" s="35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</row>
    <row r="797" spans="1:30">
      <c r="A797" s="52"/>
      <c r="B797" s="42"/>
      <c r="C797" s="42"/>
      <c r="D797" s="14"/>
      <c r="E797" s="14"/>
      <c r="F797" s="10"/>
      <c r="G797" s="10"/>
      <c r="H797" s="35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</row>
    <row r="798" spans="1:30">
      <c r="A798" s="52"/>
      <c r="B798" s="42"/>
      <c r="C798" s="42"/>
      <c r="D798" s="14"/>
      <c r="E798" s="14"/>
      <c r="F798" s="10"/>
      <c r="G798" s="10"/>
      <c r="H798" s="35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</row>
    <row r="799" spans="1:30">
      <c r="A799" s="52"/>
      <c r="B799" s="42"/>
      <c r="C799" s="42"/>
      <c r="D799" s="14"/>
      <c r="E799" s="14"/>
      <c r="F799" s="10"/>
      <c r="G799" s="10"/>
      <c r="H799" s="35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</row>
    <row r="800" spans="1:30">
      <c r="A800" s="52"/>
      <c r="B800" s="42"/>
      <c r="C800" s="42"/>
      <c r="D800" s="14"/>
      <c r="E800" s="14"/>
      <c r="F800" s="10"/>
      <c r="G800" s="10"/>
      <c r="H800" s="35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</row>
    <row r="801" spans="1:30">
      <c r="A801" s="52"/>
      <c r="B801" s="42"/>
      <c r="C801" s="42"/>
      <c r="D801" s="14"/>
      <c r="E801" s="14"/>
      <c r="F801" s="10"/>
      <c r="G801" s="10"/>
      <c r="H801" s="35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</row>
    <row r="802" spans="1:30">
      <c r="A802" s="52"/>
      <c r="B802" s="42"/>
      <c r="C802" s="42"/>
      <c r="D802" s="14"/>
      <c r="E802" s="14"/>
      <c r="F802" s="10"/>
      <c r="G802" s="10"/>
      <c r="H802" s="35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</row>
    <row r="803" spans="1:30">
      <c r="A803" s="52"/>
      <c r="B803" s="42"/>
      <c r="C803" s="42"/>
      <c r="D803" s="14"/>
      <c r="E803" s="14"/>
      <c r="F803" s="10"/>
      <c r="G803" s="10"/>
      <c r="H803" s="35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</row>
    <row r="804" spans="1:30">
      <c r="A804" s="52"/>
      <c r="B804" s="42"/>
      <c r="C804" s="42"/>
      <c r="D804" s="14"/>
      <c r="E804" s="14"/>
      <c r="F804" s="10"/>
      <c r="G804" s="10"/>
      <c r="H804" s="35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</row>
    <row r="805" spans="1:30">
      <c r="A805" s="52"/>
      <c r="B805" s="42"/>
      <c r="C805" s="42"/>
      <c r="D805" s="14"/>
      <c r="E805" s="14"/>
      <c r="F805" s="10"/>
      <c r="G805" s="10"/>
      <c r="H805" s="35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</row>
    <row r="806" spans="1:30">
      <c r="A806" s="52"/>
      <c r="B806" s="42"/>
      <c r="C806" s="42"/>
      <c r="D806" s="14"/>
      <c r="E806" s="14"/>
      <c r="F806" s="10"/>
      <c r="G806" s="10"/>
      <c r="H806" s="35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</row>
    <row r="807" spans="1:30">
      <c r="A807" s="52"/>
      <c r="B807" s="42"/>
      <c r="C807" s="42"/>
      <c r="D807" s="14"/>
      <c r="E807" s="14"/>
      <c r="F807" s="10"/>
      <c r="G807" s="10"/>
      <c r="H807" s="35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</row>
    <row r="808" spans="1:30">
      <c r="A808" s="52"/>
      <c r="B808" s="42"/>
      <c r="C808" s="42"/>
      <c r="D808" s="14"/>
      <c r="E808" s="14"/>
      <c r="F808" s="10"/>
      <c r="G808" s="10"/>
      <c r="H808" s="35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</row>
    <row r="809" spans="1:30">
      <c r="A809" s="52"/>
      <c r="B809" s="42"/>
      <c r="C809" s="42"/>
      <c r="D809" s="14"/>
      <c r="E809" s="14"/>
      <c r="F809" s="10"/>
      <c r="G809" s="10"/>
      <c r="H809" s="35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</row>
    <row r="810" spans="1:30">
      <c r="A810" s="52"/>
      <c r="B810" s="42"/>
      <c r="C810" s="42"/>
      <c r="D810" s="14"/>
      <c r="E810" s="14"/>
      <c r="F810" s="10"/>
      <c r="G810" s="10"/>
      <c r="H810" s="35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</row>
    <row r="811" spans="1:30">
      <c r="A811" s="52"/>
      <c r="B811" s="42"/>
      <c r="C811" s="42"/>
      <c r="D811" s="14"/>
      <c r="E811" s="14"/>
      <c r="F811" s="10"/>
      <c r="G811" s="10"/>
      <c r="H811" s="35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</row>
    <row r="812" spans="1:30">
      <c r="A812" s="52"/>
      <c r="B812" s="42"/>
      <c r="C812" s="42"/>
      <c r="D812" s="14"/>
      <c r="E812" s="14"/>
      <c r="F812" s="10"/>
      <c r="G812" s="10"/>
      <c r="H812" s="35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</row>
    <row r="813" spans="1:30">
      <c r="A813" s="52"/>
      <c r="B813" s="42"/>
      <c r="C813" s="42"/>
      <c r="D813" s="14"/>
      <c r="E813" s="14"/>
      <c r="F813" s="10"/>
      <c r="G813" s="10"/>
      <c r="H813" s="35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</row>
    <row r="814" spans="1:30">
      <c r="A814" s="52"/>
      <c r="B814" s="42"/>
      <c r="C814" s="42"/>
      <c r="D814" s="14"/>
      <c r="E814" s="14"/>
      <c r="F814" s="10"/>
      <c r="G814" s="10"/>
      <c r="H814" s="35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</row>
    <row r="815" spans="1:30">
      <c r="A815" s="53"/>
      <c r="B815" s="43"/>
      <c r="C815" s="43"/>
      <c r="D815" s="14"/>
      <c r="E815" s="14"/>
      <c r="F815" s="2"/>
      <c r="G815" s="2"/>
      <c r="H815" s="36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0"/>
      <c r="W815" s="10"/>
      <c r="X815" s="2"/>
      <c r="Y815" s="2"/>
      <c r="Z815" s="2"/>
      <c r="AA815" s="2"/>
      <c r="AB815" s="2"/>
      <c r="AC815" s="2"/>
      <c r="AD815" s="2"/>
    </row>
    <row r="816" spans="1:30">
      <c r="A816" s="53"/>
      <c r="B816" s="43"/>
      <c r="C816" s="43"/>
      <c r="D816" s="14"/>
      <c r="E816" s="14"/>
      <c r="F816" s="2"/>
      <c r="G816" s="2"/>
      <c r="H816" s="36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0"/>
      <c r="W816" s="10"/>
      <c r="X816" s="2"/>
      <c r="Y816" s="2"/>
      <c r="Z816" s="2"/>
      <c r="AA816" s="2"/>
      <c r="AB816" s="2"/>
      <c r="AC816" s="2"/>
      <c r="AD816" s="2"/>
    </row>
    <row r="817" spans="1:30">
      <c r="A817" s="53"/>
      <c r="B817" s="43"/>
      <c r="C817" s="43"/>
      <c r="D817" s="14"/>
      <c r="E817" s="14"/>
      <c r="F817" s="2"/>
      <c r="G817" s="2"/>
      <c r="H817" s="36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>
      <c r="A818" s="53"/>
      <c r="B818" s="43"/>
      <c r="C818" s="43"/>
      <c r="D818" s="14"/>
      <c r="E818" s="14"/>
      <c r="F818" s="2"/>
      <c r="G818" s="2"/>
      <c r="H818" s="36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>
      <c r="A819" s="53"/>
      <c r="B819" s="43"/>
      <c r="C819" s="43"/>
      <c r="D819" s="14"/>
      <c r="E819" s="14"/>
      <c r="F819" s="2"/>
      <c r="G819" s="2"/>
      <c r="H819" s="36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>
      <c r="A820" s="53"/>
      <c r="B820" s="43"/>
      <c r="C820" s="43"/>
      <c r="D820" s="14"/>
      <c r="E820" s="14"/>
      <c r="F820" s="2"/>
      <c r="G820" s="2"/>
      <c r="H820" s="36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>
      <c r="A821" s="53"/>
      <c r="B821" s="43"/>
      <c r="C821" s="43"/>
      <c r="D821" s="14"/>
      <c r="E821" s="14"/>
      <c r="F821" s="2"/>
      <c r="G821" s="2"/>
      <c r="H821" s="36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>
      <c r="A822" s="53"/>
      <c r="B822" s="43"/>
      <c r="C822" s="43"/>
      <c r="D822" s="14"/>
      <c r="E822" s="14"/>
      <c r="F822" s="2"/>
      <c r="G822" s="2"/>
      <c r="H822" s="36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>
      <c r="A823" s="53"/>
      <c r="B823" s="43"/>
      <c r="C823" s="43"/>
      <c r="D823" s="14"/>
      <c r="E823" s="14"/>
      <c r="F823" s="2"/>
      <c r="G823" s="2"/>
      <c r="H823" s="36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>
      <c r="A824" s="53"/>
      <c r="B824" s="43"/>
      <c r="C824" s="43"/>
      <c r="D824" s="14"/>
      <c r="E824" s="14"/>
      <c r="F824" s="2"/>
      <c r="G824" s="2"/>
      <c r="H824" s="36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>
      <c r="A825" s="53"/>
      <c r="B825" s="43"/>
      <c r="C825" s="43"/>
      <c r="D825" s="14"/>
      <c r="E825" s="14"/>
      <c r="F825" s="2"/>
      <c r="G825" s="2"/>
      <c r="H825" s="36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>
      <c r="A826" s="53"/>
      <c r="B826" s="43"/>
      <c r="C826" s="43"/>
      <c r="D826" s="14"/>
      <c r="E826" s="14"/>
      <c r="F826" s="2"/>
      <c r="G826" s="2"/>
      <c r="H826" s="36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>
      <c r="A827" s="53"/>
      <c r="B827" s="43"/>
      <c r="C827" s="43"/>
      <c r="D827" s="14"/>
      <c r="E827" s="14"/>
      <c r="F827" s="2"/>
      <c r="G827" s="2"/>
      <c r="H827" s="36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>
      <c r="A828" s="53"/>
      <c r="B828" s="43"/>
      <c r="C828" s="43"/>
      <c r="D828" s="14"/>
      <c r="E828" s="14"/>
      <c r="F828" s="2"/>
      <c r="G828" s="2"/>
      <c r="H828" s="36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>
      <c r="A829" s="53"/>
      <c r="B829" s="43"/>
      <c r="C829" s="43"/>
      <c r="D829" s="14"/>
      <c r="E829" s="14"/>
      <c r="F829" s="2"/>
      <c r="G829" s="2"/>
      <c r="H829" s="36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>
      <c r="A830" s="53"/>
      <c r="B830" s="43"/>
      <c r="C830" s="43"/>
      <c r="D830" s="14"/>
      <c r="E830" s="14"/>
      <c r="F830" s="2"/>
      <c r="G830" s="2"/>
      <c r="H830" s="36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>
      <c r="A831" s="53"/>
      <c r="B831" s="43"/>
      <c r="C831" s="43"/>
      <c r="D831" s="14"/>
      <c r="E831" s="14"/>
      <c r="F831" s="2"/>
      <c r="G831" s="2"/>
      <c r="H831" s="36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>
      <c r="A832" s="53"/>
      <c r="B832" s="43"/>
      <c r="C832" s="43"/>
      <c r="D832" s="14"/>
      <c r="E832" s="14"/>
      <c r="F832" s="2"/>
      <c r="G832" s="2"/>
      <c r="H832" s="36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>
      <c r="A833" s="53"/>
      <c r="B833" s="43"/>
      <c r="C833" s="43"/>
      <c r="D833" s="14"/>
      <c r="E833" s="14"/>
      <c r="F833" s="2"/>
      <c r="G833" s="2"/>
      <c r="H833" s="36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>
      <c r="A834" s="53"/>
      <c r="B834" s="43"/>
      <c r="C834" s="43"/>
      <c r="D834" s="14"/>
      <c r="E834" s="14"/>
      <c r="F834" s="2"/>
      <c r="G834" s="2"/>
      <c r="H834" s="36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>
      <c r="A835" s="53"/>
      <c r="B835" s="43"/>
      <c r="C835" s="43"/>
      <c r="D835" s="14"/>
      <c r="E835" s="14"/>
      <c r="F835" s="2"/>
      <c r="G835" s="2"/>
      <c r="H835" s="36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>
      <c r="A836" s="53"/>
      <c r="B836" s="43"/>
      <c r="C836" s="43"/>
      <c r="D836" s="14"/>
      <c r="E836" s="14"/>
      <c r="F836" s="2"/>
      <c r="G836" s="2"/>
      <c r="H836" s="36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>
      <c r="A837" s="53"/>
      <c r="B837" s="43"/>
      <c r="C837" s="43"/>
      <c r="D837" s="14"/>
      <c r="E837" s="14"/>
      <c r="F837" s="2"/>
      <c r="G837" s="2"/>
      <c r="H837" s="36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>
      <c r="A838" s="53"/>
      <c r="B838" s="43"/>
      <c r="C838" s="43"/>
      <c r="D838" s="14"/>
      <c r="E838" s="14"/>
      <c r="F838" s="2"/>
      <c r="G838" s="2"/>
      <c r="H838" s="36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>
      <c r="A839" s="53"/>
      <c r="B839" s="43"/>
      <c r="C839" s="43"/>
      <c r="D839" s="14"/>
      <c r="E839" s="14"/>
      <c r="F839" s="2"/>
      <c r="G839" s="2"/>
      <c r="H839" s="36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>
      <c r="A840" s="53"/>
      <c r="B840" s="43"/>
      <c r="C840" s="43"/>
      <c r="D840" s="14"/>
      <c r="E840" s="14"/>
      <c r="F840" s="2"/>
      <c r="G840" s="2"/>
      <c r="H840" s="36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>
      <c r="A841" s="53"/>
      <c r="B841" s="43"/>
      <c r="C841" s="43"/>
      <c r="D841" s="14"/>
      <c r="E841" s="14"/>
      <c r="F841" s="2"/>
      <c r="G841" s="2"/>
      <c r="H841" s="36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>
      <c r="A842" s="53"/>
      <c r="B842" s="43"/>
      <c r="C842" s="43"/>
      <c r="D842" s="14"/>
      <c r="E842" s="14"/>
      <c r="F842" s="2"/>
      <c r="G842" s="2"/>
      <c r="H842" s="36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>
      <c r="A843" s="53"/>
      <c r="B843" s="43"/>
      <c r="C843" s="43"/>
      <c r="D843" s="14"/>
      <c r="E843" s="14"/>
      <c r="F843" s="2"/>
      <c r="G843" s="2"/>
      <c r="H843" s="36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>
      <c r="A844" s="53"/>
      <c r="B844" s="43"/>
      <c r="C844" s="43"/>
      <c r="D844" s="14"/>
      <c r="E844" s="14"/>
      <c r="F844" s="2"/>
      <c r="G844" s="2"/>
      <c r="H844" s="36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>
      <c r="A845" s="53"/>
      <c r="B845" s="43"/>
      <c r="C845" s="43"/>
      <c r="D845" s="14"/>
      <c r="E845" s="14"/>
      <c r="F845" s="2"/>
      <c r="G845" s="2"/>
      <c r="H845" s="36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>
      <c r="A846" s="53"/>
      <c r="B846" s="43"/>
      <c r="C846" s="43"/>
      <c r="D846" s="14"/>
      <c r="E846" s="14"/>
      <c r="F846" s="2"/>
      <c r="G846" s="2"/>
      <c r="H846" s="36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>
      <c r="A847" s="53"/>
      <c r="B847" s="43"/>
      <c r="C847" s="43"/>
      <c r="D847" s="14"/>
      <c r="E847" s="14"/>
      <c r="F847" s="2"/>
      <c r="G847" s="2"/>
      <c r="H847" s="36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>
      <c r="A848" s="53"/>
      <c r="B848" s="43"/>
      <c r="C848" s="43"/>
      <c r="D848" s="14"/>
      <c r="E848" s="14"/>
      <c r="F848" s="2"/>
      <c r="G848" s="2"/>
      <c r="H848" s="36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>
      <c r="A849" s="53"/>
      <c r="B849" s="43"/>
      <c r="C849" s="43"/>
      <c r="D849" s="14"/>
      <c r="E849" s="14"/>
      <c r="F849" s="2"/>
      <c r="G849" s="2"/>
      <c r="H849" s="36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>
      <c r="A850" s="53"/>
      <c r="B850" s="43"/>
      <c r="C850" s="43"/>
      <c r="D850" s="14"/>
      <c r="E850" s="14"/>
      <c r="F850" s="2"/>
      <c r="G850" s="2"/>
      <c r="H850" s="36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>
      <c r="A851" s="53"/>
      <c r="B851" s="43"/>
      <c r="C851" s="43"/>
      <c r="D851" s="14"/>
      <c r="E851" s="14"/>
      <c r="F851" s="2"/>
      <c r="G851" s="2"/>
      <c r="H851" s="36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>
      <c r="A852" s="53"/>
      <c r="B852" s="43"/>
      <c r="C852" s="43"/>
      <c r="D852" s="14"/>
      <c r="E852" s="14"/>
      <c r="F852" s="2"/>
      <c r="G852" s="2"/>
      <c r="H852" s="36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>
      <c r="A853" s="53"/>
      <c r="B853" s="43"/>
      <c r="C853" s="43"/>
      <c r="D853" s="14"/>
      <c r="E853" s="14"/>
      <c r="F853" s="2"/>
      <c r="G853" s="2"/>
      <c r="H853" s="36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>
      <c r="A854" s="53"/>
      <c r="B854" s="43"/>
      <c r="C854" s="43"/>
      <c r="D854" s="14"/>
      <c r="E854" s="14"/>
      <c r="F854" s="2"/>
      <c r="G854" s="2"/>
      <c r="H854" s="36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>
      <c r="A855" s="53"/>
      <c r="B855" s="43"/>
      <c r="C855" s="43"/>
      <c r="D855" s="14"/>
      <c r="E855" s="14"/>
      <c r="F855" s="2"/>
      <c r="G855" s="2"/>
      <c r="H855" s="36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>
      <c r="A856" s="53"/>
      <c r="B856" s="43"/>
      <c r="C856" s="43"/>
      <c r="D856" s="14"/>
      <c r="E856" s="14"/>
      <c r="F856" s="2"/>
      <c r="G856" s="2"/>
      <c r="H856" s="36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>
      <c r="A857" s="53"/>
      <c r="B857" s="43"/>
      <c r="C857" s="43"/>
      <c r="D857" s="14"/>
      <c r="E857" s="14"/>
      <c r="F857" s="2"/>
      <c r="G857" s="2"/>
      <c r="H857" s="36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>
      <c r="A858" s="53"/>
      <c r="B858" s="43"/>
      <c r="C858" s="43"/>
      <c r="D858" s="14"/>
      <c r="E858" s="14"/>
      <c r="F858" s="2"/>
      <c r="G858" s="2"/>
      <c r="H858" s="36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>
      <c r="A859" s="53"/>
      <c r="B859" s="43"/>
      <c r="C859" s="43"/>
      <c r="D859" s="14"/>
      <c r="E859" s="14"/>
      <c r="F859" s="2"/>
      <c r="G859" s="2"/>
      <c r="H859" s="36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>
      <c r="A860" s="53"/>
      <c r="B860" s="43"/>
      <c r="C860" s="43"/>
      <c r="D860" s="14"/>
      <c r="E860" s="14"/>
      <c r="F860" s="2"/>
      <c r="G860" s="2"/>
      <c r="H860" s="36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>
      <c r="A861" s="53"/>
      <c r="B861" s="43"/>
      <c r="C861" s="43"/>
      <c r="D861" s="14"/>
      <c r="E861" s="14"/>
      <c r="F861" s="2"/>
      <c r="G861" s="2"/>
      <c r="H861" s="36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>
      <c r="A862" s="53"/>
      <c r="B862" s="43"/>
      <c r="C862" s="43"/>
      <c r="D862" s="14"/>
      <c r="E862" s="14"/>
      <c r="F862" s="2"/>
      <c r="G862" s="2"/>
      <c r="H862" s="36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>
      <c r="A863" s="53"/>
      <c r="B863" s="43"/>
      <c r="C863" s="43"/>
      <c r="D863" s="14"/>
      <c r="E863" s="14"/>
      <c r="F863" s="2"/>
      <c r="G863" s="2"/>
      <c r="H863" s="36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>
      <c r="A864" s="53"/>
      <c r="B864" s="43"/>
      <c r="C864" s="43"/>
      <c r="D864" s="14"/>
      <c r="E864" s="14"/>
      <c r="F864" s="2"/>
      <c r="G864" s="2"/>
      <c r="H864" s="36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>
      <c r="A865" s="53"/>
      <c r="B865" s="43"/>
      <c r="C865" s="43"/>
      <c r="D865" s="14"/>
      <c r="E865" s="14"/>
      <c r="F865" s="2"/>
      <c r="G865" s="2"/>
      <c r="H865" s="36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>
      <c r="A866" s="53"/>
      <c r="B866" s="43"/>
      <c r="C866" s="43"/>
      <c r="D866" s="14"/>
      <c r="E866" s="14"/>
      <c r="F866" s="2"/>
      <c r="G866" s="2"/>
      <c r="H866" s="36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>
      <c r="A867" s="53"/>
      <c r="B867" s="43"/>
      <c r="C867" s="43"/>
      <c r="D867" s="14"/>
      <c r="E867" s="14"/>
      <c r="F867" s="2"/>
      <c r="G867" s="2"/>
      <c r="H867" s="36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>
      <c r="A868" s="53"/>
      <c r="B868" s="43"/>
      <c r="C868" s="43"/>
      <c r="D868" s="14"/>
      <c r="E868" s="14"/>
      <c r="F868" s="2"/>
      <c r="G868" s="2"/>
      <c r="H868" s="36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>
      <c r="A869" s="53"/>
      <c r="B869" s="43"/>
      <c r="C869" s="43"/>
      <c r="D869" s="14"/>
      <c r="E869" s="14"/>
      <c r="F869" s="2"/>
      <c r="G869" s="2"/>
      <c r="H869" s="36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>
      <c r="A870" s="53"/>
      <c r="B870" s="43"/>
      <c r="C870" s="43"/>
      <c r="D870" s="14"/>
      <c r="E870" s="14"/>
      <c r="F870" s="2"/>
      <c r="G870" s="2"/>
      <c r="H870" s="36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>
      <c r="A871" s="53"/>
      <c r="B871" s="43"/>
      <c r="C871" s="43"/>
      <c r="D871" s="14"/>
      <c r="E871" s="14"/>
      <c r="F871" s="2"/>
      <c r="G871" s="2"/>
      <c r="H871" s="36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>
      <c r="A872" s="53"/>
      <c r="B872" s="43"/>
      <c r="C872" s="43"/>
      <c r="D872" s="14"/>
      <c r="E872" s="14"/>
      <c r="F872" s="2"/>
      <c r="G872" s="2"/>
      <c r="H872" s="36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>
      <c r="A873" s="53"/>
      <c r="B873" s="43"/>
      <c r="C873" s="43"/>
      <c r="D873" s="14"/>
      <c r="E873" s="14"/>
      <c r="F873" s="2"/>
      <c r="G873" s="2"/>
      <c r="H873" s="36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>
      <c r="A874" s="53"/>
      <c r="B874" s="43"/>
      <c r="C874" s="43"/>
      <c r="D874" s="14"/>
      <c r="E874" s="14"/>
      <c r="F874" s="2"/>
      <c r="G874" s="2"/>
      <c r="H874" s="36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>
      <c r="A875" s="53"/>
      <c r="B875" s="43"/>
      <c r="C875" s="43"/>
      <c r="D875" s="14"/>
      <c r="E875" s="14"/>
      <c r="F875" s="2"/>
      <c r="G875" s="2"/>
      <c r="H875" s="36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>
      <c r="A876" s="53"/>
      <c r="B876" s="43"/>
      <c r="C876" s="43"/>
      <c r="D876" s="14"/>
      <c r="E876" s="14"/>
      <c r="F876" s="2"/>
      <c r="G876" s="2"/>
      <c r="H876" s="36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>
      <c r="A877" s="53"/>
      <c r="B877" s="43"/>
      <c r="C877" s="43"/>
      <c r="D877" s="14"/>
      <c r="E877" s="14"/>
      <c r="F877" s="2"/>
      <c r="G877" s="2"/>
      <c r="H877" s="36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>
      <c r="A878" s="53"/>
      <c r="B878" s="43"/>
      <c r="C878" s="43"/>
      <c r="D878" s="14"/>
      <c r="E878" s="14"/>
      <c r="F878" s="2"/>
      <c r="G878" s="2"/>
      <c r="H878" s="36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>
      <c r="A879" s="53"/>
      <c r="B879" s="43"/>
      <c r="C879" s="43"/>
      <c r="D879" s="14"/>
      <c r="E879" s="14"/>
      <c r="F879" s="2"/>
      <c r="G879" s="2"/>
      <c r="H879" s="36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>
      <c r="A880" s="53"/>
      <c r="B880" s="43"/>
      <c r="C880" s="43"/>
      <c r="D880" s="14"/>
      <c r="E880" s="14"/>
      <c r="F880" s="2"/>
      <c r="G880" s="2"/>
      <c r="H880" s="36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>
      <c r="A881" s="53"/>
      <c r="B881" s="43"/>
      <c r="C881" s="43"/>
      <c r="D881" s="14"/>
      <c r="E881" s="14"/>
      <c r="F881" s="2"/>
      <c r="G881" s="2"/>
      <c r="H881" s="36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>
      <c r="A882" s="53"/>
      <c r="B882" s="43"/>
      <c r="C882" s="43"/>
      <c r="D882" s="14"/>
      <c r="E882" s="14"/>
      <c r="F882" s="2"/>
      <c r="G882" s="2"/>
      <c r="H882" s="36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>
      <c r="A883" s="53"/>
      <c r="B883" s="43"/>
      <c r="C883" s="43"/>
      <c r="D883" s="14"/>
      <c r="E883" s="14"/>
      <c r="F883" s="2"/>
      <c r="G883" s="2"/>
      <c r="H883" s="36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>
      <c r="A884" s="53"/>
      <c r="B884" s="43"/>
      <c r="C884" s="43"/>
      <c r="D884" s="14"/>
      <c r="E884" s="14"/>
      <c r="F884" s="2"/>
      <c r="G884" s="2"/>
      <c r="H884" s="36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>
      <c r="A885" s="53"/>
      <c r="B885" s="43"/>
      <c r="C885" s="43"/>
      <c r="D885" s="14"/>
      <c r="E885" s="14"/>
      <c r="F885" s="2"/>
      <c r="G885" s="2"/>
      <c r="H885" s="36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>
      <c r="A886" s="53"/>
      <c r="B886" s="43"/>
      <c r="C886" s="43"/>
      <c r="D886" s="14"/>
      <c r="E886" s="14"/>
      <c r="F886" s="2"/>
      <c r="G886" s="2"/>
      <c r="H886" s="36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>
      <c r="A887" s="53"/>
      <c r="B887" s="43"/>
      <c r="C887" s="43"/>
      <c r="D887" s="14"/>
      <c r="E887" s="14"/>
      <c r="F887" s="2"/>
      <c r="G887" s="2"/>
      <c r="H887" s="36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>
      <c r="A888" s="53"/>
      <c r="B888" s="43"/>
      <c r="C888" s="43"/>
      <c r="D888" s="14"/>
      <c r="E888" s="14"/>
      <c r="F888" s="2"/>
      <c r="G888" s="2"/>
      <c r="H888" s="36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>
      <c r="A889" s="53"/>
      <c r="B889" s="43"/>
      <c r="C889" s="43"/>
      <c r="D889" s="14"/>
      <c r="E889" s="14"/>
      <c r="F889" s="2"/>
      <c r="G889" s="2"/>
      <c r="H889" s="36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>
      <c r="A890" s="53"/>
      <c r="B890" s="43"/>
      <c r="C890" s="43"/>
      <c r="D890" s="14"/>
      <c r="E890" s="14"/>
      <c r="F890" s="2"/>
      <c r="G890" s="2"/>
      <c r="H890" s="36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>
      <c r="A891" s="53"/>
      <c r="B891" s="43"/>
      <c r="C891" s="43"/>
      <c r="D891" s="14"/>
      <c r="E891" s="14"/>
      <c r="F891" s="2"/>
      <c r="G891" s="2"/>
      <c r="H891" s="36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>
      <c r="A892" s="53"/>
      <c r="B892" s="43"/>
      <c r="C892" s="43"/>
      <c r="D892" s="14"/>
      <c r="E892" s="14"/>
      <c r="F892" s="2"/>
      <c r="G892" s="2"/>
      <c r="H892" s="36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>
      <c r="A893" s="53"/>
      <c r="B893" s="43"/>
      <c r="C893" s="43"/>
      <c r="D893" s="14"/>
      <c r="E893" s="14"/>
      <c r="F893" s="2"/>
      <c r="G893" s="2"/>
      <c r="H893" s="36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>
      <c r="A894" s="53"/>
      <c r="B894" s="43"/>
      <c r="C894" s="43"/>
      <c r="D894" s="14"/>
      <c r="E894" s="14"/>
      <c r="F894" s="2"/>
      <c r="G894" s="2"/>
      <c r="H894" s="36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>
      <c r="A895" s="53"/>
      <c r="B895" s="43"/>
      <c r="C895" s="43"/>
      <c r="D895" s="14"/>
      <c r="E895" s="14"/>
      <c r="F895" s="2"/>
      <c r="G895" s="2"/>
      <c r="H895" s="36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>
      <c r="A896" s="53"/>
      <c r="B896" s="43"/>
      <c r="C896" s="43"/>
      <c r="D896" s="14"/>
      <c r="E896" s="14"/>
      <c r="F896" s="2"/>
      <c r="G896" s="2"/>
      <c r="H896" s="36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>
      <c r="A897" s="53"/>
      <c r="B897" s="43"/>
      <c r="C897" s="43"/>
      <c r="D897" s="14"/>
      <c r="E897" s="14"/>
      <c r="F897" s="2"/>
      <c r="G897" s="2"/>
      <c r="H897" s="36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>
      <c r="A898" s="53"/>
      <c r="B898" s="43"/>
      <c r="C898" s="43"/>
      <c r="D898" s="14"/>
      <c r="E898" s="14"/>
      <c r="F898" s="2"/>
      <c r="G898" s="2"/>
      <c r="H898" s="36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>
      <c r="A899" s="53"/>
      <c r="B899" s="43"/>
      <c r="C899" s="43"/>
      <c r="D899" s="14"/>
      <c r="E899" s="14"/>
      <c r="F899" s="2"/>
      <c r="G899" s="2"/>
      <c r="H899" s="36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>
      <c r="A900" s="53"/>
      <c r="B900" s="43"/>
      <c r="C900" s="43"/>
      <c r="D900" s="14"/>
      <c r="E900" s="14"/>
      <c r="F900" s="2"/>
      <c r="G900" s="2"/>
      <c r="H900" s="36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>
      <c r="A901" s="53"/>
      <c r="B901" s="43"/>
      <c r="C901" s="43"/>
      <c r="D901" s="14"/>
      <c r="E901" s="14"/>
      <c r="F901" s="2"/>
      <c r="G901" s="2"/>
      <c r="H901" s="36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>
      <c r="A902" s="53"/>
      <c r="B902" s="43"/>
      <c r="C902" s="43"/>
      <c r="D902" s="14"/>
      <c r="E902" s="14"/>
      <c r="F902" s="2"/>
      <c r="G902" s="2"/>
      <c r="H902" s="36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>
      <c r="A903" s="53"/>
      <c r="B903" s="43"/>
      <c r="C903" s="43"/>
      <c r="D903" s="14"/>
      <c r="E903" s="14"/>
      <c r="F903" s="2"/>
      <c r="G903" s="2"/>
      <c r="H903" s="36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>
      <c r="A904" s="53"/>
      <c r="B904" s="43"/>
      <c r="C904" s="43"/>
      <c r="D904" s="14"/>
      <c r="E904" s="14"/>
      <c r="F904" s="2"/>
      <c r="G904" s="2"/>
      <c r="H904" s="36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>
      <c r="A905" s="53"/>
      <c r="B905" s="43"/>
      <c r="C905" s="43"/>
      <c r="D905" s="14"/>
      <c r="E905" s="14"/>
      <c r="F905" s="2"/>
      <c r="G905" s="2"/>
      <c r="H905" s="36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>
      <c r="A906" s="53"/>
      <c r="B906" s="43"/>
      <c r="C906" s="43"/>
      <c r="D906" s="14"/>
      <c r="E906" s="14"/>
      <c r="F906" s="2"/>
      <c r="G906" s="2"/>
      <c r="H906" s="36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>
      <c r="A907" s="53"/>
      <c r="B907" s="43"/>
      <c r="C907" s="43"/>
      <c r="D907" s="14"/>
      <c r="E907" s="14"/>
      <c r="F907" s="2"/>
      <c r="G907" s="2"/>
      <c r="H907" s="36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>
      <c r="A908" s="53"/>
      <c r="B908" s="43"/>
      <c r="C908" s="43"/>
      <c r="D908" s="14"/>
      <c r="E908" s="14"/>
      <c r="F908" s="2"/>
      <c r="G908" s="2"/>
      <c r="H908" s="36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>
      <c r="A909" s="53"/>
      <c r="B909" s="43"/>
      <c r="C909" s="43"/>
      <c r="D909" s="14"/>
      <c r="E909" s="14"/>
      <c r="F909" s="2"/>
      <c r="G909" s="2"/>
      <c r="H909" s="36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>
      <c r="A910" s="53"/>
      <c r="B910" s="43"/>
      <c r="C910" s="43"/>
      <c r="D910" s="14"/>
      <c r="E910" s="14"/>
      <c r="F910" s="2"/>
      <c r="G910" s="2"/>
      <c r="H910" s="36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>
      <c r="A911" s="53"/>
      <c r="B911" s="43"/>
      <c r="C911" s="43"/>
      <c r="D911" s="14"/>
      <c r="E911" s="14"/>
      <c r="F911" s="2"/>
      <c r="G911" s="2"/>
      <c r="H911" s="36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>
      <c r="A912" s="53"/>
      <c r="B912" s="43"/>
      <c r="C912" s="43"/>
      <c r="D912" s="14"/>
      <c r="E912" s="14"/>
      <c r="F912" s="2"/>
      <c r="G912" s="2"/>
      <c r="H912" s="36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>
      <c r="A913" s="53"/>
      <c r="B913" s="43"/>
      <c r="C913" s="43"/>
      <c r="D913" s="14"/>
      <c r="E913" s="14"/>
      <c r="F913" s="2"/>
      <c r="G913" s="2"/>
      <c r="H913" s="36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>
      <c r="A914" s="53"/>
      <c r="B914" s="43"/>
      <c r="C914" s="43"/>
      <c r="D914" s="14"/>
      <c r="E914" s="14"/>
      <c r="F914" s="2"/>
      <c r="G914" s="2"/>
      <c r="H914" s="36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>
      <c r="A915" s="53"/>
      <c r="B915" s="43"/>
      <c r="C915" s="43"/>
      <c r="D915" s="14"/>
      <c r="E915" s="14"/>
      <c r="F915" s="2"/>
      <c r="G915" s="2"/>
      <c r="H915" s="36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>
      <c r="A916" s="53"/>
      <c r="B916" s="43"/>
      <c r="C916" s="43"/>
      <c r="D916" s="14"/>
      <c r="E916" s="14"/>
      <c r="F916" s="2"/>
      <c r="G916" s="2"/>
      <c r="H916" s="36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>
      <c r="A917" s="53"/>
      <c r="B917" s="43"/>
      <c r="C917" s="43"/>
      <c r="D917" s="14"/>
      <c r="E917" s="14"/>
      <c r="F917" s="2"/>
      <c r="G917" s="2"/>
      <c r="H917" s="36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>
      <c r="A918" s="53"/>
      <c r="B918" s="43"/>
      <c r="C918" s="43"/>
      <c r="D918" s="14"/>
      <c r="E918" s="14"/>
      <c r="F918" s="2"/>
      <c r="G918" s="2"/>
      <c r="H918" s="36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>
      <c r="A919" s="53"/>
      <c r="B919" s="43"/>
      <c r="C919" s="43"/>
      <c r="D919" s="14"/>
      <c r="E919" s="14"/>
      <c r="F919" s="2"/>
      <c r="G919" s="2"/>
      <c r="H919" s="36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>
      <c r="A920" s="53"/>
      <c r="B920" s="43"/>
      <c r="C920" s="43"/>
      <c r="D920" s="14"/>
      <c r="E920" s="14"/>
      <c r="F920" s="2"/>
      <c r="G920" s="2"/>
      <c r="H920" s="36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>
      <c r="A921" s="53"/>
      <c r="B921" s="43"/>
      <c r="C921" s="43"/>
      <c r="D921" s="14"/>
      <c r="E921" s="14"/>
      <c r="F921" s="2"/>
      <c r="G921" s="2"/>
      <c r="H921" s="36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>
      <c r="A922" s="53"/>
      <c r="B922" s="43"/>
      <c r="C922" s="43"/>
      <c r="D922" s="14"/>
      <c r="E922" s="14"/>
      <c r="F922" s="2"/>
      <c r="G922" s="2"/>
      <c r="H922" s="36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>
      <c r="A923" s="53"/>
      <c r="B923" s="43"/>
      <c r="C923" s="43"/>
      <c r="D923" s="14"/>
      <c r="E923" s="14"/>
      <c r="F923" s="2"/>
      <c r="G923" s="2"/>
      <c r="H923" s="36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>
      <c r="A924" s="53"/>
      <c r="B924" s="43"/>
      <c r="C924" s="43"/>
      <c r="D924" s="14"/>
      <c r="E924" s="14"/>
      <c r="F924" s="2"/>
      <c r="G924" s="2"/>
      <c r="H924" s="36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>
      <c r="A925" s="53"/>
      <c r="B925" s="43"/>
      <c r="C925" s="43"/>
      <c r="D925" s="14"/>
      <c r="E925" s="14"/>
      <c r="F925" s="2"/>
      <c r="G925" s="2"/>
      <c r="H925" s="36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>
      <c r="A926" s="53"/>
      <c r="B926" s="43"/>
      <c r="C926" s="43"/>
      <c r="D926" s="14"/>
      <c r="E926" s="14"/>
      <c r="F926" s="2"/>
      <c r="G926" s="2"/>
      <c r="H926" s="36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>
      <c r="A927" s="53"/>
      <c r="B927" s="43"/>
      <c r="C927" s="43"/>
      <c r="D927" s="14"/>
      <c r="E927" s="14"/>
      <c r="F927" s="2"/>
      <c r="G927" s="2"/>
      <c r="H927" s="36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>
      <c r="A928" s="53"/>
      <c r="B928" s="43"/>
      <c r="C928" s="43"/>
      <c r="D928" s="14"/>
      <c r="E928" s="14"/>
      <c r="F928" s="2"/>
      <c r="G928" s="2"/>
      <c r="H928" s="36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>
      <c r="A929" s="53"/>
      <c r="B929" s="43"/>
      <c r="C929" s="43"/>
      <c r="D929" s="14"/>
      <c r="E929" s="14"/>
      <c r="F929" s="2"/>
      <c r="G929" s="2"/>
      <c r="H929" s="36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>
      <c r="A930" s="53"/>
      <c r="B930" s="43"/>
      <c r="C930" s="43"/>
      <c r="D930" s="14"/>
      <c r="E930" s="14"/>
      <c r="F930" s="2"/>
      <c r="G930" s="2"/>
      <c r="H930" s="36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>
      <c r="A931" s="53"/>
      <c r="B931" s="43"/>
      <c r="C931" s="43"/>
      <c r="D931" s="14"/>
      <c r="E931" s="14"/>
      <c r="F931" s="2"/>
      <c r="G931" s="2"/>
      <c r="H931" s="36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>
      <c r="A932" s="53"/>
      <c r="B932" s="43"/>
      <c r="C932" s="43"/>
      <c r="D932" s="14"/>
      <c r="E932" s="14"/>
      <c r="F932" s="2"/>
      <c r="G932" s="2"/>
      <c r="H932" s="36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>
      <c r="A933" s="53"/>
      <c r="B933" s="43"/>
      <c r="C933" s="43"/>
      <c r="D933" s="14"/>
      <c r="E933" s="14"/>
      <c r="F933" s="2"/>
      <c r="G933" s="2"/>
      <c r="H933" s="36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>
      <c r="A934" s="53"/>
      <c r="B934" s="43"/>
      <c r="C934" s="43"/>
      <c r="D934" s="14"/>
      <c r="E934" s="14"/>
      <c r="F934" s="2"/>
      <c r="G934" s="2"/>
      <c r="H934" s="36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>
      <c r="A935" s="53"/>
      <c r="B935" s="43"/>
      <c r="C935" s="43"/>
      <c r="D935" s="14"/>
      <c r="E935" s="14"/>
      <c r="F935" s="2"/>
      <c r="G935" s="2"/>
      <c r="H935" s="36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>
      <c r="A936" s="53"/>
      <c r="B936" s="43"/>
      <c r="C936" s="43"/>
      <c r="D936" s="14"/>
      <c r="E936" s="14"/>
      <c r="F936" s="2"/>
      <c r="G936" s="2"/>
      <c r="H936" s="36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>
      <c r="A937" s="53"/>
      <c r="B937" s="43"/>
      <c r="C937" s="43"/>
      <c r="D937" s="14"/>
      <c r="E937" s="14"/>
      <c r="F937" s="2"/>
      <c r="G937" s="2"/>
      <c r="H937" s="36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>
      <c r="A938" s="53"/>
      <c r="B938" s="43"/>
      <c r="C938" s="43"/>
      <c r="D938" s="14"/>
      <c r="E938" s="14"/>
      <c r="F938" s="2"/>
      <c r="G938" s="2"/>
      <c r="H938" s="36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>
      <c r="A939" s="53"/>
      <c r="B939" s="43"/>
      <c r="C939" s="43"/>
      <c r="D939" s="14"/>
      <c r="E939" s="14"/>
      <c r="F939" s="2"/>
      <c r="G939" s="2"/>
      <c r="H939" s="36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>
      <c r="A940" s="53"/>
      <c r="B940" s="43"/>
      <c r="C940" s="43"/>
      <c r="D940" s="14"/>
      <c r="E940" s="14"/>
      <c r="F940" s="2"/>
      <c r="G940" s="2"/>
      <c r="H940" s="36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>
      <c r="A941" s="53"/>
      <c r="B941" s="43"/>
      <c r="C941" s="43"/>
      <c r="D941" s="14"/>
      <c r="E941" s="14"/>
      <c r="F941" s="2"/>
      <c r="G941" s="2"/>
      <c r="H941" s="36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>
      <c r="A942" s="53"/>
      <c r="B942" s="43"/>
      <c r="C942" s="43"/>
      <c r="D942" s="14"/>
      <c r="E942" s="14"/>
      <c r="F942" s="2"/>
      <c r="G942" s="2"/>
      <c r="H942" s="36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>
      <c r="A943" s="53"/>
      <c r="B943" s="43"/>
      <c r="C943" s="43"/>
      <c r="D943" s="14"/>
      <c r="E943" s="14"/>
      <c r="F943" s="2"/>
      <c r="G943" s="2"/>
      <c r="H943" s="36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>
      <c r="A944" s="53"/>
      <c r="B944" s="43"/>
      <c r="C944" s="43"/>
      <c r="D944" s="14"/>
      <c r="E944" s="14"/>
      <c r="F944" s="2"/>
      <c r="G944" s="2"/>
      <c r="H944" s="36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>
      <c r="A945" s="53"/>
      <c r="B945" s="43"/>
      <c r="C945" s="43"/>
      <c r="D945" s="14"/>
      <c r="E945" s="14"/>
      <c r="F945" s="2"/>
      <c r="G945" s="2"/>
      <c r="H945" s="36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>
      <c r="A946" s="53"/>
      <c r="B946" s="43"/>
      <c r="C946" s="43"/>
      <c r="D946" s="14"/>
      <c r="E946" s="14"/>
      <c r="F946" s="2"/>
      <c r="G946" s="2"/>
      <c r="H946" s="36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>
      <c r="A947" s="53"/>
      <c r="B947" s="43"/>
      <c r="C947" s="43"/>
      <c r="D947" s="14"/>
      <c r="E947" s="14"/>
      <c r="F947" s="2"/>
      <c r="G947" s="2"/>
      <c r="H947" s="36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>
      <c r="A948" s="53"/>
      <c r="B948" s="43"/>
      <c r="C948" s="43"/>
      <c r="D948" s="14"/>
      <c r="E948" s="14"/>
      <c r="F948" s="2"/>
      <c r="G948" s="2"/>
      <c r="H948" s="36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>
      <c r="A949" s="53"/>
      <c r="B949" s="43"/>
      <c r="C949" s="43"/>
      <c r="D949" s="14"/>
      <c r="E949" s="14"/>
      <c r="F949" s="2"/>
      <c r="G949" s="2"/>
      <c r="H949" s="36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>
      <c r="A950" s="53"/>
      <c r="B950" s="43"/>
      <c r="C950" s="43"/>
      <c r="D950" s="14"/>
      <c r="E950" s="14"/>
      <c r="F950" s="2"/>
      <c r="G950" s="2"/>
      <c r="H950" s="36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>
      <c r="A951" s="53"/>
      <c r="B951" s="43"/>
      <c r="C951" s="43"/>
      <c r="D951" s="14"/>
      <c r="E951" s="14"/>
      <c r="F951" s="2"/>
      <c r="G951" s="2"/>
      <c r="H951" s="36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>
      <c r="A952" s="53"/>
      <c r="B952" s="43"/>
      <c r="C952" s="43"/>
      <c r="D952" s="14"/>
      <c r="E952" s="14"/>
      <c r="F952" s="2"/>
      <c r="G952" s="2"/>
      <c r="H952" s="36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>
      <c r="A953" s="53"/>
      <c r="B953" s="43"/>
      <c r="C953" s="43"/>
      <c r="D953" s="14"/>
      <c r="E953" s="14"/>
      <c r="F953" s="2"/>
      <c r="G953" s="2"/>
      <c r="H953" s="36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>
      <c r="A954" s="53"/>
      <c r="B954" s="43"/>
      <c r="C954" s="43"/>
      <c r="D954" s="14"/>
      <c r="E954" s="14"/>
      <c r="F954" s="2"/>
      <c r="G954" s="2"/>
      <c r="H954" s="36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>
      <c r="A955" s="53"/>
      <c r="B955" s="43"/>
      <c r="C955" s="43"/>
      <c r="D955" s="14"/>
      <c r="E955" s="14"/>
      <c r="F955" s="2"/>
      <c r="G955" s="2"/>
      <c r="H955" s="36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>
      <c r="A956" s="53"/>
      <c r="B956" s="43"/>
      <c r="C956" s="43"/>
      <c r="D956" s="14"/>
      <c r="E956" s="14"/>
      <c r="F956" s="2"/>
      <c r="G956" s="2"/>
      <c r="H956" s="36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>
      <c r="A957" s="53"/>
      <c r="B957" s="43"/>
      <c r="C957" s="43"/>
      <c r="D957" s="14"/>
      <c r="E957" s="14"/>
      <c r="F957" s="2"/>
      <c r="G957" s="2"/>
      <c r="H957" s="36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>
      <c r="A958" s="53"/>
      <c r="B958" s="43"/>
      <c r="C958" s="43"/>
      <c r="D958" s="14"/>
      <c r="E958" s="14"/>
      <c r="F958" s="2"/>
      <c r="G958" s="2"/>
      <c r="H958" s="36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>
      <c r="A959" s="53"/>
      <c r="B959" s="43"/>
      <c r="C959" s="43"/>
      <c r="D959" s="14"/>
      <c r="E959" s="14"/>
      <c r="F959" s="2"/>
      <c r="G959" s="2"/>
      <c r="H959" s="36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>
      <c r="A960" s="53"/>
      <c r="B960" s="43"/>
      <c r="C960" s="43"/>
      <c r="D960" s="14"/>
      <c r="E960" s="14"/>
      <c r="F960" s="2"/>
      <c r="G960" s="2"/>
      <c r="H960" s="36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>
      <c r="A961" s="53"/>
      <c r="B961" s="43"/>
      <c r="C961" s="43"/>
      <c r="D961" s="14"/>
      <c r="E961" s="14"/>
      <c r="F961" s="2"/>
      <c r="G961" s="2"/>
      <c r="H961" s="36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>
      <c r="A962" s="53"/>
      <c r="B962" s="43"/>
      <c r="C962" s="43"/>
      <c r="D962" s="14"/>
      <c r="E962" s="14"/>
      <c r="F962" s="2"/>
      <c r="G962" s="2"/>
      <c r="H962" s="36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>
      <c r="A963" s="53"/>
      <c r="B963" s="43"/>
      <c r="C963" s="43"/>
      <c r="D963" s="14"/>
      <c r="E963" s="14"/>
      <c r="F963" s="2"/>
      <c r="G963" s="2"/>
      <c r="H963" s="36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>
      <c r="A964" s="53"/>
      <c r="B964" s="43"/>
      <c r="C964" s="43"/>
      <c r="D964" s="14"/>
      <c r="E964" s="14"/>
      <c r="F964" s="2"/>
      <c r="G964" s="2"/>
      <c r="H964" s="36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>
      <c r="A965" s="53"/>
      <c r="B965" s="43"/>
      <c r="C965" s="43"/>
      <c r="D965" s="14"/>
      <c r="E965" s="14"/>
      <c r="F965" s="2"/>
      <c r="G965" s="2"/>
      <c r="H965" s="36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>
      <c r="A966" s="53"/>
      <c r="B966" s="43"/>
      <c r="C966" s="43"/>
      <c r="D966" s="14"/>
      <c r="E966" s="14"/>
      <c r="F966" s="2"/>
      <c r="G966" s="2"/>
      <c r="H966" s="36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>
      <c r="A967" s="53"/>
      <c r="B967" s="43"/>
      <c r="C967" s="43"/>
      <c r="D967" s="14"/>
      <c r="E967" s="14"/>
      <c r="F967" s="2"/>
      <c r="G967" s="2"/>
      <c r="H967" s="36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>
      <c r="A968" s="53"/>
      <c r="B968" s="43"/>
      <c r="C968" s="43"/>
      <c r="D968" s="14"/>
      <c r="E968" s="14"/>
      <c r="F968" s="2"/>
      <c r="G968" s="2"/>
      <c r="H968" s="36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>
      <c r="A969" s="53"/>
      <c r="B969" s="43"/>
      <c r="C969" s="43"/>
      <c r="D969" s="14"/>
      <c r="E969" s="14"/>
      <c r="F969" s="2"/>
      <c r="G969" s="2"/>
      <c r="H969" s="36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>
      <c r="A970" s="53"/>
      <c r="B970" s="43"/>
      <c r="C970" s="43"/>
      <c r="D970" s="14"/>
      <c r="E970" s="14"/>
      <c r="F970" s="2"/>
      <c r="G970" s="2"/>
      <c r="H970" s="36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>
      <c r="A971" s="53"/>
      <c r="B971" s="43"/>
      <c r="C971" s="43"/>
      <c r="D971" s="14"/>
      <c r="E971" s="14"/>
      <c r="F971" s="2"/>
      <c r="G971" s="2"/>
      <c r="H971" s="36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>
      <c r="A972" s="53"/>
      <c r="B972" s="43"/>
      <c r="C972" s="43"/>
      <c r="D972" s="14"/>
      <c r="E972" s="14"/>
      <c r="F972" s="2"/>
      <c r="G972" s="2"/>
      <c r="H972" s="36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>
      <c r="A973" s="53"/>
      <c r="B973" s="43"/>
      <c r="C973" s="43"/>
      <c r="D973" s="14"/>
      <c r="E973" s="14"/>
      <c r="F973" s="2"/>
      <c r="G973" s="2"/>
      <c r="H973" s="36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>
      <c r="A974" s="53"/>
      <c r="B974" s="43"/>
      <c r="C974" s="43"/>
      <c r="D974" s="14"/>
      <c r="E974" s="14"/>
      <c r="F974" s="2"/>
      <c r="G974" s="2"/>
      <c r="H974" s="36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>
      <c r="A975" s="53"/>
      <c r="B975" s="43"/>
      <c r="C975" s="43"/>
      <c r="D975" s="14"/>
      <c r="E975" s="14"/>
      <c r="F975" s="2"/>
      <c r="G975" s="2"/>
      <c r="H975" s="36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>
      <c r="A976" s="53"/>
      <c r="B976" s="43"/>
      <c r="C976" s="43"/>
      <c r="D976" s="14"/>
      <c r="E976" s="14"/>
      <c r="F976" s="2"/>
      <c r="G976" s="2"/>
      <c r="H976" s="36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>
      <c r="A977" s="53"/>
      <c r="B977" s="43"/>
      <c r="C977" s="43"/>
      <c r="D977" s="14"/>
      <c r="E977" s="14"/>
      <c r="F977" s="2"/>
      <c r="G977" s="2"/>
      <c r="H977" s="36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>
      <c r="A978" s="53"/>
      <c r="B978" s="43"/>
      <c r="C978" s="43"/>
      <c r="D978" s="14"/>
      <c r="E978" s="14"/>
      <c r="F978" s="2"/>
      <c r="G978" s="2"/>
      <c r="H978" s="36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>
      <c r="A979" s="53"/>
      <c r="B979" s="43"/>
      <c r="C979" s="43"/>
      <c r="D979" s="14"/>
      <c r="E979" s="14"/>
      <c r="F979" s="2"/>
      <c r="G979" s="2"/>
      <c r="H979" s="36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>
      <c r="A980" s="53"/>
      <c r="B980" s="43"/>
      <c r="C980" s="43"/>
      <c r="D980" s="14"/>
      <c r="E980" s="14"/>
      <c r="F980" s="2"/>
      <c r="G980" s="2"/>
      <c r="H980" s="36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>
      <c r="A981" s="53"/>
      <c r="B981" s="43"/>
      <c r="C981" s="43"/>
      <c r="D981" s="14"/>
      <c r="E981" s="14"/>
      <c r="F981" s="2"/>
      <c r="G981" s="2"/>
      <c r="H981" s="36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>
      <c r="A982" s="53"/>
      <c r="B982" s="43"/>
      <c r="C982" s="43"/>
      <c r="D982" s="14"/>
      <c r="E982" s="14"/>
      <c r="F982" s="2"/>
      <c r="G982" s="2"/>
      <c r="H982" s="36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>
      <c r="A983" s="53"/>
      <c r="B983" s="43"/>
      <c r="C983" s="43"/>
      <c r="D983" s="14"/>
      <c r="E983" s="14"/>
      <c r="F983" s="2"/>
      <c r="G983" s="2"/>
      <c r="H983" s="36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>
      <c r="A984" s="53"/>
      <c r="B984" s="43"/>
      <c r="C984" s="43"/>
      <c r="D984" s="14"/>
      <c r="E984" s="14"/>
      <c r="F984" s="2"/>
      <c r="G984" s="2"/>
      <c r="H984" s="36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>
      <c r="A985" s="53"/>
      <c r="B985" s="43"/>
      <c r="C985" s="43"/>
      <c r="D985" s="14"/>
      <c r="E985" s="14"/>
      <c r="F985" s="2"/>
      <c r="G985" s="2"/>
      <c r="H985" s="36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>
      <c r="A986" s="53"/>
      <c r="B986" s="43"/>
      <c r="C986" s="43"/>
      <c r="D986" s="14"/>
      <c r="E986" s="14"/>
      <c r="F986" s="2"/>
      <c r="G986" s="2"/>
      <c r="H986" s="36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>
      <c r="A987" s="53"/>
      <c r="B987" s="43"/>
      <c r="C987" s="43"/>
      <c r="D987" s="14"/>
      <c r="E987" s="14"/>
      <c r="F987" s="2"/>
      <c r="G987" s="2"/>
      <c r="H987" s="36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>
      <c r="A988" s="53"/>
      <c r="B988" s="43"/>
      <c r="C988" s="43"/>
      <c r="D988" s="14"/>
      <c r="E988" s="14"/>
      <c r="F988" s="2"/>
      <c r="G988" s="2"/>
      <c r="H988" s="36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>
      <c r="A989" s="53"/>
      <c r="B989" s="43"/>
      <c r="C989" s="43"/>
      <c r="D989" s="14"/>
      <c r="E989" s="14"/>
      <c r="F989" s="2"/>
      <c r="G989" s="2"/>
      <c r="H989" s="36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>
      <c r="A990" s="53"/>
      <c r="B990" s="43"/>
      <c r="C990" s="43"/>
      <c r="D990" s="14"/>
      <c r="E990" s="14"/>
      <c r="F990" s="2"/>
      <c r="G990" s="2"/>
      <c r="H990" s="36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>
      <c r="A991" s="53"/>
      <c r="B991" s="43"/>
      <c r="C991" s="43"/>
      <c r="D991" s="14"/>
      <c r="E991" s="14"/>
      <c r="F991" s="2"/>
      <c r="G991" s="2"/>
      <c r="H991" s="36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>
      <c r="A992" s="53"/>
      <c r="B992" s="43"/>
      <c r="C992" s="43"/>
      <c r="D992" s="14"/>
      <c r="E992" s="14"/>
      <c r="F992" s="2"/>
      <c r="G992" s="2"/>
      <c r="H992" s="36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>
      <c r="A993" s="53"/>
      <c r="B993" s="43"/>
      <c r="C993" s="43"/>
      <c r="D993" s="14"/>
      <c r="E993" s="14"/>
      <c r="F993" s="2"/>
      <c r="G993" s="2"/>
      <c r="H993" s="36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>
      <c r="A994" s="53"/>
      <c r="B994" s="43"/>
      <c r="C994" s="43"/>
      <c r="D994" s="14"/>
      <c r="E994" s="14"/>
      <c r="F994" s="2"/>
      <c r="G994" s="2"/>
      <c r="H994" s="36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>
      <c r="A995" s="53"/>
      <c r="B995" s="43"/>
      <c r="C995" s="43"/>
      <c r="D995" s="14"/>
      <c r="E995" s="14"/>
      <c r="F995" s="2"/>
      <c r="G995" s="2"/>
      <c r="H995" s="36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>
      <c r="A996" s="53"/>
      <c r="B996" s="43"/>
      <c r="C996" s="43"/>
      <c r="D996" s="14"/>
      <c r="E996" s="14"/>
      <c r="F996" s="2"/>
      <c r="G996" s="2"/>
      <c r="H996" s="36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>
      <c r="A997" s="53"/>
      <c r="B997" s="43"/>
      <c r="C997" s="43"/>
      <c r="D997" s="14"/>
      <c r="E997" s="14"/>
      <c r="F997" s="2"/>
      <c r="G997" s="2"/>
      <c r="H997" s="36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>
      <c r="A998" s="53"/>
      <c r="B998" s="43"/>
      <c r="C998" s="43"/>
      <c r="D998" s="14"/>
      <c r="E998" s="14"/>
      <c r="F998" s="2"/>
      <c r="G998" s="2"/>
      <c r="H998" s="36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>
      <c r="A999" s="53"/>
      <c r="B999" s="43"/>
      <c r="C999" s="43"/>
      <c r="D999" s="14"/>
      <c r="E999" s="14"/>
      <c r="F999" s="2"/>
      <c r="G999" s="2"/>
      <c r="H999" s="36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>
      <c r="A1000" s="53"/>
      <c r="B1000" s="43"/>
      <c r="C1000" s="43"/>
      <c r="D1000" s="14"/>
      <c r="E1000" s="14"/>
      <c r="F1000" s="2"/>
      <c r="G1000" s="2"/>
      <c r="H1000" s="36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>
      <c r="A1001" s="53"/>
      <c r="B1001" s="43"/>
      <c r="C1001" s="43"/>
      <c r="D1001" s="14"/>
      <c r="E1001" s="14"/>
      <c r="F1001" s="2"/>
      <c r="G1001" s="2"/>
      <c r="H1001" s="36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>
      <c r="A1002" s="53"/>
      <c r="B1002" s="43"/>
      <c r="C1002" s="43"/>
      <c r="D1002" s="14"/>
      <c r="E1002" s="14"/>
      <c r="F1002" s="2"/>
      <c r="G1002" s="2"/>
      <c r="H1002" s="36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>
      <c r="A1003" s="53"/>
      <c r="B1003" s="43"/>
      <c r="C1003" s="43"/>
      <c r="D1003" s="14"/>
      <c r="E1003" s="14"/>
      <c r="F1003" s="2"/>
      <c r="G1003" s="2"/>
      <c r="H1003" s="36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5" customHeight="1">
      <c r="V1004" s="2"/>
      <c r="W1004" s="2"/>
    </row>
    <row r="1005" spans="1:30" ht="15" customHeight="1">
      <c r="V1005" s="2"/>
      <c r="W1005" s="2"/>
    </row>
  </sheetData>
  <sheetProtection sort="0" autoFilter="0" pivotTables="0"/>
  <protectedRanges>
    <protectedRange sqref="G203:G502 D9:D17 C9:C152" name="Rango1"/>
  </protectedRanges>
  <autoFilter ref="A8:Y132" xr:uid="{00000000-0001-0000-0000-000000000000}"/>
  <mergeCells count="3">
    <mergeCell ref="B2:M2"/>
    <mergeCell ref="K7:L7"/>
    <mergeCell ref="V7:Y7"/>
  </mergeCells>
  <dataValidations count="3">
    <dataValidation type="list" showInputMessage="1" showErrorMessage="1" sqref="S153:T202 O9:O152" xr:uid="{A4798BC5-26BA-4A78-B641-73BCF4B6BFD8}">
      <formula1>"SÍ, NO"</formula1>
    </dataValidation>
    <dataValidation type="list" allowBlank="1" showInputMessage="1" showErrorMessage="1" sqref="V9:V204" xr:uid="{E44E4ABF-6C28-4683-98BE-0DC46978EE9C}">
      <formula1>$V$3:$V$5</formula1>
    </dataValidation>
    <dataValidation allowBlank="1" showInputMessage="1" showErrorMessage="1" sqref="G9:G202" xr:uid="{195E7213-7AAD-4557-9D85-F91128CE9FCF}"/>
  </dataValidations>
  <hyperlinks>
    <hyperlink ref="C130" r:id="rId1" xr:uid="{6E14365D-226A-40ED-97C2-74AA4DFDB191}"/>
    <hyperlink ref="C131" r:id="rId2" xr:uid="{84EC3171-BE88-461F-88F8-7B7E0056CA46}"/>
    <hyperlink ref="C57" r:id="rId3" xr:uid="{3B675D69-6219-47F2-BDED-85E2A30FD1C1}"/>
    <hyperlink ref="C58" r:id="rId4" xr:uid="{91D9A82C-3077-4BB5-8D6E-B8A3D541428C}"/>
    <hyperlink ref="C132" r:id="rId5" xr:uid="{ED175672-1CDE-47D4-B12E-D4075D7E7371}"/>
    <hyperlink ref="C90" r:id="rId6" xr:uid="{D284528D-C5F3-47CE-8FB9-A88A2F16D656}"/>
    <hyperlink ref="C91" r:id="rId7" xr:uid="{4753328B-0E05-404C-A56B-980FA36D5A96}"/>
    <hyperlink ref="C100" r:id="rId8" xr:uid="{779331A9-9895-47A8-8771-9F886B2A4C84}"/>
    <hyperlink ref="C59" r:id="rId9" xr:uid="{5B37997E-F723-49CF-9CB3-D266CF6EAD86}"/>
    <hyperlink ref="C65" r:id="rId10" xr:uid="{7F003E61-099E-4E81-9A9D-00DF9061246F}"/>
    <hyperlink ref="C106" r:id="rId11" xr:uid="{7384FE78-CDEB-432D-9059-79E9BE8F47F5}"/>
  </hyperlinks>
  <pageMargins left="0.43307086614173229" right="0.51181102362204722" top="0.39370078740157483" bottom="0.6692913385826772" header="0" footer="0"/>
  <pageSetup paperSize="9" orientation="landscape" cellComments="atEnd" r:id="rId12"/>
  <headerFooter>
    <oddFooter>&amp;RPágina &amp;P de</oddFooter>
  </headerFooter>
  <drawing r:id="rId1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B481B527-02C1-4E7E-9833-D31FABA66FF4}">
          <x14:formula1>
            <xm:f>'DATOS ASIGNACIÓN'!$T$5:$T$1000</xm:f>
          </x14:formula1>
          <xm:sqref>I9:I14 I74:I152 K155:L155 H154</xm:sqref>
        </x14:dataValidation>
        <x14:dataValidation type="list" allowBlank="1" showErrorMessage="1" xr:uid="{3C641485-2C91-4C09-A91C-73B707D590E6}">
          <x14:formula1>
            <xm:f>'DATOS ASIGNACIÓN'!$B$6:$B$250</xm:f>
          </x14:formula1>
          <xm:sqref>D9:D17 G10:G17 D132:D202</xm:sqref>
        </x14:dataValidation>
        <x14:dataValidation type="list" allowBlank="1" showInputMessage="1" showErrorMessage="1" xr:uid="{17E1BDA7-FCCE-4C6C-9AA2-62D95A7F16F1}">
          <x14:formula1>
            <xm:f>'DATOS ASIGNACIÓN'!$T$5:$T$3000</xm:f>
          </x14:formula1>
          <xm:sqref>K156:L202 J65:J202 J9:L64 K65:L154</xm:sqref>
        </x14:dataValidation>
        <x14:dataValidation type="list" allowBlank="1" showErrorMessage="1" xr:uid="{0D89A4CB-E4F1-412D-A26C-BE88FAC18843}">
          <x14:formula1>
            <xm:f>'DATOS ASIGNACIÓN'!$B$6:$B$300</xm:f>
          </x14:formula1>
          <xm:sqref>G9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3666-9F49-49C2-869F-AB43E620CB60}">
  <dimension ref="B4:T1300"/>
  <sheetViews>
    <sheetView tabSelected="1" workbookViewId="0">
      <pane xSplit="1" ySplit="4" topLeftCell="B33" activePane="bottomRight" state="frozen"/>
      <selection pane="bottomRight" activeCell="C30" sqref="C30"/>
      <selection pane="bottomLeft"/>
      <selection pane="topRight"/>
    </sheetView>
  </sheetViews>
  <sheetFormatPr defaultColWidth="11" defaultRowHeight="14.25"/>
  <cols>
    <col min="2" max="2" width="24.75" customWidth="1"/>
    <col min="3" max="3" width="15" customWidth="1"/>
    <col min="4" max="4" width="14.75" customWidth="1"/>
    <col min="6" max="6" width="19.875" customWidth="1"/>
  </cols>
  <sheetData>
    <row r="4" spans="2:20" ht="26.25" customHeight="1">
      <c r="B4" s="30" t="s">
        <v>426</v>
      </c>
      <c r="C4" s="31" t="s">
        <v>427</v>
      </c>
      <c r="D4" s="31" t="s">
        <v>428</v>
      </c>
      <c r="E4" s="32" t="s">
        <v>10</v>
      </c>
      <c r="F4" s="32" t="s">
        <v>429</v>
      </c>
      <c r="G4" s="32" t="s">
        <v>430</v>
      </c>
      <c r="H4" s="32" t="s">
        <v>431</v>
      </c>
      <c r="I4" s="32" t="s">
        <v>432</v>
      </c>
      <c r="T4" t="s">
        <v>433</v>
      </c>
    </row>
    <row r="5" spans="2:20">
      <c r="B5" t="str" cm="1">
        <f t="array" ref="B5:B37">_xlfn.UNIQUE(S5:S1300)</f>
        <v/>
      </c>
      <c r="S5" t="str">
        <f>IF('[1]REGISTRO ECTS TFT'!$J10&gt;0,'[1]REGISTRO ECTS TFT'!$B10,"")</f>
        <v/>
      </c>
      <c r="T5" t="str">
        <f>'[2]DATOS DOCENTES'!$D4</f>
        <v>Abad Villaverde, Beatriz</v>
      </c>
    </row>
    <row r="6" spans="2:20">
      <c r="B6" t="str">
        <v>Castiñeira Reis, Marta</v>
      </c>
      <c r="C6">
        <f>VLOOKUP(B6,'[1]REGISTRO ECTS TFT'!$B:$AD,9,0)</f>
        <v>3</v>
      </c>
      <c r="D6">
        <f>COUNTIF('LISTADOS TFM'!D$9:D$502,'DATOS ASIGNACIÓN'!B6)</f>
        <v>3</v>
      </c>
      <c r="E6" t="str">
        <f>VLOOKUP(B6,'[2]DATOS DOCENTES'!$D:$AI,32,0)</f>
        <v>35579937H</v>
      </c>
      <c r="F6" t="str">
        <f>VLOOKUP(E6,'[2]DATOS DOCENTES'!$A:$M,13,0)</f>
        <v>Labour</v>
      </c>
      <c r="G6" t="str">
        <f>VLOOKUP(E6,'[2]DATOS DOCENTES'!$A:$F,3,0)</f>
        <v>Marta</v>
      </c>
      <c r="H6" t="str">
        <f>VLOOKUP(E6,'[2]DATOS DOCENTES'!$A:$F,2,0)</f>
        <v>Castiñeira Reis</v>
      </c>
      <c r="I6" t="str">
        <f>VLOOKUP(E6,'[2]DATOS DOCENTES'!$A:$F,6,0)</f>
        <v>mcastineirasr@professor.universidadviu.com</v>
      </c>
      <c r="S6" t="str">
        <f>IF('[1]REGISTRO ECTS TFT'!$J11&gt;0,'[1]REGISTRO ECTS TFT'!$B11,"")</f>
        <v/>
      </c>
      <c r="T6" t="str">
        <f>'[2]DATOS DOCENTES'!$D5</f>
        <v>Abalo Rodríguez, Inés</v>
      </c>
    </row>
    <row r="7" spans="2:20">
      <c r="B7" t="str">
        <v>Del Saz Navarro, Dulcenombre de María</v>
      </c>
      <c r="C7">
        <f>VLOOKUP(B7,'[1]REGISTRO ECTS TFT'!$B:$AD,9,0)</f>
        <v>10</v>
      </c>
      <c r="D7">
        <f>COUNTIF('LISTADOS TFM'!D$9:D$502,'DATOS ASIGNACIÓN'!B7)</f>
        <v>9</v>
      </c>
      <c r="E7" t="str">
        <f>VLOOKUP(B7,'[2]DATOS DOCENTES'!$D:$AI,32,0)</f>
        <v>53344676V</v>
      </c>
      <c r="F7" t="str">
        <f>VLOOKUP(E7,'[2]DATOS DOCENTES'!$A:$M,13,0)</f>
        <v>Labour</v>
      </c>
      <c r="G7" t="str">
        <f>VLOOKUP(E7,'[2]DATOS DOCENTES'!$A:$F,3,0)</f>
        <v>Dulcenombre de María</v>
      </c>
      <c r="H7" t="str">
        <f>VLOOKUP(E7,'[2]DATOS DOCENTES'!$A:$F,2,0)</f>
        <v>Del Saz Navarro</v>
      </c>
      <c r="I7" t="str">
        <f>VLOOKUP(E7,'[2]DATOS DOCENTES'!$A:$F,6,0)</f>
        <v>ddelsazn@professor.universidadviu.com</v>
      </c>
      <c r="S7" t="str">
        <f>IF('[1]REGISTRO ECTS TFT'!$J12&gt;0,'[1]REGISTRO ECTS TFT'!$B12,"")</f>
        <v/>
      </c>
      <c r="T7" t="str">
        <f>'[2]DATOS DOCENTES'!$D6</f>
        <v>Abarca Sos, Alberto</v>
      </c>
    </row>
    <row r="8" spans="2:20">
      <c r="B8" t="str">
        <v>Díaz Vidal, Tania</v>
      </c>
      <c r="C8">
        <f>VLOOKUP(B8,'[1]REGISTRO ECTS TFT'!$B:$AD,9,0)</f>
        <v>3</v>
      </c>
      <c r="D8">
        <f>COUNTIF('LISTADOS TFM'!D$9:D$502,'DATOS ASIGNACIÓN'!B8)</f>
        <v>3</v>
      </c>
      <c r="E8" t="str">
        <f>VLOOKUP(B8,'[2]DATOS DOCENTES'!$D:$AI,32,0)</f>
        <v>47772101C</v>
      </c>
      <c r="F8" t="str">
        <f>VLOOKUP(E8,'[2]DATOS DOCENTES'!$A:$M,13,0)</f>
        <v>Labour</v>
      </c>
      <c r="G8" t="str">
        <f>VLOOKUP(E8,'[2]DATOS DOCENTES'!$A:$F,3,0)</f>
        <v>Tania</v>
      </c>
      <c r="H8" t="str">
        <f>VLOOKUP(E8,'[2]DATOS DOCENTES'!$A:$F,2,0)</f>
        <v>Díaz Vidal</v>
      </c>
      <c r="I8" t="str">
        <f>VLOOKUP(E8,'[2]DATOS DOCENTES'!$A:$F,6,0)</f>
        <v>tdiazv@professor.universidadviu.com</v>
      </c>
      <c r="S8" t="str">
        <f>IF('[1]REGISTRO ECTS TFT'!$J13&gt;0,'[1]REGISTRO ECTS TFT'!$B13,"")</f>
        <v/>
      </c>
      <c r="T8" t="str">
        <f>'[2]DATOS DOCENTES'!$D7</f>
        <v>Abarca Torralba, Mari Carmen</v>
      </c>
    </row>
    <row r="9" spans="2:20">
      <c r="B9" t="str">
        <v>Gutiérrez Macías, Laura</v>
      </c>
      <c r="C9">
        <f>VLOOKUP(B9,'[1]REGISTRO ECTS TFT'!$B:$AD,9,0)</f>
        <v>2</v>
      </c>
      <c r="D9">
        <f>COUNTIF('LISTADOS TFM'!D$9:D$502,'DATOS ASIGNACIÓN'!B9)</f>
        <v>2</v>
      </c>
      <c r="E9" t="str">
        <f>VLOOKUP(B9,'[2]DATOS DOCENTES'!$D:$AI,32,0)</f>
        <v>71451984T</v>
      </c>
      <c r="F9" t="str">
        <f>VLOOKUP(E9,'[2]DATOS DOCENTES'!$A:$M,13,0)</f>
        <v>Labour</v>
      </c>
      <c r="G9" t="str">
        <f>VLOOKUP(E9,'[2]DATOS DOCENTES'!$A:$F,3,0)</f>
        <v>Laura</v>
      </c>
      <c r="H9" t="str">
        <f>VLOOKUP(E9,'[2]DATOS DOCENTES'!$A:$F,2,0)</f>
        <v>Gutiérrez Macías</v>
      </c>
      <c r="I9" t="str">
        <f>VLOOKUP(E9,'[2]DATOS DOCENTES'!$A:$F,6,0)</f>
        <v>laura.gutierrez.m@professor.universidadviu.com</v>
      </c>
      <c r="S9" t="str">
        <f>IF('[1]REGISTRO ECTS TFT'!$J14&gt;0,'[1]REGISTRO ECTS TFT'!$B14,"")</f>
        <v/>
      </c>
      <c r="T9" t="str">
        <f>'[2]DATOS DOCENTES'!$D8</f>
        <v>Abellán Sánchez, María del Rosario</v>
      </c>
    </row>
    <row r="10" spans="2:20">
      <c r="B10" t="str">
        <v>Lairón Peris, Maria</v>
      </c>
      <c r="C10">
        <f>VLOOKUP(B10,'[1]REGISTRO ECTS TFT'!$B:$AD,9,0)</f>
        <v>2</v>
      </c>
      <c r="D10">
        <f>COUNTIF('LISTADOS TFM'!D$9:D$502,'DATOS ASIGNACIÓN'!B10)</f>
        <v>2</v>
      </c>
      <c r="E10" t="str">
        <f>VLOOKUP(B10,'[2]DATOS DOCENTES'!$D:$AI,32,0)</f>
        <v>20858109F</v>
      </c>
      <c r="F10" t="str">
        <f>VLOOKUP(E10,'[2]DATOS DOCENTES'!$A:$M,13,0)</f>
        <v>Labour</v>
      </c>
      <c r="G10" t="str">
        <f>VLOOKUP(E10,'[2]DATOS DOCENTES'!$A:$F,3,0)</f>
        <v>Maria</v>
      </c>
      <c r="H10" t="str">
        <f>VLOOKUP(E10,'[2]DATOS DOCENTES'!$A:$F,2,0)</f>
        <v>Lairón Peris</v>
      </c>
      <c r="I10" t="str">
        <f>VLOOKUP(E10,'[2]DATOS DOCENTES'!$A:$F,6,0)</f>
        <v>maria.lairon@professor.universidadviu.com</v>
      </c>
      <c r="S10" t="str">
        <f>IF('[1]REGISTRO ECTS TFT'!$J15&gt;0,'[1]REGISTRO ECTS TFT'!$B15,"")</f>
        <v/>
      </c>
      <c r="T10" t="str">
        <f>'[2]DATOS DOCENTES'!$D9</f>
        <v>Abia Holgado, David Ángel</v>
      </c>
    </row>
    <row r="11" spans="2:20">
      <c r="B11" t="str">
        <v>Pedrero Tomé, Roberto</v>
      </c>
      <c r="C11">
        <f>VLOOKUP(B11,'[1]REGISTRO ECTS TFT'!$B:$AD,9,0)</f>
        <v>4</v>
      </c>
      <c r="D11">
        <f>COUNTIF('LISTADOS TFM'!D$9:D$502,'DATOS ASIGNACIÓN'!B11)</f>
        <v>0</v>
      </c>
      <c r="E11" t="str">
        <f>VLOOKUP(B11,'[2]DATOS DOCENTES'!$D:$AI,32,0)</f>
        <v>53804408W</v>
      </c>
      <c r="F11" t="str">
        <f>VLOOKUP(E11,'[2]DATOS DOCENTES'!$A:$M,13,0)</f>
        <v>Labour</v>
      </c>
      <c r="G11" t="str">
        <f>VLOOKUP(E11,'[2]DATOS DOCENTES'!$A:$F,3,0)</f>
        <v>Roberto</v>
      </c>
      <c r="H11" t="str">
        <f>VLOOKUP(E11,'[2]DATOS DOCENTES'!$A:$F,2,0)</f>
        <v>Pedrero Tomé</v>
      </c>
      <c r="I11" t="str">
        <f>VLOOKUP(E11,'[2]DATOS DOCENTES'!$A:$F,6,0)</f>
        <v>rpedrerot@professor.universidadviu.com</v>
      </c>
      <c r="S11" t="str">
        <f>IF('[1]REGISTRO ECTS TFT'!$J16&gt;0,'[1]REGISTRO ECTS TFT'!$B16,"")</f>
        <v/>
      </c>
      <c r="T11" t="str">
        <f>'[2]DATOS DOCENTES'!$D10</f>
        <v>Acebes Andreu, Félix</v>
      </c>
    </row>
    <row r="12" spans="2:20">
      <c r="B12" t="str">
        <v>Rubio Mangas, David</v>
      </c>
      <c r="C12">
        <f>VLOOKUP(B12,'[1]REGISTRO ECTS TFT'!$B:$AD,9,0)</f>
        <v>4</v>
      </c>
      <c r="D12">
        <f>COUNTIF('LISTADOS TFM'!D$9:D$502,'DATOS ASIGNACIÓN'!B12)</f>
        <v>4</v>
      </c>
      <c r="E12" t="str">
        <f>VLOOKUP(B12,'[2]DATOS DOCENTES'!$D:$AI,32,0)</f>
        <v>53477696M</v>
      </c>
      <c r="F12" t="str">
        <f>VLOOKUP(E12,'[2]DATOS DOCENTES'!$A:$M,13,0)</f>
        <v>Labour</v>
      </c>
      <c r="G12" t="str">
        <f>VLOOKUP(E12,'[2]DATOS DOCENTES'!$A:$F,3,0)</f>
        <v>David</v>
      </c>
      <c r="H12" t="str">
        <f>VLOOKUP(E12,'[2]DATOS DOCENTES'!$A:$F,2,0)</f>
        <v>Rubio Mangas</v>
      </c>
      <c r="I12" t="str">
        <f>VLOOKUP(E12,'[2]DATOS DOCENTES'!$A:$F,6,0)</f>
        <v>drubiom@professor.universidadviu.com</v>
      </c>
      <c r="S12" t="str">
        <f>IF('[1]REGISTRO ECTS TFT'!$J17&gt;0,'[1]REGISTRO ECTS TFT'!$B17,"")</f>
        <v/>
      </c>
      <c r="T12" t="str">
        <f>'[2]DATOS DOCENTES'!$D11</f>
        <v>Acebes Sánchez, Jorge</v>
      </c>
    </row>
    <row r="13" spans="2:20">
      <c r="B13" t="str">
        <v>Sendra Ortola, Miquel</v>
      </c>
      <c r="C13">
        <f>VLOOKUP(B13,'[1]REGISTRO ECTS TFT'!$B:$AD,9,0)</f>
        <v>6</v>
      </c>
      <c r="D13">
        <f>COUNTIF('LISTADOS TFM'!D$9:D$502,'DATOS ASIGNACIÓN'!B13)</f>
        <v>6</v>
      </c>
      <c r="E13" t="str">
        <f>VLOOKUP(B13,'[2]DATOS DOCENTES'!$D:$AI,32,0)</f>
        <v>48671191V</v>
      </c>
      <c r="F13" t="str">
        <f>VLOOKUP(E13,'[2]DATOS DOCENTES'!$A:$M,13,0)</f>
        <v>Labour</v>
      </c>
      <c r="G13" t="str">
        <f>VLOOKUP(E13,'[2]DATOS DOCENTES'!$A:$F,3,0)</f>
        <v>Miquel</v>
      </c>
      <c r="H13" t="str">
        <f>VLOOKUP(E13,'[2]DATOS DOCENTES'!$A:$F,2,0)</f>
        <v>Sendra Ortola</v>
      </c>
      <c r="I13" t="str">
        <f>VLOOKUP(E13,'[2]DATOS DOCENTES'!$A:$F,6,0)</f>
        <v>miquel.sendra@professor.universidadviu.com</v>
      </c>
      <c r="S13" t="str">
        <f>IF('[1]REGISTRO ECTS TFT'!$J18&gt;0,'[1]REGISTRO ECTS TFT'!$B18,"")</f>
        <v/>
      </c>
      <c r="T13" t="str">
        <f>'[2]DATOS DOCENTES'!$D12</f>
        <v>Aceituno Solís, Javier</v>
      </c>
    </row>
    <row r="14" spans="2:20">
      <c r="B14" t="str">
        <v>Soler Vila, Paula</v>
      </c>
      <c r="C14">
        <f>VLOOKUP(B14,'[1]REGISTRO ECTS TFT'!$B:$AD,9,0)</f>
        <v>4</v>
      </c>
      <c r="D14">
        <f>COUNTIF('LISTADOS TFM'!D$9:D$502,'DATOS ASIGNACIÓN'!B14)</f>
        <v>0</v>
      </c>
      <c r="E14" t="str">
        <f>VLOOKUP(B14,'[2]DATOS DOCENTES'!$D:$AI,32,0)</f>
        <v>48294021R</v>
      </c>
      <c r="F14" t="str">
        <f>VLOOKUP(E14,'[2]DATOS DOCENTES'!$A:$M,13,0)</f>
        <v>Labour</v>
      </c>
      <c r="G14" t="str">
        <f>VLOOKUP(E14,'[2]DATOS DOCENTES'!$A:$F,3,0)</f>
        <v>Paula</v>
      </c>
      <c r="H14" t="str">
        <f>VLOOKUP(E14,'[2]DATOS DOCENTES'!$A:$F,2,0)</f>
        <v>Soler Vila</v>
      </c>
      <c r="I14" t="str">
        <f>VLOOKUP(E14,'[2]DATOS DOCENTES'!$A:$F,6,0)</f>
        <v>paula.solerv@professor.universidadviu.com</v>
      </c>
      <c r="S14" t="str">
        <f>IF('[1]REGISTRO ECTS TFT'!$J19&gt;0,'[1]REGISTRO ECTS TFT'!$B19,"")</f>
        <v/>
      </c>
      <c r="T14" t="str">
        <f>'[2]DATOS DOCENTES'!$D13</f>
        <v>Acha Durán, María Nieves</v>
      </c>
    </row>
    <row r="15" spans="2:20">
      <c r="B15" t="str">
        <v>Torres Moral, Teresa</v>
      </c>
      <c r="C15">
        <f>VLOOKUP(B15,'[1]REGISTRO ECTS TFT'!$B:$AD,9,0)</f>
        <v>4</v>
      </c>
      <c r="D15">
        <f>COUNTIF('LISTADOS TFM'!D$9:D$502,'DATOS ASIGNACIÓN'!B15)</f>
        <v>4</v>
      </c>
      <c r="E15" t="str">
        <f>VLOOKUP(B15,'[2]DATOS DOCENTES'!$D:$AI,32,0)</f>
        <v>47926664T</v>
      </c>
      <c r="F15" t="str">
        <f>VLOOKUP(E15,'[2]DATOS DOCENTES'!$A:$M,13,0)</f>
        <v>Labour</v>
      </c>
      <c r="G15" t="str">
        <f>VLOOKUP(E15,'[2]DATOS DOCENTES'!$A:$F,3,0)</f>
        <v>Teresa</v>
      </c>
      <c r="H15" t="str">
        <f>VLOOKUP(E15,'[2]DATOS DOCENTES'!$A:$F,2,0)</f>
        <v>Torres Moral</v>
      </c>
      <c r="I15" t="str">
        <f>VLOOKUP(E15,'[2]DATOS DOCENTES'!$A:$F,6,0)</f>
        <v>ttorresm@professor.universidadviu.com</v>
      </c>
      <c r="S15" t="str">
        <f>IF('[1]REGISTRO ECTS TFT'!$J20&gt;0,'[1]REGISTRO ECTS TFT'!$B20,"")</f>
        <v/>
      </c>
      <c r="T15" t="str">
        <f>'[2]DATOS DOCENTES'!$D14</f>
        <v>Acosta González, Paola</v>
      </c>
    </row>
    <row r="16" spans="2:20">
      <c r="B16" t="str">
        <v>Vallalta Rueda, Juan Francisco</v>
      </c>
      <c r="C16">
        <f>VLOOKUP(B16,'[1]REGISTRO ECTS TFT'!$B:$AD,9,0)</f>
        <v>2</v>
      </c>
      <c r="D16">
        <f>COUNTIF('LISTADOS TFM'!D$9:D$502,'DATOS ASIGNACIÓN'!B16)</f>
        <v>2</v>
      </c>
      <c r="E16" t="str">
        <f>VLOOKUP(B16,'[2]DATOS DOCENTES'!$D:$AI,32,0)</f>
        <v>25126556E</v>
      </c>
      <c r="F16" t="str">
        <f>VLOOKUP(E16,'[2]DATOS DOCENTES'!$A:$M,13,0)</f>
        <v>Labour</v>
      </c>
      <c r="G16" t="str">
        <f>VLOOKUP(E16,'[2]DATOS DOCENTES'!$A:$F,3,0)</f>
        <v>Juan Francisco</v>
      </c>
      <c r="H16" t="str">
        <f>VLOOKUP(E16,'[2]DATOS DOCENTES'!$A:$F,2,0)</f>
        <v>Vallalta Rueda</v>
      </c>
      <c r="I16" t="str">
        <f>VLOOKUP(E16,'[2]DATOS DOCENTES'!$A:$F,6,0)</f>
        <v>juanfrancisco.vallalta@professor.universidadviu.com</v>
      </c>
      <c r="S16" t="str">
        <f>IF('[1]REGISTRO ECTS TFT'!$J21&gt;0,'[1]REGISTRO ECTS TFT'!$B21,"")</f>
        <v/>
      </c>
      <c r="T16" t="str">
        <f>'[2]DATOS DOCENTES'!$D15</f>
        <v>Acosta Herrera, Marialbert</v>
      </c>
    </row>
    <row r="17" spans="2:20">
      <c r="B17" t="str">
        <v>Bigay Mercedes, Bary Georderly</v>
      </c>
      <c r="C17">
        <f>VLOOKUP(B17,'[1]REGISTRO ECTS TFT'!$B:$AD,9,0)</f>
        <v>9</v>
      </c>
      <c r="D17">
        <f>COUNTIF('LISTADOS TFM'!D$9:D$502,'DATOS ASIGNACIÓN'!B17)</f>
        <v>9</v>
      </c>
      <c r="E17">
        <f>VLOOKUP(B17,'[2]DATOS DOCENTES'!$D:$AI,32,0)</f>
        <v>40213993831</v>
      </c>
      <c r="F17" t="str">
        <f>VLOOKUP(E17,'[2]DATOS DOCENTES'!$A:$M,13,0)</f>
        <v>Professional</v>
      </c>
      <c r="G17" t="str">
        <f>VLOOKUP(E17,'[2]DATOS DOCENTES'!$A:$F,3,0)</f>
        <v>Bary Georderly</v>
      </c>
      <c r="H17" t="str">
        <f>VLOOKUP(E17,'[2]DATOS DOCENTES'!$A:$F,2,0)</f>
        <v>Bigay Mercedes</v>
      </c>
      <c r="I17" t="str">
        <f>VLOOKUP(E17,'[2]DATOS DOCENTES'!$A:$F,6,0)</f>
        <v>bbigaym@professional.universidadviu.com</v>
      </c>
      <c r="S17" t="str">
        <f>IF('[1]REGISTRO ECTS TFT'!$J22&gt;0,'[1]REGISTRO ECTS TFT'!$B22,"")</f>
        <v/>
      </c>
      <c r="T17" t="str">
        <f>'[2]DATOS DOCENTES'!$D16</f>
        <v>Acosta Pérez, Irene</v>
      </c>
    </row>
    <row r="18" spans="2:20">
      <c r="B18" t="str">
        <v>Bonzi, Carolina</v>
      </c>
      <c r="C18">
        <f>VLOOKUP(B18,'[1]REGISTRO ECTS TFT'!$B:$AD,9,0)</f>
        <v>6</v>
      </c>
      <c r="D18">
        <f>COUNTIF('LISTADOS TFM'!D$9:D$502,'DATOS ASIGNACIÓN'!B18)</f>
        <v>6</v>
      </c>
      <c r="E18" t="str">
        <f>VLOOKUP(B18,'[2]DATOS DOCENTES'!$D:$AI,32,0)</f>
        <v>ECBNZCLN81D64L219F</v>
      </c>
      <c r="F18" t="str">
        <f>VLOOKUP(E18,'[2]DATOS DOCENTES'!$A:$M,13,0)</f>
        <v>Professional</v>
      </c>
      <c r="G18" t="str">
        <f>VLOOKUP(E18,'[2]DATOS DOCENTES'!$A:$F,3,0)</f>
        <v>Carolina</v>
      </c>
      <c r="H18" t="str">
        <f>VLOOKUP(E18,'[2]DATOS DOCENTES'!$A:$F,2,0)</f>
        <v>Bonzi</v>
      </c>
      <c r="I18" t="str">
        <f>VLOOKUP(E18,'[2]DATOS DOCENTES'!$A:$F,6,0)</f>
        <v>carolina.bonzi@professional.universidadviu.com</v>
      </c>
      <c r="S18" t="str">
        <f>IF('[1]REGISTRO ECTS TFT'!$J23&gt;0,'[1]REGISTRO ECTS TFT'!$B23,"")</f>
        <v>Castiñeira Reis, Marta</v>
      </c>
      <c r="T18" t="str">
        <f>'[2]DATOS DOCENTES'!$D17</f>
        <v>Adam Artigues, Anna</v>
      </c>
    </row>
    <row r="19" spans="2:20">
      <c r="B19" t="str">
        <v>Cartas Cejudo, Paz</v>
      </c>
      <c r="C19">
        <f>VLOOKUP(B19,'[1]REGISTRO ECTS TFT'!$B:$AD,9,0)</f>
        <v>5</v>
      </c>
      <c r="D19">
        <f>COUNTIF('LISTADOS TFM'!D$9:D$502,'DATOS ASIGNACIÓN'!B19)</f>
        <v>5</v>
      </c>
      <c r="E19" t="str">
        <f>VLOOKUP(B19,'[2]DATOS DOCENTES'!$D:$AI,32,0)</f>
        <v>26500888N</v>
      </c>
      <c r="F19" t="str">
        <f>VLOOKUP(E19,'[2]DATOS DOCENTES'!$A:$M,13,0)</f>
        <v>Professional</v>
      </c>
      <c r="G19" t="str">
        <f>VLOOKUP(E19,'[2]DATOS DOCENTES'!$A:$F,3,0)</f>
        <v>Paz</v>
      </c>
      <c r="H19" t="str">
        <f>VLOOKUP(E19,'[2]DATOS DOCENTES'!$A:$F,2,0)</f>
        <v>Cartas Cejudo</v>
      </c>
      <c r="I19" t="str">
        <f>VLOOKUP(E19,'[2]DATOS DOCENTES'!$A:$F,6,0)</f>
        <v>pcartasc@professional.universidadviu.com</v>
      </c>
      <c r="S19" t="str">
        <f>IF('[1]REGISTRO ECTS TFT'!$J24&gt;0,'[1]REGISTRO ECTS TFT'!$B24,"")</f>
        <v/>
      </c>
      <c r="T19" t="str">
        <f>'[2]DATOS DOCENTES'!$D18</f>
        <v>Agrafojo Nieto, María Helena</v>
      </c>
    </row>
    <row r="20" spans="2:20">
      <c r="B20" t="str">
        <v>Fraga Seijas, Carlota</v>
      </c>
      <c r="C20">
        <f>VLOOKUP(B20,'[1]REGISTRO ECTS TFT'!$B:$AD,9,0)</f>
        <v>5</v>
      </c>
      <c r="D20">
        <f>COUNTIF('LISTADOS TFM'!D$9:D$502,'DATOS ASIGNACIÓN'!B20)</f>
        <v>5</v>
      </c>
      <c r="E20" t="str">
        <f>VLOOKUP(B20,'[2]DATOS DOCENTES'!$D:$AI,32,0)</f>
        <v>47361323E</v>
      </c>
      <c r="F20" t="str">
        <f>VLOOKUP(E20,'[2]DATOS DOCENTES'!$A:$M,13,0)</f>
        <v>Professional</v>
      </c>
      <c r="G20" t="str">
        <f>VLOOKUP(E20,'[2]DATOS DOCENTES'!$A:$F,3,0)</f>
        <v>Carlota</v>
      </c>
      <c r="H20" t="str">
        <f>VLOOKUP(E20,'[2]DATOS DOCENTES'!$A:$F,2,0)</f>
        <v>Fraga Seijas</v>
      </c>
      <c r="I20" t="str">
        <f>VLOOKUP(E20,'[2]DATOS DOCENTES'!$A:$F,6,0)</f>
        <v>cfragas@professional.universidadviu.com</v>
      </c>
      <c r="S20" t="str">
        <f>IF('[1]REGISTRO ECTS TFT'!$J25&gt;0,'[1]REGISTRO ECTS TFT'!$B25,"")</f>
        <v/>
      </c>
      <c r="T20" t="str">
        <f>'[2]DATOS DOCENTES'!$D19</f>
        <v>Aguasanta Regalado, Miriam Elizabeth</v>
      </c>
    </row>
    <row r="21" spans="2:20">
      <c r="B21" t="str">
        <v>García Atutxa, Igor</v>
      </c>
      <c r="C21">
        <f>VLOOKUP(B21,'[1]REGISTRO ECTS TFT'!$B:$AD,9,0)</f>
        <v>5</v>
      </c>
      <c r="D21">
        <f>COUNTIF('LISTADOS TFM'!D$9:D$502,'DATOS ASIGNACIÓN'!B21)</f>
        <v>6</v>
      </c>
      <c r="E21" t="str">
        <f>VLOOKUP(B21,'[2]DATOS DOCENTES'!$D:$AI,32,0)</f>
        <v>45752839C</v>
      </c>
      <c r="F21" t="str">
        <f>VLOOKUP(E21,'[2]DATOS DOCENTES'!$A:$M,13,0)</f>
        <v>Professional</v>
      </c>
      <c r="G21" t="str">
        <f>VLOOKUP(E21,'[2]DATOS DOCENTES'!$A:$F,3,0)</f>
        <v>Igor</v>
      </c>
      <c r="H21" t="str">
        <f>VLOOKUP(E21,'[2]DATOS DOCENTES'!$A:$F,2,0)</f>
        <v>García Atutxa</v>
      </c>
      <c r="I21" t="str">
        <f>VLOOKUP(E21,'[2]DATOS DOCENTES'!$A:$F,6,0)</f>
        <v>igarciaa@professional.universidadviu.com</v>
      </c>
      <c r="S21" t="str">
        <f>IF('[1]REGISTRO ECTS TFT'!$J26&gt;0,'[1]REGISTRO ECTS TFT'!$B26,"")</f>
        <v/>
      </c>
      <c r="T21" t="str">
        <f>'[2]DATOS DOCENTES'!$D20</f>
        <v>Aguayo Romero, Virginia</v>
      </c>
    </row>
    <row r="22" spans="2:20">
      <c r="B22" t="str">
        <v>Guijarro Blanco, José María</v>
      </c>
      <c r="C22">
        <f>VLOOKUP(B22,'[1]REGISTRO ECTS TFT'!$B:$AD,9,0)</f>
        <v>5</v>
      </c>
      <c r="D22">
        <f>COUNTIF('LISTADOS TFM'!D$9:D$502,'DATOS ASIGNACIÓN'!B22)</f>
        <v>5</v>
      </c>
      <c r="E22" t="str">
        <f>VLOOKUP(B22,'[2]DATOS DOCENTES'!$D:$AI,32,0)</f>
        <v>21011903T</v>
      </c>
      <c r="F22" t="str">
        <f>VLOOKUP(E22,'[2]DATOS DOCENTES'!$A:$M,13,0)</f>
        <v>Professional</v>
      </c>
      <c r="G22" t="str">
        <f>VLOOKUP(E22,'[2]DATOS DOCENTES'!$A:$F,3,0)</f>
        <v>José María</v>
      </c>
      <c r="H22" t="str">
        <f>VLOOKUP(E22,'[2]DATOS DOCENTES'!$A:$F,2,0)</f>
        <v>Guijarro Blanco</v>
      </c>
      <c r="I22" t="str">
        <f>VLOOKUP(E22,'[2]DATOS DOCENTES'!$A:$F,6,0)</f>
        <v>jose.guijarro@professional.universidadviu.com</v>
      </c>
      <c r="S22" t="str">
        <f>IF('[1]REGISTRO ECTS TFT'!$J27&gt;0,'[1]REGISTRO ECTS TFT'!$B27,"")</f>
        <v/>
      </c>
      <c r="T22" t="str">
        <f>'[2]DATOS DOCENTES'!$D21</f>
        <v>Aguilera Luque, Ana María</v>
      </c>
    </row>
    <row r="23" spans="2:20">
      <c r="B23" t="str">
        <v>Guillén Martín, María de la Paz</v>
      </c>
      <c r="C23">
        <f>VLOOKUP(B23,'[1]REGISTRO ECTS TFT'!$B:$AD,9,0)</f>
        <v>3</v>
      </c>
      <c r="D23">
        <f>COUNTIF('LISTADOS TFM'!D$9:D$502,'DATOS ASIGNACIÓN'!B23)</f>
        <v>0</v>
      </c>
      <c r="E23" t="str">
        <f>VLOOKUP(B23,'[2]DATOS DOCENTES'!$D:$AI,32,0)</f>
        <v>18459003P</v>
      </c>
      <c r="F23" t="str">
        <f>VLOOKUP(E23,'[2]DATOS DOCENTES'!$A:$M,13,0)</f>
        <v>Professional</v>
      </c>
      <c r="G23" t="str">
        <f>VLOOKUP(E23,'[2]DATOS DOCENTES'!$A:$F,3,0)</f>
        <v>María de la Paz</v>
      </c>
      <c r="H23" t="str">
        <f>VLOOKUP(E23,'[2]DATOS DOCENTES'!$A:$F,2,0)</f>
        <v>Guillén Martín</v>
      </c>
      <c r="I23" t="str">
        <f>VLOOKUP(E23,'[2]DATOS DOCENTES'!$A:$F,6,0)</f>
        <v>mguillenm@professional.universidadviu.com</v>
      </c>
      <c r="S23" t="str">
        <f>IF('[1]REGISTRO ECTS TFT'!$J28&gt;0,'[1]REGISTRO ECTS TFT'!$B28,"")</f>
        <v/>
      </c>
      <c r="T23" t="str">
        <f>'[2]DATOS DOCENTES'!$D22</f>
        <v>Aguilera Martínez, Penélope</v>
      </c>
    </row>
    <row r="24" spans="2:20">
      <c r="B24" t="str">
        <v>Hernández Hernández, Laura</v>
      </c>
      <c r="C24">
        <f>VLOOKUP(B24,'[1]REGISTRO ECTS TFT'!$B:$AD,9,0)</f>
        <v>8</v>
      </c>
      <c r="D24">
        <f>COUNTIF('LISTADOS TFM'!D$9:D$502,'DATOS ASIGNACIÓN'!B24)</f>
        <v>8</v>
      </c>
      <c r="E24" t="str">
        <f>VLOOKUP(B24,'[2]DATOS DOCENTES'!$D:$AI,32,0)</f>
        <v>07981414T</v>
      </c>
      <c r="F24" t="str">
        <f>VLOOKUP(E24,'[2]DATOS DOCENTES'!$A:$M,13,0)</f>
        <v>Professional</v>
      </c>
      <c r="G24" t="str">
        <f>VLOOKUP(E24,'[2]DATOS DOCENTES'!$A:$F,3,0)</f>
        <v>Laura</v>
      </c>
      <c r="H24" t="str">
        <f>VLOOKUP(E24,'[2]DATOS DOCENTES'!$A:$F,2,0)</f>
        <v>Hernández Hernández</v>
      </c>
      <c r="I24" t="str">
        <f>VLOOKUP(E24,'[2]DATOS DOCENTES'!$A:$F,6,0)</f>
        <v>laura.hernandez6@professional.universidadviu.com</v>
      </c>
      <c r="S24" t="str">
        <f>IF('[1]REGISTRO ECTS TFT'!$J29&gt;0,'[1]REGISTRO ECTS TFT'!$B29,"")</f>
        <v/>
      </c>
      <c r="T24" t="str">
        <f>'[2]DATOS DOCENTES'!$D23</f>
        <v>Aguirre Camacho, Aldo</v>
      </c>
    </row>
    <row r="25" spans="2:20">
      <c r="B25" t="str">
        <v>López Zaplana, Álvaro</v>
      </c>
      <c r="C25">
        <f>VLOOKUP(B25,'[1]REGISTRO ECTS TFT'!$B:$AD,9,0)</f>
        <v>1</v>
      </c>
      <c r="D25">
        <f>COUNTIF('LISTADOS TFM'!D$9:D$502,'DATOS ASIGNACIÓN'!B25)</f>
        <v>1</v>
      </c>
      <c r="E25" t="str">
        <f>VLOOKUP(B25,'[2]DATOS DOCENTES'!$D:$AI,32,0)</f>
        <v>23300658W</v>
      </c>
      <c r="F25" t="str">
        <f>VLOOKUP(E25,'[2]DATOS DOCENTES'!$A:$M,13,0)</f>
        <v>Professional</v>
      </c>
      <c r="G25" t="str">
        <f>VLOOKUP(E25,'[2]DATOS DOCENTES'!$A:$F,3,0)</f>
        <v>Álvaro</v>
      </c>
      <c r="H25" t="str">
        <f>VLOOKUP(E25,'[2]DATOS DOCENTES'!$A:$F,2,0)</f>
        <v>López Zaplana</v>
      </c>
      <c r="I25" t="str">
        <f>VLOOKUP(E25,'[2]DATOS DOCENTES'!$A:$F,6,0)</f>
        <v>alopezz@professional.universidadviu.com</v>
      </c>
      <c r="S25" t="str">
        <f>IF('[1]REGISTRO ECTS TFT'!$J30&gt;0,'[1]REGISTRO ECTS TFT'!$B30,"")</f>
        <v>Del Saz Navarro, Dulcenombre de María</v>
      </c>
      <c r="T25" t="str">
        <f>'[2]DATOS DOCENTES'!$D24</f>
        <v>Aguirre Delgado, Triana</v>
      </c>
    </row>
    <row r="26" spans="2:20">
      <c r="B26" t="str">
        <v>Marín García, Pablo</v>
      </c>
      <c r="C26">
        <f>VLOOKUP(B26,'[1]REGISTRO ECTS TFT'!$B:$AD,9,0)</f>
        <v>7</v>
      </c>
      <c r="D26">
        <f>COUNTIF('LISTADOS TFM'!D$9:D$502,'DATOS ASIGNACIÓN'!B26)</f>
        <v>7</v>
      </c>
      <c r="E26" t="str">
        <f>VLOOKUP(B26,'[2]DATOS DOCENTES'!$D:$AI,32,0)</f>
        <v>52653545J</v>
      </c>
      <c r="F26" t="str">
        <f>VLOOKUP(E26,'[2]DATOS DOCENTES'!$A:$M,13,0)</f>
        <v>Professional</v>
      </c>
      <c r="G26" t="str">
        <f>VLOOKUP(E26,'[2]DATOS DOCENTES'!$A:$F,3,0)</f>
        <v>Pablo</v>
      </c>
      <c r="H26" t="str">
        <f>VLOOKUP(E26,'[2]DATOS DOCENTES'!$A:$F,2,0)</f>
        <v>Marín García</v>
      </c>
      <c r="I26" t="str">
        <f>VLOOKUP(E26,'[2]DATOS DOCENTES'!$A:$F,6,0)</f>
        <v>pablo.marin.g@professional.universidadviu.com</v>
      </c>
      <c r="S26" t="str">
        <f>IF('[1]REGISTRO ECTS TFT'!$J31&gt;0,'[1]REGISTRO ECTS TFT'!$B31,"")</f>
        <v/>
      </c>
      <c r="T26" t="str">
        <f>'[2]DATOS DOCENTES'!$D25</f>
        <v>Aguirre Sánchez, Miguel</v>
      </c>
    </row>
    <row r="27" spans="2:20">
      <c r="B27" t="str">
        <v>Martínez Montañés, Fernando</v>
      </c>
      <c r="C27">
        <f>VLOOKUP(B27,'[1]REGISTRO ECTS TFT'!$B:$AD,9,0)</f>
        <v>2</v>
      </c>
      <c r="D27">
        <f>COUNTIF('LISTADOS TFM'!D$9:D$502,'DATOS ASIGNACIÓN'!B27)</f>
        <v>2</v>
      </c>
      <c r="E27" t="str">
        <f>VLOOKUP(B27,'[2]DATOS DOCENTES'!$D:$AI,32,0)</f>
        <v>44863903B</v>
      </c>
      <c r="F27" t="str">
        <f>VLOOKUP(E27,'[2]DATOS DOCENTES'!$A:$M,13,0)</f>
        <v>Professional</v>
      </c>
      <c r="G27" t="str">
        <f>VLOOKUP(E27,'[2]DATOS DOCENTES'!$A:$F,3,0)</f>
        <v>Fernando</v>
      </c>
      <c r="H27" t="str">
        <f>VLOOKUP(E27,'[2]DATOS DOCENTES'!$A:$F,2,0)</f>
        <v>Martínez Montañés</v>
      </c>
      <c r="I27" t="str">
        <f>VLOOKUP(E27,'[2]DATOS DOCENTES'!$A:$F,6,0)</f>
        <v>fernando.martinez.m@professional.universidadviu.com</v>
      </c>
      <c r="S27" t="str">
        <f>IF('[1]REGISTRO ECTS TFT'!$J32&gt;0,'[1]REGISTRO ECTS TFT'!$B32,"")</f>
        <v/>
      </c>
      <c r="T27" t="str">
        <f>'[2]DATOS DOCENTES'!$D26</f>
        <v>Agustí López, Ana Isabel</v>
      </c>
    </row>
    <row r="28" spans="2:20">
      <c r="B28" t="str">
        <v>Moldovan Moldovan, Roxana Andreea</v>
      </c>
      <c r="C28">
        <f>VLOOKUP(B28,'[1]REGISTRO ECTS TFT'!$B:$AD,9,0)</f>
        <v>2</v>
      </c>
      <c r="D28">
        <f>COUNTIF('LISTADOS TFM'!D$9:D$502,'DATOS ASIGNACIÓN'!B28)</f>
        <v>2</v>
      </c>
      <c r="E28" t="str">
        <f>VLOOKUP(B28,'[2]DATOS DOCENTES'!$D:$AI,32,0)</f>
        <v>06339169R</v>
      </c>
      <c r="F28" t="str">
        <f>VLOOKUP(E28,'[2]DATOS DOCENTES'!$A:$M,13,0)</f>
        <v>Professional</v>
      </c>
      <c r="G28" t="str">
        <f>VLOOKUP(E28,'[2]DATOS DOCENTES'!$A:$F,3,0)</f>
        <v>Roxana Andreea</v>
      </c>
      <c r="H28" t="str">
        <f>VLOOKUP(E28,'[2]DATOS DOCENTES'!$A:$F,2,0)</f>
        <v>Moldovan Moldovan</v>
      </c>
      <c r="I28" t="str">
        <f>VLOOKUP(E28,'[2]DATOS DOCENTES'!$A:$F,6,0)</f>
        <v>rmoldovanm@professional.universidadviu.com</v>
      </c>
      <c r="S28" t="str">
        <f>IF('[1]REGISTRO ECTS TFT'!$J33&gt;0,'[1]REGISTRO ECTS TFT'!$B33,"")</f>
        <v>Díaz Vidal, Tania</v>
      </c>
      <c r="T28" t="str">
        <f>'[2]DATOS DOCENTES'!$D27</f>
        <v>Alabadí Pardiñes, Blanca</v>
      </c>
    </row>
    <row r="29" spans="2:20">
      <c r="B29" t="str">
        <v>Morante Palacios, Octavio</v>
      </c>
      <c r="C29">
        <f>VLOOKUP(B29,'[1]REGISTRO ECTS TFT'!$B:$AD,9,0)</f>
        <v>7</v>
      </c>
      <c r="D29">
        <f>COUNTIF('LISTADOS TFM'!D$9:D$502,'DATOS ASIGNACIÓN'!B29)</f>
        <v>5</v>
      </c>
      <c r="E29" t="str">
        <f>VLOOKUP(B29,'[2]DATOS DOCENTES'!$D:$AI,32,0)</f>
        <v>44891300S</v>
      </c>
      <c r="F29" t="str">
        <f>VLOOKUP(E29,'[2]DATOS DOCENTES'!$A:$M,13,0)</f>
        <v>Professional</v>
      </c>
      <c r="G29" t="str">
        <f>VLOOKUP(E29,'[2]DATOS DOCENTES'!$A:$F,3,0)</f>
        <v>Octavio</v>
      </c>
      <c r="H29" t="str">
        <f>VLOOKUP(E29,'[2]DATOS DOCENTES'!$A:$F,2,0)</f>
        <v>Morante Palacios</v>
      </c>
      <c r="I29" t="str">
        <f>VLOOKUP(E29,'[2]DATOS DOCENTES'!$A:$F,6,0)</f>
        <v>omorantep@professional.universidadviu.com</v>
      </c>
      <c r="S29" t="str">
        <f>IF('[1]REGISTRO ECTS TFT'!$J34&gt;0,'[1]REGISTRO ECTS TFT'!$B34,"")</f>
        <v/>
      </c>
      <c r="T29" t="str">
        <f>'[2]DATOS DOCENTES'!$D28</f>
        <v>Alaminos Hervás, María Dolores</v>
      </c>
    </row>
    <row r="30" spans="2:20">
      <c r="B30" t="str">
        <v>Neef, Alexander</v>
      </c>
      <c r="C30">
        <f>VLOOKUP(B30,'[1]REGISTRO ECTS TFT'!$B:$AD,9,0)</f>
        <v>4</v>
      </c>
      <c r="D30">
        <f>COUNTIF('LISTADOS TFM'!D$9:D$502,'DATOS ASIGNACIÓN'!B30)</f>
        <v>4</v>
      </c>
      <c r="E30" t="str">
        <f>VLOOKUP(B30,'[2]DATOS DOCENTES'!$D:$AI,32,0)</f>
        <v>X5510546E</v>
      </c>
      <c r="F30" t="str">
        <f>VLOOKUP(E30,'[2]DATOS DOCENTES'!$A:$M,13,0)</f>
        <v>Professional</v>
      </c>
      <c r="G30" t="str">
        <f>VLOOKUP(E30,'[2]DATOS DOCENTES'!$A:$F,3,0)</f>
        <v>Alexander</v>
      </c>
      <c r="H30" t="str">
        <f>VLOOKUP(E30,'[2]DATOS DOCENTES'!$A:$F,2,0)</f>
        <v>Neef</v>
      </c>
      <c r="I30" t="str">
        <f>VLOOKUP(E30,'[2]DATOS DOCENTES'!$A:$F,6,0)</f>
        <v>alexander.neef@professional.universidadviu.com</v>
      </c>
      <c r="S30" t="str">
        <f>IF('[1]REGISTRO ECTS TFT'!$J35&gt;0,'[1]REGISTRO ECTS TFT'!$B35,"")</f>
        <v/>
      </c>
      <c r="T30" t="str">
        <f>'[2]DATOS DOCENTES'!$D29</f>
        <v>Alba Muñoz, Julen</v>
      </c>
    </row>
    <row r="31" spans="2:20">
      <c r="B31" t="str">
        <v>Riobello Suárez, Cristina</v>
      </c>
      <c r="C31">
        <f>VLOOKUP(B31,'[1]REGISTRO ECTS TFT'!$B:$AD,9,0)</f>
        <v>3</v>
      </c>
      <c r="D31">
        <f>COUNTIF('LISTADOS TFM'!D$9:D$502,'DATOS ASIGNACIÓN'!B31)</f>
        <v>0</v>
      </c>
      <c r="E31" t="str">
        <f>VLOOKUP(B31,'[2]DATOS DOCENTES'!$D:$AI,32,0)</f>
        <v>71902373A</v>
      </c>
      <c r="F31" t="str">
        <f>VLOOKUP(E31,'[2]DATOS DOCENTES'!$A:$M,13,0)</f>
        <v>Professional</v>
      </c>
      <c r="G31" t="str">
        <f>VLOOKUP(E31,'[2]DATOS DOCENTES'!$A:$F,3,0)</f>
        <v>Cristina</v>
      </c>
      <c r="H31" t="str">
        <f>VLOOKUP(E31,'[2]DATOS DOCENTES'!$A:$F,2,0)</f>
        <v>Riobello Suárez</v>
      </c>
      <c r="I31" t="str">
        <f>VLOOKUP(E31,'[2]DATOS DOCENTES'!$A:$F,6,0)</f>
        <v>criobellos@professional.universidadviu.com</v>
      </c>
      <c r="S31" t="str">
        <f>IF('[1]REGISTRO ECTS TFT'!$J36&gt;0,'[1]REGISTRO ECTS TFT'!$B36,"")</f>
        <v/>
      </c>
      <c r="T31" t="str">
        <f>'[2]DATOS DOCENTES'!$D30</f>
        <v>Albaladejo Perales, Rosa María</v>
      </c>
    </row>
    <row r="32" spans="2:20">
      <c r="B32" t="str">
        <v>Sabater Olivas, Laura</v>
      </c>
      <c r="C32">
        <f>VLOOKUP(B32,'[1]REGISTRO ECTS TFT'!$B:$AD,9,0)</f>
        <v>6</v>
      </c>
      <c r="D32">
        <f>COUNTIF('LISTADOS TFM'!D$9:D$502,'DATOS ASIGNACIÓN'!B32)</f>
        <v>4</v>
      </c>
      <c r="E32" t="str">
        <f>VLOOKUP(B32,'[2]DATOS DOCENTES'!$D:$AI,32,0)</f>
        <v>53059391R</v>
      </c>
      <c r="F32" t="str">
        <f>VLOOKUP(E32,'[2]DATOS DOCENTES'!$A:$M,13,0)</f>
        <v>Professional</v>
      </c>
      <c r="G32" t="str">
        <f>VLOOKUP(E32,'[2]DATOS DOCENTES'!$A:$F,3,0)</f>
        <v>Laura</v>
      </c>
      <c r="H32" t="str">
        <f>VLOOKUP(E32,'[2]DATOS DOCENTES'!$A:$F,2,0)</f>
        <v>Sabater Olivas</v>
      </c>
      <c r="I32" t="str">
        <f>VLOOKUP(E32,'[2]DATOS DOCENTES'!$A:$F,6,0)</f>
        <v>laura.sabater@professional.universidadviu.com</v>
      </c>
      <c r="S32" t="str">
        <f>IF('[1]REGISTRO ECTS TFT'!$J37&gt;0,'[1]REGISTRO ECTS TFT'!$B37,"")</f>
        <v/>
      </c>
      <c r="T32" t="str">
        <f>'[2]DATOS DOCENTES'!$D31</f>
        <v>Alberola Enguix, Salvador</v>
      </c>
    </row>
    <row r="33" spans="2:20">
      <c r="B33" t="str">
        <v>Sebastián Martínez López</v>
      </c>
      <c r="C33">
        <f>VLOOKUP(B33,'[1]REGISTRO ECTS TFT'!$B:$AD,9,0)</f>
        <v>4</v>
      </c>
      <c r="D33">
        <f>COUNTIF('LISTADOS TFM'!D$9:D$502,'DATOS ASIGNACIÓN'!B33)</f>
        <v>0</v>
      </c>
      <c r="E33" t="e">
        <f>VLOOKUP(B33,'[2]DATOS DOCENTES'!$D:$AI,32,0)</f>
        <v>#N/A</v>
      </c>
      <c r="F33" t="e">
        <f>VLOOKUP(E33,'[2]DATOS DOCENTES'!$A:$M,13,0)</f>
        <v>#N/A</v>
      </c>
      <c r="G33" t="e">
        <f>VLOOKUP(E33,'[2]DATOS DOCENTES'!$A:$F,3,0)</f>
        <v>#N/A</v>
      </c>
      <c r="H33" t="e">
        <f>VLOOKUP(E33,'[2]DATOS DOCENTES'!$A:$F,2,0)</f>
        <v>#N/A</v>
      </c>
      <c r="I33" t="e">
        <f>VLOOKUP(E33,'[2]DATOS DOCENTES'!$A:$F,6,0)</f>
        <v>#N/A</v>
      </c>
      <c r="S33" t="str">
        <f>IF('[1]REGISTRO ECTS TFT'!$J38&gt;0,'[1]REGISTRO ECTS TFT'!$B38,"")</f>
        <v/>
      </c>
      <c r="T33" t="str">
        <f>'[2]DATOS DOCENTES'!$D32</f>
        <v>Alcaide Leyva, José Manuel</v>
      </c>
    </row>
    <row r="34" spans="2:20">
      <c r="B34" t="str">
        <v>Tobar Tosse, Henry Fabian</v>
      </c>
      <c r="C34">
        <f>VLOOKUP(B34,'[1]REGISTRO ECTS TFT'!$B:$AD,9,0)</f>
        <v>4</v>
      </c>
      <c r="D34">
        <f>COUNTIF('LISTADOS TFM'!D$9:D$502,'DATOS ASIGNACIÓN'!B34)</f>
        <v>4</v>
      </c>
      <c r="E34" t="str">
        <f>VLOOKUP(B34,'[2]DATOS DOCENTES'!$D:$AI,32,0)</f>
        <v>CO10298955-4</v>
      </c>
      <c r="F34" t="str">
        <f>VLOOKUP(E34,'[2]DATOS DOCENTES'!$A:$M,13,0)</f>
        <v>Professional</v>
      </c>
      <c r="G34" t="str">
        <f>VLOOKUP(E34,'[2]DATOS DOCENTES'!$A:$F,3,0)</f>
        <v>Henry Fabian</v>
      </c>
      <c r="H34" t="str">
        <f>VLOOKUP(E34,'[2]DATOS DOCENTES'!$A:$F,2,0)</f>
        <v>Tobar Tosse</v>
      </c>
      <c r="I34" t="str">
        <f>VLOOKUP(E34,'[2]DATOS DOCENTES'!$A:$F,6,0)</f>
        <v>henryfabian.tobar@professional.universidadviu.com</v>
      </c>
      <c r="S34" t="str">
        <f>IF('[1]REGISTRO ECTS TFT'!$J39&gt;0,'[1]REGISTRO ECTS TFT'!$B39,"")</f>
        <v/>
      </c>
      <c r="T34" t="str">
        <f>'[2]DATOS DOCENTES'!$D33</f>
        <v>Alché Ramírez, Juan de Dios</v>
      </c>
    </row>
    <row r="35" spans="2:20">
      <c r="B35" t="str">
        <v>Valiente Parra, Nicolás</v>
      </c>
      <c r="C35">
        <f>VLOOKUP(B35,'[1]REGISTRO ECTS TFT'!$B:$AD,9,0)</f>
        <v>5</v>
      </c>
      <c r="D35">
        <f>COUNTIF('LISTADOS TFM'!D$9:D$502,'DATOS ASIGNACIÓN'!B35)</f>
        <v>5</v>
      </c>
      <c r="E35" t="str">
        <f>VLOOKUP(B35,'[2]DATOS DOCENTES'!$D:$AI,32,0)</f>
        <v>47095124W</v>
      </c>
      <c r="F35" t="str">
        <f>VLOOKUP(E35,'[2]DATOS DOCENTES'!$A:$M,13,0)</f>
        <v>Professional</v>
      </c>
      <c r="G35" t="str">
        <f>VLOOKUP(E35,'[2]DATOS DOCENTES'!$A:$F,3,0)</f>
        <v>Nicolás</v>
      </c>
      <c r="H35" t="str">
        <f>VLOOKUP(E35,'[2]DATOS DOCENTES'!$A:$F,2,0)</f>
        <v>Valiente Parra</v>
      </c>
      <c r="I35" t="str">
        <f>VLOOKUP(E35,'[2]DATOS DOCENTES'!$A:$F,6,0)</f>
        <v>nicolas.valiente@professional.universidadviu.com</v>
      </c>
      <c r="S35" t="str">
        <f>IF('[1]REGISTRO ECTS TFT'!$J40&gt;0,'[1]REGISTRO ECTS TFT'!$B40,"")</f>
        <v/>
      </c>
      <c r="T35" t="str">
        <f>'[2]DATOS DOCENTES'!$D34</f>
        <v>Alconada Padilla, Roberto</v>
      </c>
    </row>
    <row r="36" spans="2:20">
      <c r="B36" t="str">
        <v>Vázquez Prieto, Severo</v>
      </c>
      <c r="C36">
        <f>VLOOKUP(B36,'[1]REGISTRO ECTS TFT'!$B:$AD,9,0)</f>
        <v>7</v>
      </c>
      <c r="D36">
        <f>COUNTIF('LISTADOS TFM'!D$9:D$502,'DATOS ASIGNACIÓN'!B36)</f>
        <v>7</v>
      </c>
      <c r="E36" t="str">
        <f>VLOOKUP(B36,'[2]DATOS DOCENTES'!$D:$AI,32,0)</f>
        <v>36162051W</v>
      </c>
      <c r="F36" t="str">
        <f>VLOOKUP(E36,'[2]DATOS DOCENTES'!$A:$M,13,0)</f>
        <v>Professional</v>
      </c>
      <c r="G36" t="str">
        <f>VLOOKUP(E36,'[2]DATOS DOCENTES'!$A:$F,3,0)</f>
        <v>Severo</v>
      </c>
      <c r="H36" t="str">
        <f>VLOOKUP(E36,'[2]DATOS DOCENTES'!$A:$F,2,0)</f>
        <v>Vázquez Prieto</v>
      </c>
      <c r="I36" t="str">
        <f>VLOOKUP(E36,'[2]DATOS DOCENTES'!$A:$F,6,0)</f>
        <v>severo.vazquez@professional.universidadviu.com</v>
      </c>
      <c r="S36" t="str">
        <f>IF('[1]REGISTRO ECTS TFT'!$J41&gt;0,'[1]REGISTRO ECTS TFT'!$B41,"")</f>
        <v/>
      </c>
      <c r="T36" t="str">
        <f>'[2]DATOS DOCENTES'!$D35</f>
        <v>Alhambra Borrás, Tamara</v>
      </c>
    </row>
    <row r="37" spans="2:20">
      <c r="B37" t="str">
        <v>Zúñiga Trejos, Sheila</v>
      </c>
      <c r="C37">
        <f>VLOOKUP(B37,'[1]REGISTRO ECTS TFT'!$B:$AD,9,0)</f>
        <v>2</v>
      </c>
      <c r="D37">
        <f>COUNTIF('LISTADOS TFM'!D$9:D$502,'DATOS ASIGNACIÓN'!B37)</f>
        <v>2</v>
      </c>
      <c r="E37" t="str">
        <f>VLOOKUP(B37,'[2]DATOS DOCENTES'!$D:$AI,32,0)</f>
        <v>70874038K</v>
      </c>
      <c r="F37" t="str">
        <f>VLOOKUP(E37,'[2]DATOS DOCENTES'!$A:$M,13,0)</f>
        <v>Professional</v>
      </c>
      <c r="G37" t="str">
        <f>VLOOKUP(E37,'[2]DATOS DOCENTES'!$A:$F,3,0)</f>
        <v>Sheila</v>
      </c>
      <c r="H37" t="str">
        <f>VLOOKUP(E37,'[2]DATOS DOCENTES'!$A:$F,2,0)</f>
        <v>Zúñiga Trejos</v>
      </c>
      <c r="I37" t="str">
        <f>VLOOKUP(E37,'[2]DATOS DOCENTES'!$A:$F,6,0)</f>
        <v>sheila.zuniga@professional.universidadviu.com</v>
      </c>
      <c r="S37" t="str">
        <f>IF('[1]REGISTRO ECTS TFT'!$J42&gt;0,'[1]REGISTRO ECTS TFT'!$B42,"")</f>
        <v/>
      </c>
      <c r="T37" t="str">
        <f>'[2]DATOS DOCENTES'!$D36</f>
        <v>Aliño Costa, Marta</v>
      </c>
    </row>
    <row r="38" spans="2:20">
      <c r="C38" t="e">
        <f>VLOOKUP(B38,'[1]REGISTRO ECTS TFT'!$B:$AD,9,0)</f>
        <v>#N/A</v>
      </c>
      <c r="D38">
        <f>COUNTIF('LISTADOS TFM'!D$9:D$502,'DATOS ASIGNACIÓN'!B38)</f>
        <v>0</v>
      </c>
      <c r="E38" t="e">
        <f>VLOOKUP(B38,'[2]DATOS DOCENTES'!$D:$AI,32,0)</f>
        <v>#N/A</v>
      </c>
      <c r="F38" t="e">
        <f>VLOOKUP(E38,'[2]DATOS DOCENTES'!$A:$M,13,0)</f>
        <v>#N/A</v>
      </c>
      <c r="G38" t="e">
        <f>VLOOKUP(E38,'[2]DATOS DOCENTES'!$A:$F,3,0)</f>
        <v>#N/A</v>
      </c>
      <c r="H38" t="e">
        <f>VLOOKUP(E38,'[2]DATOS DOCENTES'!$A:$F,2,0)</f>
        <v>#N/A</v>
      </c>
      <c r="I38" t="e">
        <f>VLOOKUP(E38,'[2]DATOS DOCENTES'!$A:$F,6,0)</f>
        <v>#N/A</v>
      </c>
      <c r="S38" t="str">
        <f>IF('[1]REGISTRO ECTS TFT'!$J43&gt;0,'[1]REGISTRO ECTS TFT'!$B43,"")</f>
        <v/>
      </c>
      <c r="T38" t="str">
        <f>'[2]DATOS DOCENTES'!$D37</f>
        <v>Almaraz Morocho, David</v>
      </c>
    </row>
    <row r="39" spans="2:20">
      <c r="C39" t="e">
        <f>VLOOKUP(B39,'[1]REGISTRO ECTS TFT'!$B:$AD,9,0)</f>
        <v>#N/A</v>
      </c>
      <c r="D39">
        <f>COUNTIF('LISTADOS TFM'!D$9:D$502,'DATOS ASIGNACIÓN'!B39)</f>
        <v>0</v>
      </c>
      <c r="E39" t="e">
        <f>VLOOKUP(B39,'[2]DATOS DOCENTES'!$D:$AI,32,0)</f>
        <v>#N/A</v>
      </c>
      <c r="F39" t="e">
        <f>VLOOKUP(E39,'[2]DATOS DOCENTES'!$A:$M,13,0)</f>
        <v>#N/A</v>
      </c>
      <c r="G39" t="e">
        <f>VLOOKUP(E39,'[2]DATOS DOCENTES'!$A:$F,3,0)</f>
        <v>#N/A</v>
      </c>
      <c r="H39" t="e">
        <f>VLOOKUP(E39,'[2]DATOS DOCENTES'!$A:$F,2,0)</f>
        <v>#N/A</v>
      </c>
      <c r="I39" t="e">
        <f>VLOOKUP(E39,'[2]DATOS DOCENTES'!$A:$F,6,0)</f>
        <v>#N/A</v>
      </c>
      <c r="S39" t="str">
        <f>IF('[1]REGISTRO ECTS TFT'!$J44&gt;0,'[1]REGISTRO ECTS TFT'!$B44,"")</f>
        <v/>
      </c>
      <c r="T39" t="str">
        <f>'[2]DATOS DOCENTES'!$D38</f>
        <v>Almeida Toledano, Laura</v>
      </c>
    </row>
    <row r="40" spans="2:20">
      <c r="C40" t="e">
        <f>VLOOKUP(B40,'[1]REGISTRO ECTS TFT'!$B:$AD,9,0)</f>
        <v>#N/A</v>
      </c>
      <c r="D40">
        <f>COUNTIF('LISTADOS TFM'!D$9:D$502,'DATOS ASIGNACIÓN'!B40)</f>
        <v>0</v>
      </c>
      <c r="E40" t="e">
        <f>VLOOKUP(B40,'[2]DATOS DOCENTES'!$D:$AI,32,0)</f>
        <v>#N/A</v>
      </c>
      <c r="F40" t="e">
        <f>VLOOKUP(E40,'[2]DATOS DOCENTES'!$A:$M,13,0)</f>
        <v>#N/A</v>
      </c>
      <c r="G40" t="e">
        <f>VLOOKUP(E40,'[2]DATOS DOCENTES'!$A:$F,3,0)</f>
        <v>#N/A</v>
      </c>
      <c r="H40" t="e">
        <f>VLOOKUP(E40,'[2]DATOS DOCENTES'!$A:$F,2,0)</f>
        <v>#N/A</v>
      </c>
      <c r="I40" t="e">
        <f>VLOOKUP(E40,'[2]DATOS DOCENTES'!$A:$F,6,0)</f>
        <v>#N/A</v>
      </c>
      <c r="S40" t="str">
        <f>IF('[1]REGISTRO ECTS TFT'!$J45&gt;0,'[1]REGISTRO ECTS TFT'!$B45,"")</f>
        <v/>
      </c>
      <c r="T40" t="str">
        <f>'[2]DATOS DOCENTES'!$D39</f>
        <v>Alonso del Real Arias, Javier</v>
      </c>
    </row>
    <row r="41" spans="2:20">
      <c r="C41" t="e">
        <f>VLOOKUP(B41,'[1]REGISTRO ECTS TFT'!$B:$AD,9,0)</f>
        <v>#N/A</v>
      </c>
      <c r="D41">
        <f>COUNTIF('LISTADOS TFM'!D$9:D$502,'DATOS ASIGNACIÓN'!B41)</f>
        <v>0</v>
      </c>
      <c r="E41" t="e">
        <f>VLOOKUP(B41,'[2]DATOS DOCENTES'!$D:$AI,32,0)</f>
        <v>#N/A</v>
      </c>
      <c r="F41" t="e">
        <f>VLOOKUP(E41,'[2]DATOS DOCENTES'!$A:$M,13,0)</f>
        <v>#N/A</v>
      </c>
      <c r="G41" t="e">
        <f>VLOOKUP(E41,'[2]DATOS DOCENTES'!$A:$F,3,0)</f>
        <v>#N/A</v>
      </c>
      <c r="H41" t="e">
        <f>VLOOKUP(E41,'[2]DATOS DOCENTES'!$A:$F,2,0)</f>
        <v>#N/A</v>
      </c>
      <c r="I41" t="e">
        <f>VLOOKUP(E41,'[2]DATOS DOCENTES'!$A:$F,6,0)</f>
        <v>#N/A</v>
      </c>
      <c r="S41" t="str">
        <f>IF('[1]REGISTRO ECTS TFT'!$J46&gt;0,'[1]REGISTRO ECTS TFT'!$B46,"")</f>
        <v/>
      </c>
      <c r="T41" t="str">
        <f>'[2]DATOS DOCENTES'!$D40</f>
        <v>Alonso Guillén, María Sandra</v>
      </c>
    </row>
    <row r="42" spans="2:20">
      <c r="C42" t="e">
        <f>VLOOKUP(B42,'[1]REGISTRO ECTS TFT'!$B:$AD,9,0)</f>
        <v>#N/A</v>
      </c>
      <c r="D42">
        <f>COUNTIF('LISTADOS TFM'!D$9:D$502,'DATOS ASIGNACIÓN'!B42)</f>
        <v>0</v>
      </c>
      <c r="E42" t="e">
        <f>VLOOKUP(B42,'[2]DATOS DOCENTES'!$D:$AI,32,0)</f>
        <v>#N/A</v>
      </c>
      <c r="F42" t="e">
        <f>VLOOKUP(E42,'[2]DATOS DOCENTES'!$A:$M,13,0)</f>
        <v>#N/A</v>
      </c>
      <c r="G42" t="e">
        <f>VLOOKUP(E42,'[2]DATOS DOCENTES'!$A:$F,3,0)</f>
        <v>#N/A</v>
      </c>
      <c r="H42" t="e">
        <f>VLOOKUP(E42,'[2]DATOS DOCENTES'!$A:$F,2,0)</f>
        <v>#N/A</v>
      </c>
      <c r="I42" t="e">
        <f>VLOOKUP(E42,'[2]DATOS DOCENTES'!$A:$F,6,0)</f>
        <v>#N/A</v>
      </c>
      <c r="S42" t="str">
        <f>IF('[1]REGISTRO ECTS TFT'!$J47&gt;0,'[1]REGISTRO ECTS TFT'!$B47,"")</f>
        <v/>
      </c>
      <c r="T42" t="str">
        <f>'[2]DATOS DOCENTES'!$D41</f>
        <v>Alonso Riera, María Ángeles</v>
      </c>
    </row>
    <row r="43" spans="2:20">
      <c r="C43" t="e">
        <f>VLOOKUP(B43,'[1]REGISTRO ECTS TFT'!$B:$AD,9,0)</f>
        <v>#N/A</v>
      </c>
      <c r="D43">
        <f>COUNTIF('LISTADOS TFM'!D$9:D$502,'DATOS ASIGNACIÓN'!B43)</f>
        <v>0</v>
      </c>
      <c r="E43" t="e">
        <f>VLOOKUP(B43,'[2]DATOS DOCENTES'!$D:$AI,32,0)</f>
        <v>#N/A</v>
      </c>
      <c r="F43" t="e">
        <f>VLOOKUP(E43,'[2]DATOS DOCENTES'!$A:$M,13,0)</f>
        <v>#N/A</v>
      </c>
      <c r="G43" t="e">
        <f>VLOOKUP(E43,'[2]DATOS DOCENTES'!$A:$F,3,0)</f>
        <v>#N/A</v>
      </c>
      <c r="H43" t="e">
        <f>VLOOKUP(E43,'[2]DATOS DOCENTES'!$A:$F,2,0)</f>
        <v>#N/A</v>
      </c>
      <c r="I43" t="e">
        <f>VLOOKUP(E43,'[2]DATOS DOCENTES'!$A:$F,6,0)</f>
        <v>#N/A</v>
      </c>
      <c r="S43" t="str">
        <f>IF('[1]REGISTRO ECTS TFT'!$J48&gt;0,'[1]REGISTRO ECTS TFT'!$B48,"")</f>
        <v/>
      </c>
      <c r="T43" t="str">
        <f>'[2]DATOS DOCENTES'!$D42</f>
        <v>Alonso Sanz, Ángel María</v>
      </c>
    </row>
    <row r="44" spans="2:20">
      <c r="C44" t="e">
        <f>VLOOKUP(B44,'[1]REGISTRO ECTS TFT'!$B:$AD,9,0)</f>
        <v>#N/A</v>
      </c>
      <c r="D44">
        <f>COUNTIF('LISTADOS TFM'!D$9:D$502,'DATOS ASIGNACIÓN'!B44)</f>
        <v>0</v>
      </c>
      <c r="E44" t="e">
        <f>VLOOKUP(B44,'[2]DATOS DOCENTES'!$D:$AI,32,0)</f>
        <v>#N/A</v>
      </c>
      <c r="F44" t="e">
        <f>VLOOKUP(E44,'[2]DATOS DOCENTES'!$A:$M,13,0)</f>
        <v>#N/A</v>
      </c>
      <c r="G44" t="e">
        <f>VLOOKUP(E44,'[2]DATOS DOCENTES'!$A:$F,3,0)</f>
        <v>#N/A</v>
      </c>
      <c r="H44" t="e">
        <f>VLOOKUP(E44,'[2]DATOS DOCENTES'!$A:$F,2,0)</f>
        <v>#N/A</v>
      </c>
      <c r="I44" t="e">
        <f>VLOOKUP(E44,'[2]DATOS DOCENTES'!$A:$F,6,0)</f>
        <v>#N/A</v>
      </c>
      <c r="S44" t="str">
        <f>IF('[1]REGISTRO ECTS TFT'!$J49&gt;0,'[1]REGISTRO ECTS TFT'!$B49,"")</f>
        <v/>
      </c>
      <c r="T44" t="str">
        <f>'[2]DATOS DOCENTES'!$D43</f>
        <v>Alonso Vaquerizo, Irene</v>
      </c>
    </row>
    <row r="45" spans="2:20">
      <c r="C45" t="e">
        <f>VLOOKUP(B45,'[1]REGISTRO ECTS TFT'!$B:$AD,9,0)</f>
        <v>#N/A</v>
      </c>
      <c r="D45">
        <f>COUNTIF('LISTADOS TFM'!D$9:D$502,'DATOS ASIGNACIÓN'!B45)</f>
        <v>0</v>
      </c>
      <c r="E45" t="e">
        <f>VLOOKUP(B45,'[2]DATOS DOCENTES'!$D:$AI,32,0)</f>
        <v>#N/A</v>
      </c>
      <c r="F45" t="e">
        <f>VLOOKUP(E45,'[2]DATOS DOCENTES'!$A:$M,13,0)</f>
        <v>#N/A</v>
      </c>
      <c r="G45" t="e">
        <f>VLOOKUP(E45,'[2]DATOS DOCENTES'!$A:$F,3,0)</f>
        <v>#N/A</v>
      </c>
      <c r="H45" t="e">
        <f>VLOOKUP(E45,'[2]DATOS DOCENTES'!$A:$F,2,0)</f>
        <v>#N/A</v>
      </c>
      <c r="I45" t="e">
        <f>VLOOKUP(E45,'[2]DATOS DOCENTES'!$A:$F,6,0)</f>
        <v>#N/A</v>
      </c>
      <c r="S45" t="str">
        <f>IF('[1]REGISTRO ECTS TFT'!$J50&gt;0,'[1]REGISTRO ECTS TFT'!$B50,"")</f>
        <v>Gutiérrez Macías, Laura</v>
      </c>
      <c r="T45" t="str">
        <f>'[2]DATOS DOCENTES'!$D44</f>
        <v>Alvarado Muñoz-Quiros, Ayla María</v>
      </c>
    </row>
    <row r="46" spans="2:20">
      <c r="C46" t="e">
        <f>VLOOKUP(B46,'[1]REGISTRO ECTS TFT'!$B:$AD,9,0)</f>
        <v>#N/A</v>
      </c>
      <c r="D46">
        <f>COUNTIF('LISTADOS TFM'!D$9:D$502,'DATOS ASIGNACIÓN'!B46)</f>
        <v>0</v>
      </c>
      <c r="E46" t="e">
        <f>VLOOKUP(B46,'[2]DATOS DOCENTES'!$D:$AI,32,0)</f>
        <v>#N/A</v>
      </c>
      <c r="F46" t="e">
        <f>VLOOKUP(E46,'[2]DATOS DOCENTES'!$A:$M,13,0)</f>
        <v>#N/A</v>
      </c>
      <c r="G46" t="e">
        <f>VLOOKUP(E46,'[2]DATOS DOCENTES'!$A:$F,3,0)</f>
        <v>#N/A</v>
      </c>
      <c r="H46" t="e">
        <f>VLOOKUP(E46,'[2]DATOS DOCENTES'!$A:$F,2,0)</f>
        <v>#N/A</v>
      </c>
      <c r="I46" t="e">
        <f>VLOOKUP(E46,'[2]DATOS DOCENTES'!$A:$F,6,0)</f>
        <v>#N/A</v>
      </c>
      <c r="S46" t="str">
        <f>IF('[1]REGISTRO ECTS TFT'!$J51&gt;0,'[1]REGISTRO ECTS TFT'!$B51,"")</f>
        <v/>
      </c>
      <c r="T46" t="str">
        <f>'[2]DATOS DOCENTES'!$D45</f>
        <v>Alvarenga Capurró, Claudia Beatriz</v>
      </c>
    </row>
    <row r="47" spans="2:20">
      <c r="C47" t="e">
        <f>VLOOKUP(B47,'[1]REGISTRO ECTS TFT'!$B:$AD,9,0)</f>
        <v>#N/A</v>
      </c>
      <c r="D47">
        <f>COUNTIF('LISTADOS TFM'!D$9:D$502,'DATOS ASIGNACIÓN'!B47)</f>
        <v>0</v>
      </c>
      <c r="E47" t="e">
        <f>VLOOKUP(B47,'[2]DATOS DOCENTES'!$D:$AI,32,0)</f>
        <v>#N/A</v>
      </c>
      <c r="F47" t="e">
        <f>VLOOKUP(E47,'[2]DATOS DOCENTES'!$A:$M,13,0)</f>
        <v>#N/A</v>
      </c>
      <c r="G47" t="e">
        <f>VLOOKUP(E47,'[2]DATOS DOCENTES'!$A:$F,3,0)</f>
        <v>#N/A</v>
      </c>
      <c r="H47" t="e">
        <f>VLOOKUP(E47,'[2]DATOS DOCENTES'!$A:$F,2,0)</f>
        <v>#N/A</v>
      </c>
      <c r="I47" t="e">
        <f>VLOOKUP(E47,'[2]DATOS DOCENTES'!$A:$F,6,0)</f>
        <v>#N/A</v>
      </c>
      <c r="S47" t="str">
        <f>IF('[1]REGISTRO ECTS TFT'!$J52&gt;0,'[1]REGISTRO ECTS TFT'!$B52,"")</f>
        <v/>
      </c>
      <c r="T47" t="str">
        <f>'[2]DATOS DOCENTES'!$D46</f>
        <v>Álvarez de Toledo Blandon, María de la Paloma</v>
      </c>
    </row>
    <row r="48" spans="2:20">
      <c r="C48" t="e">
        <f>VLOOKUP(B48,'[1]REGISTRO ECTS TFT'!$B:$AD,9,0)</f>
        <v>#N/A</v>
      </c>
      <c r="D48">
        <f>COUNTIF('LISTADOS TFM'!D$9:D$502,'DATOS ASIGNACIÓN'!B48)</f>
        <v>0</v>
      </c>
      <c r="E48" t="e">
        <f>VLOOKUP(B48,'[2]DATOS DOCENTES'!$D:$AI,32,0)</f>
        <v>#N/A</v>
      </c>
      <c r="F48" t="e">
        <f>VLOOKUP(E48,'[2]DATOS DOCENTES'!$A:$M,13,0)</f>
        <v>#N/A</v>
      </c>
      <c r="G48" t="e">
        <f>VLOOKUP(E48,'[2]DATOS DOCENTES'!$A:$F,3,0)</f>
        <v>#N/A</v>
      </c>
      <c r="H48" t="e">
        <f>VLOOKUP(E48,'[2]DATOS DOCENTES'!$A:$F,2,0)</f>
        <v>#N/A</v>
      </c>
      <c r="I48" t="e">
        <f>VLOOKUP(E48,'[2]DATOS DOCENTES'!$A:$F,6,0)</f>
        <v>#N/A</v>
      </c>
      <c r="S48" t="str">
        <f>IF('[1]REGISTRO ECTS TFT'!$J53&gt;0,'[1]REGISTRO ECTS TFT'!$B53,"")</f>
        <v/>
      </c>
      <c r="T48" t="str">
        <f>'[2]DATOS DOCENTES'!$D47</f>
        <v>Álvarez Ferradas, Carla</v>
      </c>
    </row>
    <row r="49" spans="3:20">
      <c r="C49" t="e">
        <f>VLOOKUP(B49,'[1]REGISTRO ECTS TFT'!$B:$AD,9,0)</f>
        <v>#N/A</v>
      </c>
      <c r="D49">
        <f>COUNTIF('LISTADOS TFM'!D$9:D$502,'DATOS ASIGNACIÓN'!B49)</f>
        <v>0</v>
      </c>
      <c r="E49" t="e">
        <f>VLOOKUP(B49,'[2]DATOS DOCENTES'!$D:$AI,32,0)</f>
        <v>#N/A</v>
      </c>
      <c r="F49" t="e">
        <f>VLOOKUP(E49,'[2]DATOS DOCENTES'!$A:$M,13,0)</f>
        <v>#N/A</v>
      </c>
      <c r="G49" t="e">
        <f>VLOOKUP(E49,'[2]DATOS DOCENTES'!$A:$F,3,0)</f>
        <v>#N/A</v>
      </c>
      <c r="H49" t="e">
        <f>VLOOKUP(E49,'[2]DATOS DOCENTES'!$A:$F,2,0)</f>
        <v>#N/A</v>
      </c>
      <c r="I49" t="e">
        <f>VLOOKUP(E49,'[2]DATOS DOCENTES'!$A:$F,6,0)</f>
        <v>#N/A</v>
      </c>
      <c r="S49" t="str">
        <f>IF('[1]REGISTRO ECTS TFT'!$J54&gt;0,'[1]REGISTRO ECTS TFT'!$B54,"")</f>
        <v/>
      </c>
      <c r="T49" t="str">
        <f>'[2]DATOS DOCENTES'!$D48</f>
        <v>Álvarez Monsalve, Elisa</v>
      </c>
    </row>
    <row r="50" spans="3:20">
      <c r="C50" t="e">
        <f>VLOOKUP(B50,'[1]REGISTRO ECTS TFT'!$B:$AD,9,0)</f>
        <v>#N/A</v>
      </c>
      <c r="D50">
        <f>COUNTIF('LISTADOS TFM'!D$9:D$502,'DATOS ASIGNACIÓN'!B50)</f>
        <v>0</v>
      </c>
      <c r="E50" t="e">
        <f>VLOOKUP(B50,'[2]DATOS DOCENTES'!$D:$AI,32,0)</f>
        <v>#N/A</v>
      </c>
      <c r="F50" t="e">
        <f>VLOOKUP(E50,'[2]DATOS DOCENTES'!$A:$M,13,0)</f>
        <v>#N/A</v>
      </c>
      <c r="G50" t="e">
        <f>VLOOKUP(E50,'[2]DATOS DOCENTES'!$A:$F,3,0)</f>
        <v>#N/A</v>
      </c>
      <c r="H50" t="e">
        <f>VLOOKUP(E50,'[2]DATOS DOCENTES'!$A:$F,2,0)</f>
        <v>#N/A</v>
      </c>
      <c r="I50" t="e">
        <f>VLOOKUP(E50,'[2]DATOS DOCENTES'!$A:$F,6,0)</f>
        <v>#N/A</v>
      </c>
      <c r="S50" t="str">
        <f>IF('[1]REGISTRO ECTS TFT'!$J55&gt;0,'[1]REGISTRO ECTS TFT'!$B55,"")</f>
        <v>Lairón Peris, Maria</v>
      </c>
      <c r="T50" t="str">
        <f>'[2]DATOS DOCENTES'!$D49</f>
        <v>Álvarez Muelas, Ana</v>
      </c>
    </row>
    <row r="51" spans="3:20">
      <c r="C51" t="e">
        <f>VLOOKUP(B51,'[1]REGISTRO ECTS TFT'!$B:$AD,9,0)</f>
        <v>#N/A</v>
      </c>
      <c r="D51">
        <f>COUNTIF('LISTADOS TFM'!D$9:D$502,'DATOS ASIGNACIÓN'!B51)</f>
        <v>0</v>
      </c>
      <c r="E51" t="e">
        <f>VLOOKUP(B51,'[2]DATOS DOCENTES'!$D:$AI,32,0)</f>
        <v>#N/A</v>
      </c>
      <c r="F51" t="e">
        <f>VLOOKUP(E51,'[2]DATOS DOCENTES'!$A:$M,13,0)</f>
        <v>#N/A</v>
      </c>
      <c r="G51" t="e">
        <f>VLOOKUP(E51,'[2]DATOS DOCENTES'!$A:$F,3,0)</f>
        <v>#N/A</v>
      </c>
      <c r="H51" t="e">
        <f>VLOOKUP(E51,'[2]DATOS DOCENTES'!$A:$F,2,0)</f>
        <v>#N/A</v>
      </c>
      <c r="I51" t="e">
        <f>VLOOKUP(E51,'[2]DATOS DOCENTES'!$A:$F,6,0)</f>
        <v>#N/A</v>
      </c>
      <c r="S51" t="str">
        <f>IF('[1]REGISTRO ECTS TFT'!$J56&gt;0,'[1]REGISTRO ECTS TFT'!$B56,"")</f>
        <v/>
      </c>
      <c r="T51" t="str">
        <f>'[2]DATOS DOCENTES'!$D50</f>
        <v>Álvarez-Sala Martín, Andrea</v>
      </c>
    </row>
    <row r="52" spans="3:20">
      <c r="C52" t="e">
        <f>VLOOKUP(B52,'[1]REGISTRO ECTS TFT'!$B:$AD,9,0)</f>
        <v>#N/A</v>
      </c>
      <c r="D52">
        <f>COUNTIF('LISTADOS TFM'!D$9:D$502,'DATOS ASIGNACIÓN'!B52)</f>
        <v>0</v>
      </c>
      <c r="E52" t="e">
        <f>VLOOKUP(B52,'[2]DATOS DOCENTES'!$D:$AI,32,0)</f>
        <v>#N/A</v>
      </c>
      <c r="F52" t="e">
        <f>VLOOKUP(E52,'[2]DATOS DOCENTES'!$A:$M,13,0)</f>
        <v>#N/A</v>
      </c>
      <c r="G52" t="e">
        <f>VLOOKUP(E52,'[2]DATOS DOCENTES'!$A:$F,3,0)</f>
        <v>#N/A</v>
      </c>
      <c r="H52" t="e">
        <f>VLOOKUP(E52,'[2]DATOS DOCENTES'!$A:$F,2,0)</f>
        <v>#N/A</v>
      </c>
      <c r="I52" t="e">
        <f>VLOOKUP(E52,'[2]DATOS DOCENTES'!$A:$F,6,0)</f>
        <v>#N/A</v>
      </c>
      <c r="S52" t="str">
        <f>IF('[1]REGISTRO ECTS TFT'!$J57&gt;0,'[1]REGISTRO ECTS TFT'!$B57,"")</f>
        <v/>
      </c>
      <c r="T52" t="str">
        <f>'[2]DATOS DOCENTES'!$D51</f>
        <v>Amaoui, Sofia</v>
      </c>
    </row>
    <row r="53" spans="3:20">
      <c r="C53" t="e">
        <f>VLOOKUP(B53,'[1]REGISTRO ECTS TFT'!$B:$AD,9,0)</f>
        <v>#N/A</v>
      </c>
      <c r="D53">
        <f>COUNTIF('LISTADOS TFM'!D$9:D$502,'DATOS ASIGNACIÓN'!B53)</f>
        <v>0</v>
      </c>
      <c r="E53" t="e">
        <f>VLOOKUP(B53,'[2]DATOS DOCENTES'!$D:$AI,32,0)</f>
        <v>#N/A</v>
      </c>
      <c r="F53" t="e">
        <f>VLOOKUP(E53,'[2]DATOS DOCENTES'!$A:$M,13,0)</f>
        <v>#N/A</v>
      </c>
      <c r="G53" t="e">
        <f>VLOOKUP(E53,'[2]DATOS DOCENTES'!$A:$F,3,0)</f>
        <v>#N/A</v>
      </c>
      <c r="H53" t="e">
        <f>VLOOKUP(E53,'[2]DATOS DOCENTES'!$A:$F,2,0)</f>
        <v>#N/A</v>
      </c>
      <c r="I53" t="e">
        <f>VLOOKUP(E53,'[2]DATOS DOCENTES'!$A:$F,6,0)</f>
        <v>#N/A</v>
      </c>
      <c r="S53" t="str">
        <f>IF('[1]REGISTRO ECTS TFT'!$J58&gt;0,'[1]REGISTRO ECTS TFT'!$B58,"")</f>
        <v/>
      </c>
      <c r="T53" t="str">
        <f>'[2]DATOS DOCENTES'!$D52</f>
        <v>Amezcua Valmala, Nerea</v>
      </c>
    </row>
    <row r="54" spans="3:20">
      <c r="C54" t="e">
        <f>VLOOKUP(B54,'[1]REGISTRO ECTS TFT'!$B:$AD,9,0)</f>
        <v>#N/A</v>
      </c>
      <c r="D54">
        <f>COUNTIF('LISTADOS TFM'!D$9:D$502,'DATOS ASIGNACIÓN'!B54)</f>
        <v>0</v>
      </c>
      <c r="E54" t="e">
        <f>VLOOKUP(B54,'[2]DATOS DOCENTES'!$D:$AI,32,0)</f>
        <v>#N/A</v>
      </c>
      <c r="F54" t="e">
        <f>VLOOKUP(E54,'[2]DATOS DOCENTES'!$A:$M,13,0)</f>
        <v>#N/A</v>
      </c>
      <c r="G54" t="e">
        <f>VLOOKUP(E54,'[2]DATOS DOCENTES'!$A:$F,3,0)</f>
        <v>#N/A</v>
      </c>
      <c r="H54" t="e">
        <f>VLOOKUP(E54,'[2]DATOS DOCENTES'!$A:$F,2,0)</f>
        <v>#N/A</v>
      </c>
      <c r="I54" t="e">
        <f>VLOOKUP(E54,'[2]DATOS DOCENTES'!$A:$F,6,0)</f>
        <v>#N/A</v>
      </c>
      <c r="S54" t="str">
        <f>IF('[1]REGISTRO ECTS TFT'!$J59&gt;0,'[1]REGISTRO ECTS TFT'!$B59,"")</f>
        <v/>
      </c>
      <c r="T54" t="str">
        <f>'[2]DATOS DOCENTES'!$D53</f>
        <v>Amor González, Antonio Manuel</v>
      </c>
    </row>
    <row r="55" spans="3:20">
      <c r="C55" t="e">
        <f>VLOOKUP(B55,'[1]REGISTRO ECTS TFT'!$B:$AD,9,0)</f>
        <v>#N/A</v>
      </c>
      <c r="D55">
        <f>COUNTIF('LISTADOS TFM'!D$153:D$502,'DATOS ASIGNACIÓN'!B55)</f>
        <v>0</v>
      </c>
      <c r="F55" t="e">
        <f>VLOOKUP(E55,'[2]DATOS DOCENTES'!$A:$M,13,0)</f>
        <v>#N/A</v>
      </c>
      <c r="S55" t="str">
        <f>IF('[1]REGISTRO ECTS TFT'!$J60&gt;0,'[1]REGISTRO ECTS TFT'!$B60,"")</f>
        <v/>
      </c>
      <c r="T55" t="str">
        <f>'[2]DATOS DOCENTES'!$D54</f>
        <v>Amores Marreiros, Rubén</v>
      </c>
    </row>
    <row r="56" spans="3:20">
      <c r="C56" t="e">
        <f>VLOOKUP(B56,'[1]REGISTRO ECTS TFT'!$B:$AD,9,0)</f>
        <v>#N/A</v>
      </c>
      <c r="D56">
        <f>COUNTIF('LISTADOS TFM'!D$153:D$502,'DATOS ASIGNACIÓN'!B56)</f>
        <v>0</v>
      </c>
      <c r="F56" t="e">
        <f>VLOOKUP(E56,'[2]DATOS DOCENTES'!$A:$M,13,0)</f>
        <v>#N/A</v>
      </c>
      <c r="S56" t="str">
        <f>IF('[1]REGISTRO ECTS TFT'!$J61&gt;0,'[1]REGISTRO ECTS TFT'!$B61,"")</f>
        <v/>
      </c>
      <c r="T56" t="str">
        <f>'[2]DATOS DOCENTES'!$D55</f>
        <v>Andrés Blasco, Irene</v>
      </c>
    </row>
    <row r="57" spans="3:20">
      <c r="C57" t="e">
        <f>VLOOKUP(B57,'[1]REGISTRO ECTS TFT'!$B:$AD,9,0)</f>
        <v>#N/A</v>
      </c>
      <c r="D57">
        <f>COUNTIF('LISTADOS TFM'!D$153:D$502,'DATOS ASIGNACIÓN'!B57)</f>
        <v>0</v>
      </c>
      <c r="F57" t="e">
        <f>VLOOKUP(E57,'[2]DATOS DOCENTES'!$A:$M,13,0)</f>
        <v>#N/A</v>
      </c>
      <c r="S57" t="str">
        <f>IF('[1]REGISTRO ECTS TFT'!$J62&gt;0,'[1]REGISTRO ECTS TFT'!$B62,"")</f>
        <v/>
      </c>
      <c r="T57" t="str">
        <f>'[2]DATOS DOCENTES'!$D56</f>
        <v>Andreu Fernández, Vicente</v>
      </c>
    </row>
    <row r="58" spans="3:20">
      <c r="C58" t="e">
        <f>VLOOKUP(B58,'[1]REGISTRO ECTS TFT'!$B:$AD,9,0)</f>
        <v>#N/A</v>
      </c>
      <c r="D58">
        <f>COUNTIF('LISTADOS TFM'!D$153:D$502,'DATOS ASIGNACIÓN'!B58)</f>
        <v>0</v>
      </c>
      <c r="F58" t="e">
        <f>VLOOKUP(E58,'[2]DATOS DOCENTES'!$A:$M,13,0)</f>
        <v>#N/A</v>
      </c>
      <c r="S58" t="str">
        <f>IF('[1]REGISTRO ECTS TFT'!$J63&gt;0,'[1]REGISTRO ECTS TFT'!$B63,"")</f>
        <v/>
      </c>
      <c r="T58" t="str">
        <f>'[2]DATOS DOCENTES'!$D57</f>
        <v>Antón Blasco, José Antonio</v>
      </c>
    </row>
    <row r="59" spans="3:20">
      <c r="C59" t="e">
        <f>VLOOKUP(B59,'[1]REGISTRO ECTS TFT'!$B:$AD,9,0)</f>
        <v>#N/A</v>
      </c>
      <c r="D59">
        <f>COUNTIF('LISTADOS TFM'!D$153:D$502,'DATOS ASIGNACIÓN'!B59)</f>
        <v>0</v>
      </c>
      <c r="F59" t="e">
        <f>VLOOKUP(E59,'[2]DATOS DOCENTES'!$A:$M,13,0)</f>
        <v>#N/A</v>
      </c>
      <c r="S59" t="str">
        <f>IF('[1]REGISTRO ECTS TFT'!$J64&gt;0,'[1]REGISTRO ECTS TFT'!$B64,"")</f>
        <v/>
      </c>
      <c r="T59" t="str">
        <f>'[2]DATOS DOCENTES'!$D58</f>
        <v>Antón Riquelme, Ana Asunción</v>
      </c>
    </row>
    <row r="60" spans="3:20">
      <c r="C60" t="e">
        <f>VLOOKUP(B60,'[1]REGISTRO ECTS TFT'!$B:$AD,9,0)</f>
        <v>#N/A</v>
      </c>
      <c r="D60">
        <f>COUNTIF('LISTADOS TFM'!D$153:D$502,'DATOS ASIGNACIÓN'!B60)</f>
        <v>0</v>
      </c>
      <c r="F60" t="e">
        <f>VLOOKUP(E60,'[2]DATOS DOCENTES'!$A:$M,13,0)</f>
        <v>#N/A</v>
      </c>
      <c r="S60" t="str">
        <f>IF('[1]REGISTRO ECTS TFT'!$J65&gt;0,'[1]REGISTRO ECTS TFT'!$B65,"")</f>
        <v/>
      </c>
      <c r="T60" t="str">
        <f>'[2]DATOS DOCENTES'!$D59</f>
        <v>Antón Santiago, Roberto</v>
      </c>
    </row>
    <row r="61" spans="3:20">
      <c r="C61" t="e">
        <f>VLOOKUP(B61,'[1]REGISTRO ECTS TFT'!$B:$AD,9,0)</f>
        <v>#N/A</v>
      </c>
      <c r="D61">
        <f>COUNTIF('LISTADOS TFM'!D$153:D$502,'DATOS ASIGNACIÓN'!B61)</f>
        <v>0</v>
      </c>
      <c r="F61" t="e">
        <f>VLOOKUP(E61,'[2]DATOS DOCENTES'!$A:$M,13,0)</f>
        <v>#N/A</v>
      </c>
      <c r="S61" t="str">
        <f>IF('[1]REGISTRO ECTS TFT'!$J66&gt;0,'[1]REGISTRO ECTS TFT'!$B66,"")</f>
        <v/>
      </c>
      <c r="T61" t="str">
        <f>'[2]DATOS DOCENTES'!$D60</f>
        <v>Aracil Bolaños, Ignacio</v>
      </c>
    </row>
    <row r="62" spans="3:20">
      <c r="C62" t="e">
        <f>VLOOKUP(B62,'[1]REGISTRO ECTS TFT'!$B:$AD,9,0)</f>
        <v>#N/A</v>
      </c>
      <c r="D62">
        <f>COUNTIF('LISTADOS TFM'!D$153:D$502,'DATOS ASIGNACIÓN'!B62)</f>
        <v>0</v>
      </c>
      <c r="F62" t="e">
        <f>VLOOKUP(E62,'[2]DATOS DOCENTES'!$A:$M,13,0)</f>
        <v>#N/A</v>
      </c>
      <c r="S62" t="str">
        <f>IF('[1]REGISTRO ECTS TFT'!$J67&gt;0,'[1]REGISTRO ECTS TFT'!$B67,"")</f>
        <v/>
      </c>
      <c r="T62" t="str">
        <f>'[2]DATOS DOCENTES'!$D61</f>
        <v>Araos Gómez, Pedro Fernando</v>
      </c>
    </row>
    <row r="63" spans="3:20">
      <c r="C63" t="e">
        <f>VLOOKUP(B63,'[1]REGISTRO ECTS TFT'!$B:$AD,9,0)</f>
        <v>#N/A</v>
      </c>
      <c r="D63">
        <f>COUNTIF('LISTADOS TFM'!D$153:D$502,'DATOS ASIGNACIÓN'!B63)</f>
        <v>0</v>
      </c>
      <c r="F63" t="e">
        <f>VLOOKUP(E63,'[2]DATOS DOCENTES'!$A:$M,13,0)</f>
        <v>#N/A</v>
      </c>
      <c r="S63" t="str">
        <f>IF('[1]REGISTRO ECTS TFT'!$J68&gt;0,'[1]REGISTRO ECTS TFT'!$B68,"")</f>
        <v/>
      </c>
      <c r="T63" t="str">
        <f>'[2]DATOS DOCENTES'!$D62</f>
        <v>Aras López, Rosa María</v>
      </c>
    </row>
    <row r="64" spans="3:20">
      <c r="C64" t="e">
        <f>VLOOKUP(B64,'[1]REGISTRO ECTS TFT'!$B:$AD,9,0)</f>
        <v>#N/A</v>
      </c>
      <c r="D64">
        <f>COUNTIF('LISTADOS TFM'!D$153:D$502,'DATOS ASIGNACIÓN'!B64)</f>
        <v>0</v>
      </c>
      <c r="F64" t="e">
        <f>VLOOKUP(E64,'[2]DATOS DOCENTES'!$A:$M,13,0)</f>
        <v>#N/A</v>
      </c>
      <c r="S64" t="str">
        <f>IF('[1]REGISTRO ECTS TFT'!$J69&gt;0,'[1]REGISTRO ECTS TFT'!$B69,"")</f>
        <v/>
      </c>
      <c r="T64" t="str">
        <f>'[2]DATOS DOCENTES'!$D63</f>
        <v>Arce Recatalá, Cristina</v>
      </c>
    </row>
    <row r="65" spans="3:20">
      <c r="C65" t="e">
        <f>VLOOKUP(B65,'[1]REGISTRO ECTS TFT'!$B:$AD,9,0)</f>
        <v>#N/A</v>
      </c>
      <c r="D65">
        <f>COUNTIF('LISTADOS TFM'!D$153:D$502,'DATOS ASIGNACIÓN'!B65)</f>
        <v>0</v>
      </c>
      <c r="F65" t="e">
        <f>VLOOKUP(E65,'[2]DATOS DOCENTES'!$A:$M,13,0)</f>
        <v>#N/A</v>
      </c>
      <c r="S65" t="str">
        <f>IF('[1]REGISTRO ECTS TFT'!$J70&gt;0,'[1]REGISTRO ECTS TFT'!$B70,"")</f>
        <v/>
      </c>
      <c r="T65" t="str">
        <f>'[2]DATOS DOCENTES'!$D64</f>
        <v>Argudo Palacios, Aarón</v>
      </c>
    </row>
    <row r="66" spans="3:20">
      <c r="C66" t="e">
        <f>VLOOKUP(B66,'[1]REGISTRO ECTS TFT'!$B:$AD,9,0)</f>
        <v>#N/A</v>
      </c>
      <c r="D66">
        <f>COUNTIF('LISTADOS TFM'!D$153:D$502,'DATOS ASIGNACIÓN'!B66)</f>
        <v>0</v>
      </c>
      <c r="F66" t="e">
        <f>VLOOKUP(E66,'[2]DATOS DOCENTES'!$A:$M,13,0)</f>
        <v>#N/A</v>
      </c>
      <c r="S66" t="str">
        <f>IF('[1]REGISTRO ECTS TFT'!$J71&gt;0,'[1]REGISTRO ECTS TFT'!$B71,"")</f>
        <v/>
      </c>
      <c r="T66" t="str">
        <f>'[2]DATOS DOCENTES'!$D65</f>
        <v>Argyropulou, Vasiliki</v>
      </c>
    </row>
    <row r="67" spans="3:20">
      <c r="C67" t="e">
        <f>VLOOKUP(B67,'[1]REGISTRO ECTS TFT'!$B:$AD,9,0)</f>
        <v>#N/A</v>
      </c>
      <c r="D67">
        <f>COUNTIF('LISTADOS TFM'!D$153:D$502,'DATOS ASIGNACIÓN'!B67)</f>
        <v>0</v>
      </c>
      <c r="F67" t="e">
        <f>VLOOKUP(E67,'[2]DATOS DOCENTES'!$A:$M,13,0)</f>
        <v>#N/A</v>
      </c>
      <c r="S67" t="str">
        <f>IF('[1]REGISTRO ECTS TFT'!$J72&gt;0,'[1]REGISTRO ECTS TFT'!$B72,"")</f>
        <v/>
      </c>
      <c r="T67" t="str">
        <f>'[2]DATOS DOCENTES'!$D66</f>
        <v>Arias de la Cruz, Sonia</v>
      </c>
    </row>
    <row r="68" spans="3:20">
      <c r="C68" t="e">
        <f>VLOOKUP(B68,'[1]REGISTRO ECTS TFT'!$B:$AD,9,0)</f>
        <v>#N/A</v>
      </c>
      <c r="D68">
        <f>COUNTIF('LISTADOS TFM'!D$153:D$502,'DATOS ASIGNACIÓN'!B68)</f>
        <v>0</v>
      </c>
      <c r="F68" t="e">
        <f>VLOOKUP(E68,'[2]DATOS DOCENTES'!$A:$M,13,0)</f>
        <v>#N/A</v>
      </c>
      <c r="S68" t="str">
        <f>IF('[1]REGISTRO ECTS TFT'!$J73&gt;0,'[1]REGISTRO ECTS TFT'!$B73,"")</f>
        <v/>
      </c>
      <c r="T68" t="str">
        <f>'[2]DATOS DOCENTES'!$D67</f>
        <v>Arias Martínez, Esther</v>
      </c>
    </row>
    <row r="69" spans="3:20">
      <c r="C69" t="e">
        <f>VLOOKUP(B69,'[1]REGISTRO ECTS TFT'!$B:$AD,9,0)</f>
        <v>#N/A</v>
      </c>
      <c r="D69">
        <f>COUNTIF('LISTADOS TFM'!D$153:D$502,'DATOS ASIGNACIÓN'!B69)</f>
        <v>0</v>
      </c>
      <c r="F69" t="e">
        <f>VLOOKUP(E69,'[2]DATOS DOCENTES'!$A:$M,13,0)</f>
        <v>#N/A</v>
      </c>
      <c r="S69" t="str">
        <f>IF('[1]REGISTRO ECTS TFT'!$J74&gt;0,'[1]REGISTRO ECTS TFT'!$B74,"")</f>
        <v/>
      </c>
      <c r="T69" t="str">
        <f>'[2]DATOS DOCENTES'!$D68</f>
        <v>Arnau Paltor, Pablo</v>
      </c>
    </row>
    <row r="70" spans="3:20">
      <c r="C70" t="e">
        <f>VLOOKUP(B70,'[1]REGISTRO ECTS TFT'!$B:$AD,9,0)</f>
        <v>#N/A</v>
      </c>
      <c r="D70">
        <f>COUNTIF('LISTADOS TFM'!D$153:D$502,'DATOS ASIGNACIÓN'!B70)</f>
        <v>0</v>
      </c>
      <c r="F70" t="e">
        <f>VLOOKUP(E70,'[2]DATOS DOCENTES'!$A:$M,13,0)</f>
        <v>#N/A</v>
      </c>
      <c r="S70" t="str">
        <f>IF('[1]REGISTRO ECTS TFT'!$J75&gt;0,'[1]REGISTRO ECTS TFT'!$B75,"")</f>
        <v/>
      </c>
      <c r="T70" t="str">
        <f>'[2]DATOS DOCENTES'!$D69</f>
        <v>Arredondo Koriat, Arantxa Yagoda</v>
      </c>
    </row>
    <row r="71" spans="3:20">
      <c r="C71" t="e">
        <f>VLOOKUP(B71,'[1]REGISTRO ECTS TFT'!$B:$AD,9,0)</f>
        <v>#N/A</v>
      </c>
      <c r="D71">
        <f>COUNTIF('LISTADOS TFM'!D$153:D$502,'DATOS ASIGNACIÓN'!B71)</f>
        <v>0</v>
      </c>
      <c r="F71" t="e">
        <f>VLOOKUP(E71,'[2]DATOS DOCENTES'!$A:$M,13,0)</f>
        <v>#N/A</v>
      </c>
      <c r="S71" t="str">
        <f>IF('[1]REGISTRO ECTS TFT'!$J76&gt;0,'[1]REGISTRO ECTS TFT'!$B76,"")</f>
        <v/>
      </c>
      <c r="T71" t="str">
        <f>'[2]DATOS DOCENTES'!$D70</f>
        <v>Arribas Guerrero, Juan</v>
      </c>
    </row>
    <row r="72" spans="3:20">
      <c r="C72" t="e">
        <f>VLOOKUP(B72,'[1]REGISTRO ECTS TFT'!$B:$AD,9,0)</f>
        <v>#N/A</v>
      </c>
      <c r="D72">
        <f>COUNTIF('LISTADOS TFM'!D$153:D$502,'DATOS ASIGNACIÓN'!B72)</f>
        <v>0</v>
      </c>
      <c r="F72" t="e">
        <f>VLOOKUP(E72,'[2]DATOS DOCENTES'!$A:$M,13,0)</f>
        <v>#N/A</v>
      </c>
      <c r="S72" t="str">
        <f>IF('[1]REGISTRO ECTS TFT'!$J77&gt;0,'[1]REGISTRO ECTS TFT'!$B77,"")</f>
        <v>Pedrero Tomé, Roberto</v>
      </c>
      <c r="T72" t="str">
        <f>'[2]DATOS DOCENTES'!$D71</f>
        <v>Arrigoni, Flavia Susana</v>
      </c>
    </row>
    <row r="73" spans="3:20">
      <c r="C73" t="e">
        <f>VLOOKUP(B73,'[1]REGISTRO ECTS TFT'!$B:$AD,9,0)</f>
        <v>#N/A</v>
      </c>
      <c r="D73">
        <f>COUNTIF('LISTADOS TFM'!D$153:D$502,'DATOS ASIGNACIÓN'!B73)</f>
        <v>0</v>
      </c>
      <c r="F73" t="e">
        <f>VLOOKUP(E73,'[2]DATOS DOCENTES'!$A:$M,13,0)</f>
        <v>#N/A</v>
      </c>
      <c r="S73" t="str">
        <f>IF('[1]REGISTRO ECTS TFT'!$J78&gt;0,'[1]REGISTRO ECTS TFT'!$B78,"")</f>
        <v/>
      </c>
      <c r="T73" t="str">
        <f>'[2]DATOS DOCENTES'!$D72</f>
        <v>Arrivillaga Henríquez, Jazzmin Celeste</v>
      </c>
    </row>
    <row r="74" spans="3:20">
      <c r="C74" t="e">
        <f>VLOOKUP(B74,'[1]REGISTRO ECTS TFT'!$B:$AD,9,0)</f>
        <v>#N/A</v>
      </c>
      <c r="D74">
        <f>COUNTIF('LISTADOS TFM'!D$153:D$502,'DATOS ASIGNACIÓN'!B74)</f>
        <v>0</v>
      </c>
      <c r="F74" t="e">
        <f>VLOOKUP(E74,'[2]DATOS DOCENTES'!$A:$M,13,0)</f>
        <v>#N/A</v>
      </c>
      <c r="S74" t="str">
        <f>IF('[1]REGISTRO ECTS TFT'!$J79&gt;0,'[1]REGISTRO ECTS TFT'!$B79,"")</f>
        <v/>
      </c>
      <c r="T74" t="str">
        <f>'[2]DATOS DOCENTES'!$D73</f>
        <v>Arrona Altamirano, Alhelí de la Aurora</v>
      </c>
    </row>
    <row r="75" spans="3:20">
      <c r="C75" t="e">
        <f>VLOOKUP(B75,'[1]REGISTRO ECTS TFT'!$B:$AD,9,0)</f>
        <v>#N/A</v>
      </c>
      <c r="D75">
        <f>COUNTIF('LISTADOS TFM'!D$153:D$502,'DATOS ASIGNACIÓN'!B75)</f>
        <v>0</v>
      </c>
      <c r="F75" t="e">
        <f>VLOOKUP(E75,'[2]DATOS DOCENTES'!$A:$M,13,0)</f>
        <v>#N/A</v>
      </c>
      <c r="S75" t="str">
        <f>IF('[1]REGISTRO ECTS TFT'!$J80&gt;0,'[1]REGISTRO ECTS TFT'!$B80,"")</f>
        <v/>
      </c>
      <c r="T75" t="str">
        <f>'[2]DATOS DOCENTES'!$D74</f>
        <v>Arroyo San Millán, Marta</v>
      </c>
    </row>
    <row r="76" spans="3:20">
      <c r="C76" t="e">
        <f>VLOOKUP(B76,'[1]REGISTRO ECTS TFT'!$B:$AD,9,0)</f>
        <v>#N/A</v>
      </c>
      <c r="D76">
        <f>COUNTIF('LISTADOS TFM'!D$153:D$502,'DATOS ASIGNACIÓN'!B76)</f>
        <v>0</v>
      </c>
      <c r="F76" t="e">
        <f>VLOOKUP(E76,'[2]DATOS DOCENTES'!$A:$M,13,0)</f>
        <v>#N/A</v>
      </c>
      <c r="S76" t="str">
        <f>IF('[1]REGISTRO ECTS TFT'!$J81&gt;0,'[1]REGISTRO ECTS TFT'!$B81,"")</f>
        <v/>
      </c>
      <c r="T76" t="str">
        <f>'[2]DATOS DOCENTES'!$D75</f>
        <v>Arumí Trujillo, Clàudia</v>
      </c>
    </row>
    <row r="77" spans="3:20">
      <c r="C77" t="e">
        <f>VLOOKUP(B77,'[1]REGISTRO ECTS TFT'!$B:$AD,9,0)</f>
        <v>#N/A</v>
      </c>
      <c r="D77">
        <f>COUNTIF('LISTADOS TFM'!D$153:D$502,'DATOS ASIGNACIÓN'!B77)</f>
        <v>0</v>
      </c>
      <c r="F77" t="e">
        <f>VLOOKUP(E77,'[2]DATOS DOCENTES'!$A:$M,13,0)</f>
        <v>#N/A</v>
      </c>
      <c r="S77" t="str">
        <f>IF('[1]REGISTRO ECTS TFT'!$J82&gt;0,'[1]REGISTRO ECTS TFT'!$B82,"")</f>
        <v/>
      </c>
      <c r="T77" t="str">
        <f>'[2]DATOS DOCENTES'!$D76</f>
        <v>Aste Leiva, Bruno Fernando</v>
      </c>
    </row>
    <row r="78" spans="3:20">
      <c r="C78" t="e">
        <f>VLOOKUP(B78,'[1]REGISTRO ECTS TFT'!$B:$AD,9,0)</f>
        <v>#N/A</v>
      </c>
      <c r="D78">
        <f>COUNTIF('LISTADOS TFM'!D$153:D$502,'DATOS ASIGNACIÓN'!B78)</f>
        <v>0</v>
      </c>
      <c r="F78" t="e">
        <f>VLOOKUP(E78,'[2]DATOS DOCENTES'!$A:$M,13,0)</f>
        <v>#N/A</v>
      </c>
      <c r="S78" t="str">
        <f>IF('[1]REGISTRO ECTS TFT'!$J83&gt;0,'[1]REGISTRO ECTS TFT'!$B83,"")</f>
        <v/>
      </c>
      <c r="T78" t="str">
        <f>'[2]DATOS DOCENTES'!$D77</f>
        <v>Atanes Gómez, Alexandra</v>
      </c>
    </row>
    <row r="79" spans="3:20">
      <c r="S79" t="str">
        <f>IF('[1]REGISTRO ECTS TFT'!$J84&gt;0,'[1]REGISTRO ECTS TFT'!$B84,"")</f>
        <v/>
      </c>
      <c r="T79" t="str">
        <f>'[2]DATOS DOCENTES'!$D78</f>
        <v>Atienza Carbonell, Beatriz</v>
      </c>
    </row>
    <row r="80" spans="3:20">
      <c r="S80" t="str">
        <f>IF('[1]REGISTRO ECTS TFT'!$J85&gt;0,'[1]REGISTRO ECTS TFT'!$B85,"")</f>
        <v/>
      </c>
      <c r="T80" t="str">
        <f>'[2]DATOS DOCENTES'!$D79</f>
        <v>Ayerbe Puebla, Ignacio</v>
      </c>
    </row>
    <row r="81" spans="19:20">
      <c r="S81" t="str">
        <f>IF('[1]REGISTRO ECTS TFT'!$J86&gt;0,'[1]REGISTRO ECTS TFT'!$B86,"")</f>
        <v/>
      </c>
      <c r="T81" t="str">
        <f>'[2]DATOS DOCENTES'!$D80</f>
        <v>Azcárate Seminario, Juana María</v>
      </c>
    </row>
    <row r="82" spans="19:20">
      <c r="S82" t="str">
        <f>IF('[1]REGISTRO ECTS TFT'!$J87&gt;0,'[1]REGISTRO ECTS TFT'!$B87,"")</f>
        <v/>
      </c>
      <c r="T82" t="str">
        <f>'[2]DATOS DOCENTES'!$D81</f>
        <v>Badenes Sastre, Marta</v>
      </c>
    </row>
    <row r="83" spans="19:20">
      <c r="S83" t="str">
        <f>IF('[1]REGISTRO ECTS TFT'!$J88&gt;0,'[1]REGISTRO ECTS TFT'!$B88,"")</f>
        <v/>
      </c>
      <c r="T83" t="str">
        <f>'[2]DATOS DOCENTES'!$D82</f>
        <v>Bahamon Muñeton, Marly Johana</v>
      </c>
    </row>
    <row r="84" spans="19:20">
      <c r="S84" t="str">
        <f>IF('[1]REGISTRO ECTS TFT'!$J89&gt;0,'[1]REGISTRO ECTS TFT'!$B89,"")</f>
        <v/>
      </c>
      <c r="T84" t="str">
        <f>'[2]DATOS DOCENTES'!$D83</f>
        <v>Baixauli Muñoz, Raquel</v>
      </c>
    </row>
    <row r="85" spans="19:20">
      <c r="S85" t="str">
        <f>IF('[1]REGISTRO ECTS TFT'!$J90&gt;0,'[1]REGISTRO ECTS TFT'!$B90,"")</f>
        <v/>
      </c>
      <c r="T85" t="str">
        <f>'[2]DATOS DOCENTES'!$D84</f>
        <v>Bajo Bretón, Ricardo</v>
      </c>
    </row>
    <row r="86" spans="19:20">
      <c r="S86" t="str">
        <f>IF('[1]REGISTRO ECTS TFT'!$J91&gt;0,'[1]REGISTRO ECTS TFT'!$B91,"")</f>
        <v/>
      </c>
      <c r="T86" t="str">
        <f>'[2]DATOS DOCENTES'!$D85</f>
        <v>Ballesteros Pérez, Francisco</v>
      </c>
    </row>
    <row r="87" spans="19:20">
      <c r="S87" t="str">
        <f>IF('[1]REGISTRO ECTS TFT'!$J92&gt;0,'[1]REGISTRO ECTS TFT'!$B92,"")</f>
        <v/>
      </c>
      <c r="T87" t="str">
        <f>'[2]DATOS DOCENTES'!$D86</f>
        <v>Balmaseda Rubina, Aitor</v>
      </c>
    </row>
    <row r="88" spans="19:20">
      <c r="S88" t="str">
        <f>IF('[1]REGISTRO ECTS TFT'!$J93&gt;0,'[1]REGISTRO ECTS TFT'!$B93,"")</f>
        <v/>
      </c>
      <c r="T88" t="str">
        <f>'[2]DATOS DOCENTES'!$D87</f>
        <v>Balo García, Aránzazu</v>
      </c>
    </row>
    <row r="89" spans="19:20">
      <c r="S89" t="str">
        <f>IF('[1]REGISTRO ECTS TFT'!$J94&gt;0,'[1]REGISTRO ECTS TFT'!$B94,"")</f>
        <v/>
      </c>
      <c r="T89" t="str">
        <f>'[2]DATOS DOCENTES'!$D88</f>
        <v>Barba Colmenero, Francisca</v>
      </c>
    </row>
    <row r="90" spans="19:20">
      <c r="S90" t="str">
        <f>IF('[1]REGISTRO ECTS TFT'!$J95&gt;0,'[1]REGISTRO ECTS TFT'!$B95,"")</f>
        <v>Rubio Mangas, David</v>
      </c>
      <c r="T90" t="str">
        <f>'[2]DATOS DOCENTES'!$D89</f>
        <v>Barragán Arnal, Rocío</v>
      </c>
    </row>
    <row r="91" spans="19:20">
      <c r="S91" t="str">
        <f>IF('[1]REGISTRO ECTS TFT'!$J96&gt;0,'[1]REGISTRO ECTS TFT'!$B96,"")</f>
        <v/>
      </c>
      <c r="T91" t="str">
        <f>'[2]DATOS DOCENTES'!$D90</f>
        <v>Barranco Riaza, Almudena</v>
      </c>
    </row>
    <row r="92" spans="19:20">
      <c r="S92" t="str">
        <f>IF('[1]REGISTRO ECTS TFT'!$J97&gt;0,'[1]REGISTRO ECTS TFT'!$B97,"")</f>
        <v/>
      </c>
      <c r="T92" t="str">
        <f>'[2]DATOS DOCENTES'!$D91</f>
        <v>Barrasa Notario, Ángel</v>
      </c>
    </row>
    <row r="93" spans="19:20">
      <c r="S93" t="str">
        <f>IF('[1]REGISTRO ECTS TFT'!$J98&gt;0,'[1]REGISTRO ECTS TFT'!$B98,"")</f>
        <v/>
      </c>
      <c r="T93" t="str">
        <f>'[2]DATOS DOCENTES'!$D92</f>
        <v>Barrenechea Garro, Arrate</v>
      </c>
    </row>
    <row r="94" spans="19:20">
      <c r="S94" t="str">
        <f>IF('[1]REGISTRO ECTS TFT'!$J99&gt;0,'[1]REGISTRO ECTS TFT'!$B99,"")</f>
        <v/>
      </c>
      <c r="T94" t="str">
        <f>'[2]DATOS DOCENTES'!$D93</f>
        <v>Barrera Belloch, Jaume</v>
      </c>
    </row>
    <row r="95" spans="19:20">
      <c r="S95" t="str">
        <f>IF('[1]REGISTRO ECTS TFT'!$J100&gt;0,'[1]REGISTRO ECTS TFT'!$B100,"")</f>
        <v/>
      </c>
      <c r="T95" t="str">
        <f>'[2]DATOS DOCENTES'!$D94</f>
        <v>Barrientos Trigo, Sergio</v>
      </c>
    </row>
    <row r="96" spans="19:20">
      <c r="S96" t="str">
        <f>IF('[1]REGISTRO ECTS TFT'!$J101&gt;0,'[1]REGISTRO ECTS TFT'!$B101,"")</f>
        <v/>
      </c>
      <c r="T96" t="str">
        <f>'[2]DATOS DOCENTES'!$D95</f>
        <v>Barrio Martínez, Sara</v>
      </c>
    </row>
    <row r="97" spans="19:20">
      <c r="S97" t="str">
        <f>IF('[1]REGISTRO ECTS TFT'!$J102&gt;0,'[1]REGISTRO ECTS TFT'!$B102,"")</f>
        <v/>
      </c>
      <c r="T97" t="str">
        <f>'[2]DATOS DOCENTES'!$D96</f>
        <v>Bartolomé del Pino, Leticia Elisa</v>
      </c>
    </row>
    <row r="98" spans="19:20">
      <c r="S98" t="str">
        <f>IF('[1]REGISTRO ECTS TFT'!$J103&gt;0,'[1]REGISTRO ECTS TFT'!$B103,"")</f>
        <v/>
      </c>
      <c r="T98" t="str">
        <f>'[2]DATOS DOCENTES'!$D97</f>
        <v>Bautista Aranda, Nazaret</v>
      </c>
    </row>
    <row r="99" spans="19:20">
      <c r="S99" t="str">
        <f>IF('[1]REGISTRO ECTS TFT'!$J104&gt;0,'[1]REGISTRO ECTS TFT'!$B104,"")</f>
        <v/>
      </c>
      <c r="T99" t="str">
        <f>'[2]DATOS DOCENTES'!$D98</f>
        <v>Baz Montero, Servando</v>
      </c>
    </row>
    <row r="100" spans="19:20">
      <c r="S100" t="str">
        <f>IF('[1]REGISTRO ECTS TFT'!$J105&gt;0,'[1]REGISTRO ECTS TFT'!$B105,"")</f>
        <v/>
      </c>
      <c r="T100" t="str">
        <f>'[2]DATOS DOCENTES'!$D99</f>
        <v>Behrens Cervoni, Denise</v>
      </c>
    </row>
    <row r="101" spans="19:20">
      <c r="S101" t="str">
        <f>IF('[1]REGISTRO ECTS TFT'!$J106&gt;0,'[1]REGISTRO ECTS TFT'!$B106,"")</f>
        <v/>
      </c>
      <c r="T101" t="str">
        <f>'[2]DATOS DOCENTES'!$D100</f>
        <v>Belda Ferri, Lorena</v>
      </c>
    </row>
    <row r="102" spans="19:20">
      <c r="S102" t="str">
        <f>IF('[1]REGISTRO ECTS TFT'!$J107&gt;0,'[1]REGISTRO ECTS TFT'!$B107,"")</f>
        <v>Sendra Ortola, Miquel</v>
      </c>
      <c r="T102" t="str">
        <f>'[2]DATOS DOCENTES'!$D101</f>
        <v>Bellanco Sevilla, Alicia</v>
      </c>
    </row>
    <row r="103" spans="19:20">
      <c r="S103" t="str">
        <f>IF('[1]REGISTRO ECTS TFT'!$J108&gt;0,'[1]REGISTRO ECTS TFT'!$B108,"")</f>
        <v/>
      </c>
      <c r="T103" t="str">
        <f>'[2]DATOS DOCENTES'!$D102</f>
        <v>Belloch Gómez, Raquel</v>
      </c>
    </row>
    <row r="104" spans="19:20">
      <c r="S104" t="str">
        <f>IF('[1]REGISTRO ECTS TFT'!$J109&gt;0,'[1]REGISTRO ECTS TFT'!$B109,"")</f>
        <v>Soler Vila, Paula</v>
      </c>
      <c r="T104" t="str">
        <f>'[2]DATOS DOCENTES'!$D103</f>
        <v>Belloch Mont, Nuria</v>
      </c>
    </row>
    <row r="105" spans="19:20">
      <c r="S105" t="str">
        <f>IF('[1]REGISTRO ECTS TFT'!$J110&gt;0,'[1]REGISTRO ECTS TFT'!$B110,"")</f>
        <v/>
      </c>
      <c r="T105" t="str">
        <f>'[2]DATOS DOCENTES'!$D104</f>
        <v>Benavent Cervera, José Vicente</v>
      </c>
    </row>
    <row r="106" spans="19:20">
      <c r="S106" t="str">
        <f>IF('[1]REGISTRO ECTS TFT'!$J111&gt;0,'[1]REGISTRO ECTS TFT'!$B111,"")</f>
        <v/>
      </c>
      <c r="T106" t="str">
        <f>'[2]DATOS DOCENTES'!$D105</f>
        <v>Benetó Gandía, Noelia</v>
      </c>
    </row>
    <row r="107" spans="19:20">
      <c r="S107" t="str">
        <f>IF('[1]REGISTRO ECTS TFT'!$J112&gt;0,'[1]REGISTRO ECTS TFT'!$B112,"")</f>
        <v/>
      </c>
      <c r="T107" t="str">
        <f>'[2]DATOS DOCENTES'!$D106</f>
        <v>Benito Ballesteros, Álvaro</v>
      </c>
    </row>
    <row r="108" spans="19:20">
      <c r="S108" t="str">
        <f>IF('[1]REGISTRO ECTS TFT'!$J113&gt;0,'[1]REGISTRO ECTS TFT'!$B113,"")</f>
        <v/>
      </c>
      <c r="T108" t="str">
        <f>'[2]DATOS DOCENTES'!$D107</f>
        <v>Benito Lara, Elena</v>
      </c>
    </row>
    <row r="109" spans="19:20">
      <c r="S109" t="str">
        <f>IF('[1]REGISTRO ECTS TFT'!$J114&gt;0,'[1]REGISTRO ECTS TFT'!$B114,"")</f>
        <v/>
      </c>
      <c r="T109" t="str">
        <f>'[2]DATOS DOCENTES'!$D108</f>
        <v>Bensaboura L'Assri, Ibtissam</v>
      </c>
    </row>
    <row r="110" spans="19:20">
      <c r="S110" t="str">
        <f>IF('[1]REGISTRO ECTS TFT'!$J115&gt;0,'[1]REGISTRO ECTS TFT'!$B115,"")</f>
        <v/>
      </c>
      <c r="T110" t="str">
        <f>'[2]DATOS DOCENTES'!$D109</f>
        <v>Bermejo Ruiz, José Luis</v>
      </c>
    </row>
    <row r="111" spans="19:20">
      <c r="S111" t="str">
        <f>IF('[1]REGISTRO ECTS TFT'!$J116&gt;0,'[1]REGISTRO ECTS TFT'!$B116,"")</f>
        <v>Torres Moral, Teresa</v>
      </c>
      <c r="T111" t="str">
        <f>'[2]DATOS DOCENTES'!$D110</f>
        <v>Bernárdez Menéndez, Cristina</v>
      </c>
    </row>
    <row r="112" spans="19:20">
      <c r="S112" t="str">
        <f>IF('[1]REGISTRO ECTS TFT'!$J117&gt;0,'[1]REGISTRO ECTS TFT'!$B117,"")</f>
        <v/>
      </c>
      <c r="T112" t="str">
        <f>'[2]DATOS DOCENTES'!$D111</f>
        <v>Berral Ortiz, Blanca</v>
      </c>
    </row>
    <row r="113" spans="19:20">
      <c r="S113" t="str">
        <f>IF('[1]REGISTRO ECTS TFT'!$J118&gt;0,'[1]REGISTRO ECTS TFT'!$B118,"")</f>
        <v>Vallalta Rueda, Juan Francisco</v>
      </c>
      <c r="T113" t="str">
        <f>'[2]DATOS DOCENTES'!$D112</f>
        <v>Berrio Beltrán, Ángela</v>
      </c>
    </row>
    <row r="114" spans="19:20">
      <c r="S114" t="str">
        <f>IF('[1]REGISTRO ECTS TFT'!$J119&gt;0,'[1]REGISTRO ECTS TFT'!$B119,"")</f>
        <v/>
      </c>
      <c r="T114" t="str">
        <f>'[2]DATOS DOCENTES'!$D113</f>
        <v>Bertomeu Heras, Vanessa</v>
      </c>
    </row>
    <row r="115" spans="19:20">
      <c r="S115" t="str">
        <f>IF('[1]REGISTRO ECTS TFT'!$J120&gt;0,'[1]REGISTRO ECTS TFT'!$B120,"")</f>
        <v/>
      </c>
      <c r="T115" t="str">
        <f>'[2]DATOS DOCENTES'!$D114</f>
        <v>Bescós Marco, Pedro David</v>
      </c>
    </row>
    <row r="116" spans="19:20">
      <c r="S116" t="str">
        <f>IF('[1]REGISTRO ECTS TFT'!$J121&gt;0,'[1]REGISTRO ECTS TFT'!$B121,"")</f>
        <v/>
      </c>
      <c r="T116" t="str">
        <f>'[2]DATOS DOCENTES'!$D115</f>
        <v>Bezos Roseñada, Laura</v>
      </c>
    </row>
    <row r="117" spans="19:20">
      <c r="S117" t="str">
        <f>IF('[1]REGISTRO ECTS TFT'!$J122&gt;0,'[1]REGISTRO ECTS TFT'!$B122,"")</f>
        <v/>
      </c>
      <c r="T117" t="str">
        <f>'[2]DATOS DOCENTES'!$D116</f>
        <v>Bigay Mercedes, Bary Georderly</v>
      </c>
    </row>
    <row r="118" spans="19:20">
      <c r="S118" t="str">
        <f>IF('[1]REGISTRO ECTS TFT'!$J123&gt;0,'[1]REGISTRO ECTS TFT'!$B123,"")</f>
        <v/>
      </c>
      <c r="T118" t="str">
        <f>'[2]DATOS DOCENTES'!$D117</f>
        <v>Bisetto Pons, David</v>
      </c>
    </row>
    <row r="119" spans="19:20">
      <c r="S119" t="str">
        <f>IF('[1]REGISTRO ECTS TFT'!$J124&gt;0,'[1]REGISTRO ECTS TFT'!$B124,"")</f>
        <v/>
      </c>
      <c r="T119" t="str">
        <f>'[2]DATOS DOCENTES'!$D118</f>
        <v>Blanco Donoso, Luis Manuel</v>
      </c>
    </row>
    <row r="120" spans="19:20">
      <c r="S120" t="str">
        <f>IF('[1]REGISTRO ECTS TFT'!$J125&gt;0,'[1]REGISTRO ECTS TFT'!$B125,"")</f>
        <v/>
      </c>
      <c r="T120" t="str">
        <f>'[2]DATOS DOCENTES'!$D119</f>
        <v>Blanco Fernández, Susana</v>
      </c>
    </row>
    <row r="121" spans="19:20">
      <c r="S121" t="str">
        <f>IF('[1]REGISTRO ECTS TFT'!$J126&gt;0,'[1]REGISTRO ECTS TFT'!$B126,"")</f>
        <v/>
      </c>
      <c r="T121" t="str">
        <f>'[2]DATOS DOCENTES'!$D120</f>
        <v>Blanco Núñez, Basilio</v>
      </c>
    </row>
    <row r="122" spans="19:20">
      <c r="S122" t="str">
        <f>IF('[1]REGISTRO ECTS TFT'!$J127&gt;0,'[1]REGISTRO ECTS TFT'!$B127,"")</f>
        <v/>
      </c>
      <c r="T122" t="str">
        <f>'[2]DATOS DOCENTES'!$D121</f>
        <v>Blanco Ortiz, Diego</v>
      </c>
    </row>
    <row r="123" spans="19:20">
      <c r="S123" t="str">
        <f>IF('[1]REGISTRO ECTS TFT'!$J128&gt;0,'[1]REGISTRO ECTS TFT'!$B128,"")</f>
        <v/>
      </c>
      <c r="T123" t="str">
        <f>'[2]DATOS DOCENTES'!$D122</f>
        <v>Blasco Tesán, Berta</v>
      </c>
    </row>
    <row r="124" spans="19:20">
      <c r="S124" t="str">
        <f>IF('[1]REGISTRO ECTS TFT'!$J129&gt;0,'[1]REGISTRO ECTS TFT'!$B129,"")</f>
        <v/>
      </c>
      <c r="T124" t="str">
        <f>'[2]DATOS DOCENTES'!$D123</f>
        <v>Blaya Sánchez, Miguel Ángel</v>
      </c>
    </row>
    <row r="125" spans="19:20">
      <c r="S125" t="str">
        <f>IF('[1]REGISTRO ECTS TFT'!$J130&gt;0,'[1]REGISTRO ECTS TFT'!$B130,"")</f>
        <v/>
      </c>
      <c r="T125" t="str">
        <f>'[2]DATOS DOCENTES'!$D124</f>
        <v>Bobo Jiménez, Verónica</v>
      </c>
    </row>
    <row r="126" spans="19:20">
      <c r="S126" t="str">
        <f>IF('[1]REGISTRO ECTS TFT'!$J131&gt;0,'[1]REGISTRO ECTS TFT'!$B131,"")</f>
        <v/>
      </c>
      <c r="T126" t="str">
        <f>'[2]DATOS DOCENTES'!$D125</f>
        <v>Boemo Prieto, María Teresa</v>
      </c>
    </row>
    <row r="127" spans="19:20">
      <c r="S127" t="str">
        <f>IF('[1]REGISTRO ECTS TFT'!$J132&gt;0,'[1]REGISTRO ECTS TFT'!$B132,"")</f>
        <v/>
      </c>
      <c r="T127" t="str">
        <f>'[2]DATOS DOCENTES'!$D126</f>
        <v>Bogetti, Celeste</v>
      </c>
    </row>
    <row r="128" spans="19:20">
      <c r="S128" t="str">
        <f>IF('[1]REGISTRO ECTS TFT'!$J133&gt;0,'[1]REGISTRO ECTS TFT'!$B133,"")</f>
        <v/>
      </c>
      <c r="T128" t="str">
        <f>'[2]DATOS DOCENTES'!$D127</f>
        <v>Bolmida, Mauro</v>
      </c>
    </row>
    <row r="129" spans="19:20">
      <c r="S129" t="str">
        <f>IF('[1]REGISTRO ECTS TFT'!$J134&gt;0,'[1]REGISTRO ECTS TFT'!$B134,"")</f>
        <v/>
      </c>
      <c r="T129" t="str">
        <f>'[2]DATOS DOCENTES'!$D128</f>
        <v>Bonillo Llavero, Beatriz María</v>
      </c>
    </row>
    <row r="130" spans="19:20">
      <c r="S130" t="str">
        <f>IF('[1]REGISTRO ECTS TFT'!$J135&gt;0,'[1]REGISTRO ECTS TFT'!$B135,"")</f>
        <v/>
      </c>
      <c r="T130" t="str">
        <f>'[2]DATOS DOCENTES'!$D129</f>
        <v>Bonito Gadella, Juan Carlos</v>
      </c>
    </row>
    <row r="131" spans="19:20">
      <c r="S131" t="str">
        <f>IF('[1]REGISTRO ECTS TFT'!$J136&gt;0,'[1]REGISTRO ECTS TFT'!$B136,"")</f>
        <v/>
      </c>
      <c r="T131" t="str">
        <f>'[2]DATOS DOCENTES'!$D130</f>
        <v>Bonzi, Carolina</v>
      </c>
    </row>
    <row r="132" spans="19:20">
      <c r="S132" t="str">
        <f>IF('[1]REGISTRO ECTS TFT'!$J137&gt;0,'[1]REGISTRO ECTS TFT'!$B137,"")</f>
        <v/>
      </c>
      <c r="T132" t="str">
        <f>'[2]DATOS DOCENTES'!$D131</f>
        <v>Borao Zabala, Luis</v>
      </c>
    </row>
    <row r="133" spans="19:20">
      <c r="S133" t="str">
        <f>IF('[1]REGISTRO ECTS TFT'!$J138&gt;0,'[1]REGISTRO ECTS TFT'!$B138,"")</f>
        <v/>
      </c>
      <c r="T133" t="str">
        <f>'[2]DATOS DOCENTES'!$D132</f>
        <v>Bove Farré, Isabel</v>
      </c>
    </row>
    <row r="134" spans="19:20">
      <c r="S134" t="str">
        <f>IF('[1]REGISTRO ECTS TFT'!$J139&gt;0,'[1]REGISTRO ECTS TFT'!$B139,"")</f>
        <v/>
      </c>
      <c r="T134" t="str">
        <f>'[2]DATOS DOCENTES'!$D133</f>
        <v>Bravo Correa, Montserrat</v>
      </c>
    </row>
    <row r="135" spans="19:20">
      <c r="S135" t="str">
        <f>IF('[1]REGISTRO ECTS TFT'!$J140&gt;0,'[1]REGISTRO ECTS TFT'!$B140,"")</f>
        <v/>
      </c>
      <c r="T135" t="str">
        <f>'[2]DATOS DOCENTES'!$D134</f>
        <v>Bretaña Alberdi, Ione</v>
      </c>
    </row>
    <row r="136" spans="19:20">
      <c r="S136" t="str">
        <f>IF('[1]REGISTRO ECTS TFT'!$J141&gt;0,'[1]REGISTRO ECTS TFT'!$B141,"")</f>
        <v/>
      </c>
      <c r="T136" t="str">
        <f>'[2]DATOS DOCENTES'!$D135</f>
        <v>Brito Sánchez, Ana Isabel</v>
      </c>
    </row>
    <row r="137" spans="19:20">
      <c r="S137" t="str">
        <f>IF('[1]REGISTRO ECTS TFT'!$J142&gt;0,'[1]REGISTRO ECTS TFT'!$B142,"")</f>
        <v/>
      </c>
      <c r="T137" t="str">
        <f>'[2]DATOS DOCENTES'!$D136</f>
        <v>Brocal Ruiz, Rebeca</v>
      </c>
    </row>
    <row r="138" spans="19:20">
      <c r="S138" t="str">
        <f>IF('[1]REGISTRO ECTS TFT'!$J143&gt;0,'[1]REGISTRO ECTS TFT'!$B143,"")</f>
        <v/>
      </c>
      <c r="T138" t="str">
        <f>'[2]DATOS DOCENTES'!$D137</f>
        <v>Budia Velo, José Miguel</v>
      </c>
    </row>
    <row r="139" spans="19:20">
      <c r="S139" t="str">
        <f>IF('[1]REGISTRO ECTS TFT'!$J144&gt;0,'[1]REGISTRO ECTS TFT'!$B144,"")</f>
        <v/>
      </c>
      <c r="T139" t="str">
        <f>'[2]DATOS DOCENTES'!$D138</f>
        <v>Bueno Fortes, Santiago</v>
      </c>
    </row>
    <row r="140" spans="19:20">
      <c r="S140" t="str">
        <f>IF('[1]REGISTRO ECTS TFT'!$J145&gt;0,'[1]REGISTRO ECTS TFT'!$B145,"")</f>
        <v/>
      </c>
      <c r="T140" t="str">
        <f>'[2]DATOS DOCENTES'!$D139</f>
        <v>Bullón Benito, Elisa</v>
      </c>
    </row>
    <row r="141" spans="19:20">
      <c r="S141" t="str">
        <f>IF('[1]REGISTRO ECTS TFT'!$J146&gt;0,'[1]REGISTRO ECTS TFT'!$B146,"")</f>
        <v/>
      </c>
      <c r="T141" t="str">
        <f>'[2]DATOS DOCENTES'!$D140</f>
        <v>Burdeos Palau, Elena</v>
      </c>
    </row>
    <row r="142" spans="19:20">
      <c r="S142" t="str">
        <f>IF('[1]REGISTRO ECTS TFT'!$J147&gt;0,'[1]REGISTRO ECTS TFT'!$B147,"")</f>
        <v/>
      </c>
      <c r="T142" t="str">
        <f>'[2]DATOS DOCENTES'!$D141</f>
        <v>Burgos Esteban, Amaya</v>
      </c>
    </row>
    <row r="143" spans="19:20">
      <c r="S143" t="str">
        <f>IF('[1]REGISTRO ECTS TFT'!$J148&gt;0,'[1]REGISTRO ECTS TFT'!$B148,"")</f>
        <v/>
      </c>
      <c r="T143" t="str">
        <f>'[2]DATOS DOCENTES'!$D142</f>
        <v>Burgos Jiménez, Rubén Jorge</v>
      </c>
    </row>
    <row r="144" spans="19:20">
      <c r="S144" t="str">
        <f>IF('[1]REGISTRO ECTS TFT'!$J149&gt;0,'[1]REGISTRO ECTS TFT'!$B149,"")</f>
        <v/>
      </c>
      <c r="T144" t="str">
        <f>'[2]DATOS DOCENTES'!$D143</f>
        <v>Burgos Panadero, Rebeca</v>
      </c>
    </row>
    <row r="145" spans="19:20">
      <c r="S145" t="str">
        <f>IF('[1]REGISTRO ECTS TFT'!$J150&gt;0,'[1]REGISTRO ECTS TFT'!$B150,"")</f>
        <v/>
      </c>
      <c r="T145" t="str">
        <f>'[2]DATOS DOCENTES'!$D144</f>
        <v>Cabedo Peris, Javier</v>
      </c>
    </row>
    <row r="146" spans="19:20">
      <c r="S146" t="str">
        <f>IF('[1]REGISTRO ECTS TFT'!$J151&gt;0,'[1]REGISTRO ECTS TFT'!$B151,"")</f>
        <v/>
      </c>
      <c r="T146" t="str">
        <f>'[2]DATOS DOCENTES'!$D145</f>
        <v>Cabello Navarro, Paula</v>
      </c>
    </row>
    <row r="147" spans="19:20">
      <c r="S147" t="str">
        <f>IF('[1]REGISTRO ECTS TFT'!$J152&gt;0,'[1]REGISTRO ECTS TFT'!$B152,"")</f>
        <v/>
      </c>
      <c r="T147" t="str">
        <f>'[2]DATOS DOCENTES'!$D146</f>
        <v>Cabello Vives, Mercedes Yolanda</v>
      </c>
    </row>
    <row r="148" spans="19:20">
      <c r="S148" t="str">
        <f>IF('[1]REGISTRO ECTS TFT'!$J153&gt;0,'[1]REGISTRO ECTS TFT'!$B153,"")</f>
        <v/>
      </c>
      <c r="T148" t="str">
        <f>'[2]DATOS DOCENTES'!$D147</f>
        <v>Cabellos García, Ana Cristina</v>
      </c>
    </row>
    <row r="149" spans="19:20">
      <c r="S149" t="str">
        <f>IF('[1]REGISTRO ECTS TFT'!$J154&gt;0,'[1]REGISTRO ECTS TFT'!$B154,"")</f>
        <v/>
      </c>
      <c r="T149" t="str">
        <f>'[2]DATOS DOCENTES'!$D148</f>
        <v>Cabezas García, Silvestre</v>
      </c>
    </row>
    <row r="150" spans="19:20">
      <c r="S150" t="str">
        <f>IF('[1]REGISTRO ECTS TFT'!$J155&gt;0,'[1]REGISTRO ECTS TFT'!$B155,"")</f>
        <v/>
      </c>
      <c r="T150" t="str">
        <f>'[2]DATOS DOCENTES'!$D149</f>
        <v>Cabo Meseguer, Asensio Francisco</v>
      </c>
    </row>
    <row r="151" spans="19:20">
      <c r="S151" t="str">
        <f>IF('[1]REGISTRO ECTS TFT'!$J156&gt;0,'[1]REGISTRO ECTS TFT'!$B156,"")</f>
        <v/>
      </c>
      <c r="T151" t="str">
        <f>'[2]DATOS DOCENTES'!$D150</f>
        <v>Cabré García, Marta</v>
      </c>
    </row>
    <row r="152" spans="19:20">
      <c r="S152" t="str">
        <f>IF('[1]REGISTRO ECTS TFT'!$J157&gt;0,'[1]REGISTRO ECTS TFT'!$B157,"")</f>
        <v/>
      </c>
      <c r="T152" t="str">
        <f>'[2]DATOS DOCENTES'!$D151</f>
        <v>Cáceres Alfonso, Rebeca</v>
      </c>
    </row>
    <row r="153" spans="19:20">
      <c r="S153" t="str">
        <f>IF('[1]REGISTRO ECTS TFT'!$J158&gt;0,'[1]REGISTRO ECTS TFT'!$B158,"")</f>
        <v/>
      </c>
      <c r="T153" t="str">
        <f>'[2]DATOS DOCENTES'!$D152</f>
        <v>Cairós González, Mariana Elena</v>
      </c>
    </row>
    <row r="154" spans="19:20">
      <c r="S154" t="str">
        <f>IF('[1]REGISTRO ECTS TFT'!$J159&gt;0,'[1]REGISTRO ECTS TFT'!$B159,"")</f>
        <v/>
      </c>
      <c r="T154" t="str">
        <f>'[2]DATOS DOCENTES'!$D153</f>
        <v>Calle Ibáñez, Ada Jianmei</v>
      </c>
    </row>
    <row r="155" spans="19:20">
      <c r="S155" t="str">
        <f>IF('[1]REGISTRO ECTS TFT'!$J160&gt;0,'[1]REGISTRO ECTS TFT'!$B160,"")</f>
        <v/>
      </c>
      <c r="T155" t="str">
        <f>'[2]DATOS DOCENTES'!$D154</f>
        <v>Camacho Ruiz, Julio Ángel</v>
      </c>
    </row>
    <row r="156" spans="19:20">
      <c r="S156" t="str">
        <f>IF('[1]REGISTRO ECTS TFT'!$J161&gt;0,'[1]REGISTRO ECTS TFT'!$B161,"")</f>
        <v/>
      </c>
      <c r="T156" t="str">
        <f>'[2]DATOS DOCENTES'!$D155</f>
        <v>Cámara Navarro, Nuria</v>
      </c>
    </row>
    <row r="157" spans="19:20">
      <c r="S157" t="str">
        <f>IF('[1]REGISTRO ECTS TFT'!$J162&gt;0,'[1]REGISTRO ECTS TFT'!$B162,"")</f>
        <v/>
      </c>
      <c r="T157" t="str">
        <f>'[2]DATOS DOCENTES'!$D156</f>
        <v>Cámara Navarro, Raquel</v>
      </c>
    </row>
    <row r="158" spans="19:20">
      <c r="S158" t="str">
        <f>IF('[1]REGISTRO ECTS TFT'!$J163&gt;0,'[1]REGISTRO ECTS TFT'!$B163,"")</f>
        <v/>
      </c>
      <c r="T158" t="str">
        <f>'[2]DATOS DOCENTES'!$D157</f>
        <v>Cambas Muñoz, Cristina</v>
      </c>
    </row>
    <row r="159" spans="19:20">
      <c r="S159" t="str">
        <f>IF('[1]REGISTRO ECTS TFT'!$J164&gt;0,'[1]REGISTRO ECTS TFT'!$B164,"")</f>
        <v/>
      </c>
      <c r="T159" t="str">
        <f>'[2]DATOS DOCENTES'!$D158</f>
        <v>Campla Bolivar, Xaviera Paz</v>
      </c>
    </row>
    <row r="160" spans="19:20">
      <c r="S160" t="str">
        <f>IF('[1]REGISTRO ECTS TFT'!$J165&gt;0,'[1]REGISTRO ECTS TFT'!$B165,"")</f>
        <v/>
      </c>
      <c r="T160" t="str">
        <f>'[2]DATOS DOCENTES'!$D159</f>
        <v>Campos de Miranda, Vanessa Helena</v>
      </c>
    </row>
    <row r="161" spans="19:20">
      <c r="S161" t="str">
        <f>IF('[1]REGISTRO ECTS TFT'!$J166&gt;0,'[1]REGISTRO ECTS TFT'!$B166,"")</f>
        <v/>
      </c>
      <c r="T161" t="str">
        <f>'[2]DATOS DOCENTES'!$D160</f>
        <v>Camprodon Boadas, Patricia</v>
      </c>
    </row>
    <row r="162" spans="19:20">
      <c r="S162" t="str">
        <f>IF('[1]REGISTRO ECTS TFT'!$J167&gt;0,'[1]REGISTRO ECTS TFT'!$B167,"")</f>
        <v/>
      </c>
      <c r="T162" t="str">
        <f>'[2]DATOS DOCENTES'!$D161</f>
        <v>Cañas Cañas, Rubén</v>
      </c>
    </row>
    <row r="163" spans="19:20">
      <c r="S163" t="str">
        <f>IF('[1]REGISTRO ECTS TFT'!$J168&gt;0,'[1]REGISTRO ECTS TFT'!$B168,"")</f>
        <v/>
      </c>
      <c r="T163" t="str">
        <f>'[2]DATOS DOCENTES'!$D162</f>
        <v>Cano Climent, Antoni</v>
      </c>
    </row>
    <row r="164" spans="19:20">
      <c r="S164" t="str">
        <f>IF('[1]REGISTRO ECTS TFT'!$J169&gt;0,'[1]REGISTRO ECTS TFT'!$B169,"")</f>
        <v/>
      </c>
      <c r="T164" t="str">
        <f>'[2]DATOS DOCENTES'!$D163</f>
        <v>Cano Escalera, Guillermo</v>
      </c>
    </row>
    <row r="165" spans="19:20">
      <c r="S165" t="str">
        <f>IF('[1]REGISTRO ECTS TFT'!$J170&gt;0,'[1]REGISTRO ECTS TFT'!$B170,"")</f>
        <v/>
      </c>
      <c r="T165" t="str">
        <f>'[2]DATOS DOCENTES'!$D164</f>
        <v>Cano López, Irene</v>
      </c>
    </row>
    <row r="166" spans="19:20">
      <c r="S166" t="str">
        <f>IF('[1]REGISTRO ECTS TFT'!$J171&gt;0,'[1]REGISTRO ECTS TFT'!$B171,"")</f>
        <v/>
      </c>
      <c r="T166" t="str">
        <f>'[2]DATOS DOCENTES'!$D165</f>
        <v>Cano Villagrasa, Alejandro</v>
      </c>
    </row>
    <row r="167" spans="19:20">
      <c r="S167" t="str">
        <f>IF('[1]REGISTRO ECTS TFT'!$J172&gt;0,'[1]REGISTRO ECTS TFT'!$B172,"")</f>
        <v/>
      </c>
      <c r="T167" t="str">
        <f>'[2]DATOS DOCENTES'!$D166</f>
        <v>Cantero García, María Francisca</v>
      </c>
    </row>
    <row r="168" spans="19:20">
      <c r="S168" t="str">
        <f>IF('[1]REGISTRO ECTS TFT'!$J173&gt;0,'[1]REGISTRO ECTS TFT'!$B173,"")</f>
        <v/>
      </c>
      <c r="T168" t="str">
        <f>'[2]DATOS DOCENTES'!$D167</f>
        <v>Cantón Habas, Vanesa</v>
      </c>
    </row>
    <row r="169" spans="19:20">
      <c r="S169" t="str">
        <f>IF('[1]REGISTRO ECTS TFT'!$J174&gt;0,'[1]REGISTRO ECTS TFT'!$B174,"")</f>
        <v/>
      </c>
      <c r="T169" t="str">
        <f>'[2]DATOS DOCENTES'!$D168</f>
        <v>Caparrós González, Rafael Arcangel</v>
      </c>
    </row>
    <row r="170" spans="19:20">
      <c r="S170" t="str">
        <f>IF('[1]REGISTRO ECTS TFT'!$J175&gt;0,'[1]REGISTRO ECTS TFT'!$B175,"")</f>
        <v/>
      </c>
      <c r="T170" t="str">
        <f>'[2]DATOS DOCENTES'!$D169</f>
        <v>Carbajo García, Maria Cristina</v>
      </c>
    </row>
    <row r="171" spans="19:20">
      <c r="S171" t="str">
        <f>IF('[1]REGISTRO ECTS TFT'!$J176&gt;0,'[1]REGISTRO ECTS TFT'!$B176,"")</f>
        <v/>
      </c>
      <c r="T171" t="str">
        <f>'[2]DATOS DOCENTES'!$D170</f>
        <v>Carbonell Bernal, Noelia</v>
      </c>
    </row>
    <row r="172" spans="19:20">
      <c r="S172" t="str">
        <f>IF('[1]REGISTRO ECTS TFT'!$J177&gt;0,'[1]REGISTRO ECTS TFT'!$B177,"")</f>
        <v/>
      </c>
      <c r="T172" t="str">
        <f>'[2]DATOS DOCENTES'!$D171</f>
        <v>Cárcel Valle, Lucía</v>
      </c>
    </row>
    <row r="173" spans="19:20">
      <c r="S173" t="str">
        <f>IF('[1]REGISTRO ECTS TFT'!$J178&gt;0,'[1]REGISTRO ECTS TFT'!$B178,"")</f>
        <v/>
      </c>
      <c r="T173" t="str">
        <f>'[2]DATOS DOCENTES'!$D172</f>
        <v>Carda Diéguez, Miguel</v>
      </c>
    </row>
    <row r="174" spans="19:20">
      <c r="S174" t="str">
        <f>IF('[1]REGISTRO ECTS TFT'!$J179&gt;0,'[1]REGISTRO ECTS TFT'!$B179,"")</f>
        <v/>
      </c>
      <c r="T174" t="str">
        <f>'[2]DATOS DOCENTES'!$D173</f>
        <v>Cardona Serrate, Fernando</v>
      </c>
    </row>
    <row r="175" spans="19:20">
      <c r="S175" t="str">
        <f>IF('[1]REGISTRO ECTS TFT'!$J180&gt;0,'[1]REGISTRO ECTS TFT'!$B180,"")</f>
        <v/>
      </c>
      <c r="T175" t="str">
        <f>'[2]DATOS DOCENTES'!$D174</f>
        <v>Carmona Rincón, Isaac</v>
      </c>
    </row>
    <row r="176" spans="19:20">
      <c r="S176" t="str">
        <f>IF('[1]REGISTRO ECTS TFT'!$J181&gt;0,'[1]REGISTRO ECTS TFT'!$B181,"")</f>
        <v/>
      </c>
      <c r="T176" t="str">
        <f>'[2]DATOS DOCENTES'!$D175</f>
        <v>Carmona Vicente, Noelia</v>
      </c>
    </row>
    <row r="177" spans="19:20">
      <c r="S177" t="str">
        <f>IF('[1]REGISTRO ECTS TFT'!$J182&gt;0,'[1]REGISTRO ECTS TFT'!$B182,"")</f>
        <v/>
      </c>
      <c r="T177" t="str">
        <f>'[2]DATOS DOCENTES'!$D176</f>
        <v>Carrascosa Martinez, Esther</v>
      </c>
    </row>
    <row r="178" spans="19:20">
      <c r="S178" t="str">
        <f>IF('[1]REGISTRO ECTS TFT'!$J183&gt;0,'[1]REGISTRO ECTS TFT'!$B183,"")</f>
        <v/>
      </c>
      <c r="T178" t="str">
        <f>'[2]DATOS DOCENTES'!$D177</f>
        <v>Carreras del Rincón, Joan</v>
      </c>
    </row>
    <row r="179" spans="19:20">
      <c r="S179" t="str">
        <f>IF('[1]REGISTRO ECTS TFT'!$J184&gt;0,'[1]REGISTRO ECTS TFT'!$B184,"")</f>
        <v/>
      </c>
      <c r="T179" t="str">
        <f>'[2]DATOS DOCENTES'!$D178</f>
        <v>Carrero Puerto, María de los Ángeles</v>
      </c>
    </row>
    <row r="180" spans="19:20">
      <c r="S180" t="str">
        <f>IF('[1]REGISTRO ECTS TFT'!$J185&gt;0,'[1]REGISTRO ECTS TFT'!$B185,"")</f>
        <v/>
      </c>
      <c r="T180" t="str">
        <f>'[2]DATOS DOCENTES'!$D179</f>
        <v>Cartas Cejudo, Paz</v>
      </c>
    </row>
    <row r="181" spans="19:20">
      <c r="S181" t="str">
        <f>IF('[1]REGISTRO ECTS TFT'!$J186&gt;0,'[1]REGISTRO ECTS TFT'!$B186,"")</f>
        <v/>
      </c>
      <c r="T181" t="str">
        <f>'[2]DATOS DOCENTES'!$D180</f>
        <v>Casabó Vallés, Germán</v>
      </c>
    </row>
    <row r="182" spans="19:20">
      <c r="S182" t="str">
        <f>IF('[1]REGISTRO ECTS TFT'!$J187&gt;0,'[1]REGISTRO ECTS TFT'!$B187,"")</f>
        <v>Bigay Mercedes, Bary Georderly</v>
      </c>
      <c r="T182" t="str">
        <f>'[2]DATOS DOCENTES'!$D181</f>
        <v>Casaña Mohedo, Jorge</v>
      </c>
    </row>
    <row r="183" spans="19:20">
      <c r="S183" t="str">
        <f>IF('[1]REGISTRO ECTS TFT'!$J188&gt;0,'[1]REGISTRO ECTS TFT'!$B188,"")</f>
        <v/>
      </c>
      <c r="T183" t="str">
        <f>'[2]DATOS DOCENTES'!$D182</f>
        <v>Cassetti, Viola</v>
      </c>
    </row>
    <row r="184" spans="19:20">
      <c r="S184" t="str">
        <f>IF('[1]REGISTRO ECTS TFT'!$J189&gt;0,'[1]REGISTRO ECTS TFT'!$B189,"")</f>
        <v/>
      </c>
      <c r="T184" t="str">
        <f>'[2]DATOS DOCENTES'!$D183</f>
        <v>Castañ Navarro, Isabel</v>
      </c>
    </row>
    <row r="185" spans="19:20">
      <c r="S185" t="str">
        <f>IF('[1]REGISTRO ECTS TFT'!$J190&gt;0,'[1]REGISTRO ECTS TFT'!$B190,"")</f>
        <v/>
      </c>
      <c r="T185" t="str">
        <f>'[2]DATOS DOCENTES'!$D184</f>
        <v>Castiñeira Reis, Marta</v>
      </c>
    </row>
    <row r="186" spans="19:20">
      <c r="S186" t="str">
        <f>IF('[1]REGISTRO ECTS TFT'!$J191&gt;0,'[1]REGISTRO ECTS TFT'!$B191,"")</f>
        <v/>
      </c>
      <c r="T186" t="str">
        <f>'[2]DATOS DOCENTES'!$D185</f>
        <v>Castro Cañizares, Danilka</v>
      </c>
    </row>
    <row r="187" spans="19:20">
      <c r="S187" t="str">
        <f>IF('[1]REGISTRO ECTS TFT'!$J192&gt;0,'[1]REGISTRO ECTS TFT'!$B192,"")</f>
        <v/>
      </c>
      <c r="T187" t="str">
        <f>'[2]DATOS DOCENTES'!$D186</f>
        <v>Castro Rubio, Bárbara</v>
      </c>
    </row>
    <row r="188" spans="19:20">
      <c r="S188" t="str">
        <f>IF('[1]REGISTRO ECTS TFT'!$J193&gt;0,'[1]REGISTRO ECTS TFT'!$B193,"")</f>
        <v/>
      </c>
      <c r="T188" t="str">
        <f>'[2]DATOS DOCENTES'!$D187</f>
        <v>Castro Sánchez, Enrique</v>
      </c>
    </row>
    <row r="189" spans="19:20">
      <c r="S189" t="str">
        <f>IF('[1]REGISTRO ECTS TFT'!$J194&gt;0,'[1]REGISTRO ECTS TFT'!$B194,"")</f>
        <v/>
      </c>
      <c r="T189" t="str">
        <f>'[2]DATOS DOCENTES'!$D188</f>
        <v>Castro Zavala, Adriana</v>
      </c>
    </row>
    <row r="190" spans="19:20">
      <c r="S190" t="str">
        <f>IF('[1]REGISTRO ECTS TFT'!$J195&gt;0,'[1]REGISTRO ECTS TFT'!$B195,"")</f>
        <v/>
      </c>
      <c r="T190" t="str">
        <f>'[2]DATOS DOCENTES'!$D189</f>
        <v>Catalán Aguilar, Judit</v>
      </c>
    </row>
    <row r="191" spans="19:20">
      <c r="S191" t="str">
        <f>IF('[1]REGISTRO ECTS TFT'!$J196&gt;0,'[1]REGISTRO ECTS TFT'!$B196,"")</f>
        <v>Bonzi, Carolina</v>
      </c>
      <c r="T191" t="str">
        <f>'[2]DATOS DOCENTES'!$D190</f>
        <v>Catalán Prades, Laura</v>
      </c>
    </row>
    <row r="192" spans="19:20">
      <c r="S192" t="str">
        <f>IF('[1]REGISTRO ECTS TFT'!$J197&gt;0,'[1]REGISTRO ECTS TFT'!$B197,"")</f>
        <v/>
      </c>
      <c r="T192" t="str">
        <f>'[2]DATOS DOCENTES'!$D191</f>
        <v>Caudet Pastor, Carlos</v>
      </c>
    </row>
    <row r="193" spans="19:20">
      <c r="S193" t="str">
        <f>IF('[1]REGISTRO ECTS TFT'!$J198&gt;0,'[1]REGISTRO ECTS TFT'!$B198,"")</f>
        <v/>
      </c>
      <c r="T193" t="str">
        <f>'[2]DATOS DOCENTES'!$D192</f>
        <v>Caurcel Cara, María Jesús</v>
      </c>
    </row>
    <row r="194" spans="19:20">
      <c r="S194" t="str">
        <f>IF('[1]REGISTRO ECTS TFT'!$J199&gt;0,'[1]REGISTRO ECTS TFT'!$B199,"")</f>
        <v/>
      </c>
      <c r="T194" t="str">
        <f>'[2]DATOS DOCENTES'!$D193</f>
        <v>Ceita Builelo, Maria Luisa</v>
      </c>
    </row>
    <row r="195" spans="19:20">
      <c r="S195" t="str">
        <f>IF('[1]REGISTRO ECTS TFT'!$J200&gt;0,'[1]REGISTRO ECTS TFT'!$B200,"")</f>
        <v/>
      </c>
      <c r="T195" t="str">
        <f>'[2]DATOS DOCENTES'!$D194</f>
        <v>Cejalvo Herraiz, Elena</v>
      </c>
    </row>
    <row r="196" spans="19:20">
      <c r="S196" t="str">
        <f>IF('[1]REGISTRO ECTS TFT'!$J201&gt;0,'[1]REGISTRO ECTS TFT'!$B201,"")</f>
        <v/>
      </c>
      <c r="T196" t="str">
        <f>'[2]DATOS DOCENTES'!$D195</f>
        <v>Centelles González, Olga</v>
      </c>
    </row>
    <row r="197" spans="19:20">
      <c r="S197" t="str">
        <f>IF('[1]REGISTRO ECTS TFT'!$J202&gt;0,'[1]REGISTRO ECTS TFT'!$B202,"")</f>
        <v/>
      </c>
      <c r="T197" t="str">
        <f>'[2]DATOS DOCENTES'!$D196</f>
        <v>Cerdá Blasco, María Eugenia</v>
      </c>
    </row>
    <row r="198" spans="19:20">
      <c r="S198" t="str">
        <f>IF('[1]REGISTRO ECTS TFT'!$J203&gt;0,'[1]REGISTRO ECTS TFT'!$B203,"")</f>
        <v/>
      </c>
      <c r="T198" t="str">
        <f>'[2]DATOS DOCENTES'!$D197</f>
        <v>Cervera Vidal, Raimundo</v>
      </c>
    </row>
    <row r="199" spans="19:20">
      <c r="S199" t="str">
        <f>IF('[1]REGISTRO ECTS TFT'!$J204&gt;0,'[1]REGISTRO ECTS TFT'!$B204,"")</f>
        <v/>
      </c>
      <c r="T199" t="str">
        <f>'[2]DATOS DOCENTES'!$D198</f>
        <v>Céspedes Rubio, Claudia Lorena</v>
      </c>
    </row>
    <row r="200" spans="19:20">
      <c r="S200" t="str">
        <f>IF('[1]REGISTRO ECTS TFT'!$J205&gt;0,'[1]REGISTRO ECTS TFT'!$B205,"")</f>
        <v/>
      </c>
      <c r="T200" t="str">
        <f>'[2]DATOS DOCENTES'!$D199</f>
        <v>Cespón González, Jesús</v>
      </c>
    </row>
    <row r="201" spans="19:20">
      <c r="S201" t="str">
        <f>IF('[1]REGISTRO ECTS TFT'!$J206&gt;0,'[1]REGISTRO ECTS TFT'!$B206,"")</f>
        <v/>
      </c>
      <c r="T201" t="str">
        <f>'[2]DATOS DOCENTES'!$D200</f>
        <v>Chagas Lima, Vívian</v>
      </c>
    </row>
    <row r="202" spans="19:20">
      <c r="S202" t="str">
        <f>IF('[1]REGISTRO ECTS TFT'!$J207&gt;0,'[1]REGISTRO ECTS TFT'!$B207,"")</f>
        <v/>
      </c>
      <c r="T202" t="str">
        <f>'[2]DATOS DOCENTES'!$D201</f>
        <v>Chaveco Castillo, Ailién</v>
      </c>
    </row>
    <row r="203" spans="19:20">
      <c r="S203" t="str">
        <f>IF('[1]REGISTRO ECTS TFT'!$J208&gt;0,'[1]REGISTRO ECTS TFT'!$B208,"")</f>
        <v/>
      </c>
      <c r="T203" t="str">
        <f>'[2]DATOS DOCENTES'!$D202</f>
        <v>Chaves Martínez, Felipe Javier</v>
      </c>
    </row>
    <row r="204" spans="19:20">
      <c r="S204" t="str">
        <f>IF('[1]REGISTRO ECTS TFT'!$J209&gt;0,'[1]REGISTRO ECTS TFT'!$B209,"")</f>
        <v/>
      </c>
      <c r="T204" t="str">
        <f>'[2]DATOS DOCENTES'!$D203</f>
        <v>Chesa Carda, Lourdes</v>
      </c>
    </row>
    <row r="205" spans="19:20">
      <c r="S205" t="str">
        <f>IF('[1]REGISTRO ECTS TFT'!$J210&gt;0,'[1]REGISTRO ECTS TFT'!$B210,"")</f>
        <v/>
      </c>
      <c r="T205" t="str">
        <f>'[2]DATOS DOCENTES'!$D204</f>
        <v>Chico Muciño, Verónica</v>
      </c>
    </row>
    <row r="206" spans="19:20">
      <c r="S206" t="str">
        <f>IF('[1]REGISTRO ECTS TFT'!$J211&gt;0,'[1]REGISTRO ECTS TFT'!$B211,"")</f>
        <v/>
      </c>
      <c r="T206" t="str">
        <f>'[2]DATOS DOCENTES'!$D205</f>
        <v>Chino Vilca, Brenda Nadia</v>
      </c>
    </row>
    <row r="207" spans="19:20">
      <c r="S207" t="str">
        <f>IF('[1]REGISTRO ECTS TFT'!$J212&gt;0,'[1]REGISTRO ECTS TFT'!$B212,"")</f>
        <v/>
      </c>
      <c r="T207" t="str">
        <f>'[2]DATOS DOCENTES'!$D206</f>
        <v>Chorén Rodríguez, Susana</v>
      </c>
    </row>
    <row r="208" spans="19:20">
      <c r="S208" t="str">
        <f>IF('[1]REGISTRO ECTS TFT'!$J213&gt;0,'[1]REGISTRO ECTS TFT'!$B213,"")</f>
        <v/>
      </c>
      <c r="T208" t="str">
        <f>'[2]DATOS DOCENTES'!$D207</f>
        <v>Climent Rubio, Andrés</v>
      </c>
    </row>
    <row r="209" spans="19:20">
      <c r="S209" t="str">
        <f>IF('[1]REGISTRO ECTS TFT'!$J214&gt;0,'[1]REGISTRO ECTS TFT'!$B214,"")</f>
        <v/>
      </c>
      <c r="T209" t="str">
        <f>'[2]DATOS DOCENTES'!$D208</f>
        <v>Cobo Sánchez, José Luis</v>
      </c>
    </row>
    <row r="210" spans="19:20">
      <c r="S210" t="str">
        <f>IF('[1]REGISTRO ECTS TFT'!$J215&gt;0,'[1]REGISTRO ECTS TFT'!$B215,"")</f>
        <v/>
      </c>
      <c r="T210" t="str">
        <f>'[2]DATOS DOCENTES'!$D209</f>
        <v>Cobos Jiménez, Estrella</v>
      </c>
    </row>
    <row r="211" spans="19:20">
      <c r="S211" t="str">
        <f>IF('[1]REGISTRO ECTS TFT'!$J216&gt;0,'[1]REGISTRO ECTS TFT'!$B216,"")</f>
        <v/>
      </c>
      <c r="T211" t="str">
        <f>'[2]DATOS DOCENTES'!$D210</f>
        <v>Cócola Coria, Facundo Nicolás</v>
      </c>
    </row>
    <row r="212" spans="19:20">
      <c r="S212" t="str">
        <f>IF('[1]REGISTRO ECTS TFT'!$J217&gt;0,'[1]REGISTRO ECTS TFT'!$B217,"")</f>
        <v/>
      </c>
      <c r="T212" t="str">
        <f>'[2]DATOS DOCENTES'!$D211</f>
        <v>Collado Ruano, Javier</v>
      </c>
    </row>
    <row r="213" spans="19:20">
      <c r="S213" t="str">
        <f>IF('[1]REGISTRO ECTS TFT'!$J218&gt;0,'[1]REGISTRO ECTS TFT'!$B218,"")</f>
        <v/>
      </c>
      <c r="T213" t="str">
        <f>'[2]DATOS DOCENTES'!$D212</f>
        <v>Collado Tortosa, Maria</v>
      </c>
    </row>
    <row r="214" spans="19:20">
      <c r="S214" t="str">
        <f>IF('[1]REGISTRO ECTS TFT'!$J219&gt;0,'[1]REGISTRO ECTS TFT'!$B219,"")</f>
        <v/>
      </c>
      <c r="T214" t="str">
        <f>'[2]DATOS DOCENTES'!$D213</f>
        <v>Collantes Mora, Ana</v>
      </c>
    </row>
    <row r="215" spans="19:20">
      <c r="S215" t="str">
        <f>IF('[1]REGISTRO ECTS TFT'!$J220&gt;0,'[1]REGISTRO ECTS TFT'!$B220,"")</f>
        <v/>
      </c>
      <c r="T215" t="str">
        <f>'[2]DATOS DOCENTES'!$D214</f>
        <v>Colunga Santos, Silvia</v>
      </c>
    </row>
    <row r="216" spans="19:20">
      <c r="S216" t="str">
        <f>IF('[1]REGISTRO ECTS TFT'!$J221&gt;0,'[1]REGISTRO ECTS TFT'!$B221,"")</f>
        <v/>
      </c>
      <c r="T216" t="str">
        <f>'[2]DATOS DOCENTES'!$D215</f>
        <v>Combadiera Gallardo, Lorena</v>
      </c>
    </row>
    <row r="217" spans="19:20">
      <c r="S217" t="str">
        <f>IF('[1]REGISTRO ECTS TFT'!$J222&gt;0,'[1]REGISTRO ECTS TFT'!$B222,"")</f>
        <v/>
      </c>
      <c r="T217" t="str">
        <f>'[2]DATOS DOCENTES'!$D216</f>
        <v>Comes Fayos, Javier</v>
      </c>
    </row>
    <row r="218" spans="19:20">
      <c r="S218" t="str">
        <f>IF('[1]REGISTRO ECTS TFT'!$J223&gt;0,'[1]REGISTRO ECTS TFT'!$B223,"")</f>
        <v/>
      </c>
      <c r="T218" t="str">
        <f>'[2]DATOS DOCENTES'!$D217</f>
        <v>Compañ Bertomeu, Álvaro</v>
      </c>
    </row>
    <row r="219" spans="19:20">
      <c r="S219" t="str">
        <f>IF('[1]REGISTRO ECTS TFT'!$J224&gt;0,'[1]REGISTRO ECTS TFT'!$B224,"")</f>
        <v/>
      </c>
      <c r="T219" t="str">
        <f>'[2]DATOS DOCENTES'!$D218</f>
        <v>Conejero Gascón, Daniel</v>
      </c>
    </row>
    <row r="220" spans="19:20">
      <c r="S220" t="str">
        <f>IF('[1]REGISTRO ECTS TFT'!$J225&gt;0,'[1]REGISTRO ECTS TFT'!$B225,"")</f>
        <v/>
      </c>
      <c r="T220" t="str">
        <f>'[2]DATOS DOCENTES'!$D219</f>
        <v>Corchén Nelli, Federico</v>
      </c>
    </row>
    <row r="221" spans="19:20">
      <c r="S221" t="str">
        <f>IF('[1]REGISTRO ECTS TFT'!$J226&gt;0,'[1]REGISTRO ECTS TFT'!$B226,"")</f>
        <v>Cartas Cejudo, Paz</v>
      </c>
      <c r="T221" t="str">
        <f>'[2]DATOS DOCENTES'!$D220</f>
        <v>Corchón Arreche, Silvia</v>
      </c>
    </row>
    <row r="222" spans="19:20">
      <c r="S222" t="str">
        <f>IF('[1]REGISTRO ECTS TFT'!$J227&gt;0,'[1]REGISTRO ECTS TFT'!$B227,"")</f>
        <v/>
      </c>
      <c r="T222" t="str">
        <f>'[2]DATOS DOCENTES'!$D221</f>
        <v>Corradi, Guido Bartolomé</v>
      </c>
    </row>
    <row r="223" spans="19:20">
      <c r="S223" t="str">
        <f>IF('[1]REGISTRO ECTS TFT'!$J228&gt;0,'[1]REGISTRO ECTS TFT'!$B228,"")</f>
        <v/>
      </c>
      <c r="T223" t="str">
        <f>'[2]DATOS DOCENTES'!$D222</f>
        <v>Corral Martínez, Marta</v>
      </c>
    </row>
    <row r="224" spans="19:20">
      <c r="S224" t="str">
        <f>IF('[1]REGISTRO ECTS TFT'!$J229&gt;0,'[1]REGISTRO ECTS TFT'!$B229,"")</f>
        <v/>
      </c>
      <c r="T224" t="str">
        <f>'[2]DATOS DOCENTES'!$D223</f>
        <v>Corrales Quispiricra, Carmen</v>
      </c>
    </row>
    <row r="225" spans="19:20">
      <c r="S225" t="str">
        <f>IF('[1]REGISTRO ECTS TFT'!$J230&gt;0,'[1]REGISTRO ECTS TFT'!$B230,"")</f>
        <v/>
      </c>
      <c r="T225" t="str">
        <f>'[2]DATOS DOCENTES'!$D224</f>
        <v>Cortés Vergaz, Raquel</v>
      </c>
    </row>
    <row r="226" spans="19:20">
      <c r="S226" t="str">
        <f>IF('[1]REGISTRO ECTS TFT'!$J231&gt;0,'[1]REGISTRO ECTS TFT'!$B231,"")</f>
        <v/>
      </c>
      <c r="T226" t="str">
        <f>'[2]DATOS DOCENTES'!$D225</f>
        <v>Cortizas Vázquez, Marta</v>
      </c>
    </row>
    <row r="227" spans="19:20">
      <c r="S227" t="str">
        <f>IF('[1]REGISTRO ECTS TFT'!$J232&gt;0,'[1]REGISTRO ECTS TFT'!$B232,"")</f>
        <v/>
      </c>
      <c r="T227" t="str">
        <f>'[2]DATOS DOCENTES'!$D226</f>
        <v>Cregenzán Royo, Olga</v>
      </c>
    </row>
    <row r="228" spans="19:20">
      <c r="S228" t="str">
        <f>IF('[1]REGISTRO ECTS TFT'!$J233&gt;0,'[1]REGISTRO ECTS TFT'!$B233,"")</f>
        <v/>
      </c>
      <c r="T228" t="str">
        <f>'[2]DATOS DOCENTES'!$D227</f>
        <v>Crespo Delgado, Elena</v>
      </c>
    </row>
    <row r="229" spans="19:20">
      <c r="S229" t="str">
        <f>IF('[1]REGISTRO ECTS TFT'!$J234&gt;0,'[1]REGISTRO ECTS TFT'!$B234,"")</f>
        <v/>
      </c>
      <c r="T229" t="str">
        <f>'[2]DATOS DOCENTES'!$D228</f>
        <v>Criado del Valle, Carlos Hugo</v>
      </c>
    </row>
    <row r="230" spans="19:20">
      <c r="S230" t="str">
        <f>IF('[1]REGISTRO ECTS TFT'!$J235&gt;0,'[1]REGISTRO ECTS TFT'!$B235,"")</f>
        <v/>
      </c>
      <c r="T230" t="str">
        <f>'[2]DATOS DOCENTES'!$D229</f>
        <v>Cruz Ortiz, Valeria</v>
      </c>
    </row>
    <row r="231" spans="19:20">
      <c r="S231" t="str">
        <f>IF('[1]REGISTRO ECTS TFT'!$J236&gt;0,'[1]REGISTRO ECTS TFT'!$B236,"")</f>
        <v/>
      </c>
      <c r="T231" t="str">
        <f>'[2]DATOS DOCENTES'!$D230</f>
        <v>Cruz Ramos, María Consuelo</v>
      </c>
    </row>
    <row r="232" spans="19:20">
      <c r="S232" t="str">
        <f>IF('[1]REGISTRO ECTS TFT'!$J237&gt;0,'[1]REGISTRO ECTS TFT'!$B237,"")</f>
        <v/>
      </c>
      <c r="T232" t="str">
        <f>'[2]DATOS DOCENTES'!$D231</f>
        <v>Cuenca Gil, Rocío</v>
      </c>
    </row>
    <row r="233" spans="19:20">
      <c r="S233" t="str">
        <f>IF('[1]REGISTRO ECTS TFT'!$J238&gt;0,'[1]REGISTRO ECTS TFT'!$B238,"")</f>
        <v/>
      </c>
      <c r="T233" t="str">
        <f>'[2]DATOS DOCENTES'!$D232</f>
        <v>Cuesta Díaz, Carlos Manuel</v>
      </c>
    </row>
    <row r="234" spans="19:20">
      <c r="S234" t="str">
        <f>IF('[1]REGISTRO ECTS TFT'!$J239&gt;0,'[1]REGISTRO ECTS TFT'!$B239,"")</f>
        <v/>
      </c>
      <c r="T234" t="str">
        <f>'[2]DATOS DOCENTES'!$D233</f>
        <v>Cuevas López, Paula Cecilia</v>
      </c>
    </row>
    <row r="235" spans="19:20">
      <c r="S235" t="str">
        <f>IF('[1]REGISTRO ECTS TFT'!$J240&gt;0,'[1]REGISTRO ECTS TFT'!$B240,"")</f>
        <v/>
      </c>
      <c r="T235" t="str">
        <f>'[2]DATOS DOCENTES'!$D234</f>
        <v>Cuevas Pérez, Denise</v>
      </c>
    </row>
    <row r="236" spans="19:20">
      <c r="S236" t="str">
        <f>IF('[1]REGISTRO ECTS TFT'!$J241&gt;0,'[1]REGISTRO ECTS TFT'!$B241,"")</f>
        <v/>
      </c>
      <c r="T236" t="str">
        <f>'[2]DATOS DOCENTES'!$D235</f>
        <v>Cuevas Tena, María</v>
      </c>
    </row>
    <row r="237" spans="19:20">
      <c r="S237" t="str">
        <f>IF('[1]REGISTRO ECTS TFT'!$J242&gt;0,'[1]REGISTRO ECTS TFT'!$B242,"")</f>
        <v/>
      </c>
      <c r="T237" t="str">
        <f>'[2]DATOS DOCENTES'!$D236</f>
        <v>Cutanda Pérez, Diana</v>
      </c>
    </row>
    <row r="238" spans="19:20">
      <c r="S238" t="str">
        <f>IF('[1]REGISTRO ECTS TFT'!$J243&gt;0,'[1]REGISTRO ECTS TFT'!$B243,"")</f>
        <v/>
      </c>
      <c r="T238" t="str">
        <f>'[2]DATOS DOCENTES'!$D237</f>
        <v>Da Silva Rodrigues, Charles</v>
      </c>
    </row>
    <row r="239" spans="19:20">
      <c r="S239" t="str">
        <f>IF('[1]REGISTRO ECTS TFT'!$J244&gt;0,'[1]REGISTRO ECTS TFT'!$B244,"")</f>
        <v/>
      </c>
      <c r="T239" t="str">
        <f>'[2]DATOS DOCENTES'!$D238</f>
        <v>Da Silveira, Suellyn Valdirene</v>
      </c>
    </row>
    <row r="240" spans="19:20">
      <c r="S240" t="str">
        <f>IF('[1]REGISTRO ECTS TFT'!$J245&gt;0,'[1]REGISTRO ECTS TFT'!$B245,"")</f>
        <v/>
      </c>
      <c r="T240" t="str">
        <f>'[2]DATOS DOCENTES'!$D239</f>
        <v>Dasí Molina, María</v>
      </c>
    </row>
    <row r="241" spans="19:20">
      <c r="S241" t="str">
        <f>IF('[1]REGISTRO ECTS TFT'!$J246&gt;0,'[1]REGISTRO ECTS TFT'!$B246,"")</f>
        <v/>
      </c>
      <c r="T241" t="str">
        <f>'[2]DATOS DOCENTES'!$D240</f>
        <v>De Anzola Guerra, Miren Zuriñe</v>
      </c>
    </row>
    <row r="242" spans="19:20">
      <c r="S242" t="str">
        <f>IF('[1]REGISTRO ECTS TFT'!$J247&gt;0,'[1]REGISTRO ECTS TFT'!$B247,"")</f>
        <v/>
      </c>
      <c r="T242" t="str">
        <f>'[2]DATOS DOCENTES'!$D241</f>
        <v>de Jesús Araujo, Grecia</v>
      </c>
    </row>
    <row r="243" spans="19:20">
      <c r="S243" t="str">
        <f>IF('[1]REGISTRO ECTS TFT'!$J248&gt;0,'[1]REGISTRO ECTS TFT'!$B248,"")</f>
        <v/>
      </c>
      <c r="T243" t="str">
        <f>'[2]DATOS DOCENTES'!$D242</f>
        <v>De la Cruz Campos, Juan Carlos</v>
      </c>
    </row>
    <row r="244" spans="19:20">
      <c r="S244" t="str">
        <f>IF('[1]REGISTRO ECTS TFT'!$J249&gt;0,'[1]REGISTRO ECTS TFT'!$B249,"")</f>
        <v/>
      </c>
      <c r="T244" t="str">
        <f>'[2]DATOS DOCENTES'!$D243</f>
        <v>De la Hoz Ruiz, Javier</v>
      </c>
    </row>
    <row r="245" spans="19:20">
      <c r="S245" t="str">
        <f>IF('[1]REGISTRO ECTS TFT'!$J250&gt;0,'[1]REGISTRO ECTS TFT'!$B250,"")</f>
        <v/>
      </c>
      <c r="T245" t="str">
        <f>'[2]DATOS DOCENTES'!$D244</f>
        <v>De la Llave Rodríguez, María Almudena</v>
      </c>
    </row>
    <row r="246" spans="19:20">
      <c r="S246" t="str">
        <f>IF('[1]REGISTRO ECTS TFT'!$J251&gt;0,'[1]REGISTRO ECTS TFT'!$B251,"")</f>
        <v/>
      </c>
      <c r="T246" t="str">
        <f>'[2]DATOS DOCENTES'!$D245</f>
        <v>De la Osa Subtil, Iria</v>
      </c>
    </row>
    <row r="247" spans="19:20">
      <c r="S247" t="str">
        <f>IF('[1]REGISTRO ECTS TFT'!$J252&gt;0,'[1]REGISTRO ECTS TFT'!$B252,"")</f>
        <v/>
      </c>
      <c r="T247" t="str">
        <f>'[2]DATOS DOCENTES'!$D246</f>
        <v>De la Puente Robles, Beatriz María</v>
      </c>
    </row>
    <row r="248" spans="19:20">
      <c r="S248" t="str">
        <f>IF('[1]REGISTRO ECTS TFT'!$J253&gt;0,'[1]REGISTRO ECTS TFT'!$B253,"")</f>
        <v/>
      </c>
      <c r="T248" t="str">
        <f>'[2]DATOS DOCENTES'!$D247</f>
        <v>De la Rosa Gámiz, María Dolores</v>
      </c>
    </row>
    <row r="249" spans="19:20">
      <c r="S249" t="str">
        <f>IF('[1]REGISTRO ECTS TFT'!$J254&gt;0,'[1]REGISTRO ECTS TFT'!$B254,"")</f>
        <v/>
      </c>
      <c r="T249" t="str">
        <f>'[2]DATOS DOCENTES'!$D248</f>
        <v>De la Rosa Gómez, Anabel</v>
      </c>
    </row>
    <row r="250" spans="19:20">
      <c r="S250" t="str">
        <f>IF('[1]REGISTRO ECTS TFT'!$J255&gt;0,'[1]REGISTRO ECTS TFT'!$B255,"")</f>
        <v/>
      </c>
      <c r="T250" t="str">
        <f>'[2]DATOS DOCENTES'!$D249</f>
        <v>De la Serna Tuya, Juan Moisés</v>
      </c>
    </row>
    <row r="251" spans="19:20">
      <c r="S251" t="str">
        <f>IF('[1]REGISTRO ECTS TFT'!$J256&gt;0,'[1]REGISTRO ECTS TFT'!$B256,"")</f>
        <v/>
      </c>
      <c r="T251" t="str">
        <f>'[2]DATOS DOCENTES'!$D250</f>
        <v>De la Torre Luque, Alejandro Francisco</v>
      </c>
    </row>
    <row r="252" spans="19:20">
      <c r="S252" t="str">
        <f>IF('[1]REGISTRO ECTS TFT'!$J257&gt;0,'[1]REGISTRO ECTS TFT'!$B257,"")</f>
        <v/>
      </c>
      <c r="T252" t="str">
        <f>'[2]DATOS DOCENTES'!$D251</f>
        <v>De la Torre Olid, Francisco</v>
      </c>
    </row>
    <row r="253" spans="19:20">
      <c r="S253" t="str">
        <f>IF('[1]REGISTRO ECTS TFT'!$J258&gt;0,'[1]REGISTRO ECTS TFT'!$B258,"")</f>
        <v/>
      </c>
      <c r="T253" t="str">
        <f>'[2]DATOS DOCENTES'!$D252</f>
        <v>de Miguel Álvaro, Alejandro</v>
      </c>
    </row>
    <row r="254" spans="19:20">
      <c r="S254" t="str">
        <f>IF('[1]REGISTRO ECTS TFT'!$J259&gt;0,'[1]REGISTRO ECTS TFT'!$B259,"")</f>
        <v/>
      </c>
      <c r="T254" t="str">
        <f>'[2]DATOS DOCENTES'!$D253</f>
        <v>De Narciso González, Miriam</v>
      </c>
    </row>
    <row r="255" spans="19:20">
      <c r="S255" t="str">
        <f>IF('[1]REGISTRO ECTS TFT'!$J260&gt;0,'[1]REGISTRO ECTS TFT'!$B260,"")</f>
        <v/>
      </c>
      <c r="T255" t="str">
        <f>'[2]DATOS DOCENTES'!$D254</f>
        <v>De Paz Ríos, Juan Carlos</v>
      </c>
    </row>
    <row r="256" spans="19:20">
      <c r="S256" t="str">
        <f>IF('[1]REGISTRO ECTS TFT'!$J261&gt;0,'[1]REGISTRO ECTS TFT'!$B261,"")</f>
        <v/>
      </c>
      <c r="T256" t="str">
        <f>'[2]DATOS DOCENTES'!$D255</f>
        <v>De Toro Hernando, María</v>
      </c>
    </row>
    <row r="257" spans="19:20">
      <c r="S257" t="str">
        <f>IF('[1]REGISTRO ECTS TFT'!$J262&gt;0,'[1]REGISTRO ECTS TFT'!$B262,"")</f>
        <v/>
      </c>
      <c r="T257" t="str">
        <f>'[2]DATOS DOCENTES'!$D256</f>
        <v>Del Barrio Herguedas, Estefanía</v>
      </c>
    </row>
    <row r="258" spans="19:20">
      <c r="S258" t="str">
        <f>IF('[1]REGISTRO ECTS TFT'!$J263&gt;0,'[1]REGISTRO ECTS TFT'!$B263,"")</f>
        <v/>
      </c>
      <c r="T258" t="str">
        <f>'[2]DATOS DOCENTES'!$D257</f>
        <v>Del Caño Espinel, Manuela</v>
      </c>
    </row>
    <row r="259" spans="19:20">
      <c r="S259" t="str">
        <f>IF('[1]REGISTRO ECTS TFT'!$J264&gt;0,'[1]REGISTRO ECTS TFT'!$B264,"")</f>
        <v/>
      </c>
      <c r="T259" t="str">
        <f>'[2]DATOS DOCENTES'!$D258</f>
        <v>del Castillo Laguna, Laura</v>
      </c>
    </row>
    <row r="260" spans="19:20">
      <c r="S260" t="str">
        <f>IF('[1]REGISTRO ECTS TFT'!$J265&gt;0,'[1]REGISTRO ECTS TFT'!$B265,"")</f>
        <v/>
      </c>
      <c r="T260" t="str">
        <f>'[2]DATOS DOCENTES'!$D259</f>
        <v>Del Prado Morales, Mirtha</v>
      </c>
    </row>
    <row r="261" spans="19:20">
      <c r="S261" t="str">
        <f>IF('[1]REGISTRO ECTS TFT'!$J266&gt;0,'[1]REGISTRO ECTS TFT'!$B266,"")</f>
        <v/>
      </c>
      <c r="T261" t="str">
        <f>'[2]DATOS DOCENTES'!$D260</f>
        <v>Del Saz Lara, Andrea</v>
      </c>
    </row>
    <row r="262" spans="19:20">
      <c r="S262" t="str">
        <f>IF('[1]REGISTRO ECTS TFT'!$J267&gt;0,'[1]REGISTRO ECTS TFT'!$B267,"")</f>
        <v/>
      </c>
      <c r="T262" t="str">
        <f>'[2]DATOS DOCENTES'!$D261</f>
        <v>Del Saz Navarro, Dulcenombre de María</v>
      </c>
    </row>
    <row r="263" spans="19:20">
      <c r="S263" t="str">
        <f>IF('[1]REGISTRO ECTS TFT'!$J268&gt;0,'[1]REGISTRO ECTS TFT'!$B268,"")</f>
        <v/>
      </c>
      <c r="T263" t="str">
        <f>'[2]DATOS DOCENTES'!$D262</f>
        <v>Del Valle Carranza, Andrea</v>
      </c>
    </row>
    <row r="264" spans="19:20">
      <c r="S264" t="str">
        <f>IF('[1]REGISTRO ECTS TFT'!$J269&gt;0,'[1]REGISTRO ECTS TFT'!$B269,"")</f>
        <v/>
      </c>
      <c r="T264" t="str">
        <f>'[2]DATOS DOCENTES'!$D263</f>
        <v>Del Valle Chauvet, Lilian</v>
      </c>
    </row>
    <row r="265" spans="19:20">
      <c r="S265" t="str">
        <f>IF('[1]REGISTRO ECTS TFT'!$J270&gt;0,'[1]REGISTRO ECTS TFT'!$B270,"")</f>
        <v/>
      </c>
      <c r="T265" t="str">
        <f>'[2]DATOS DOCENTES'!$D264</f>
        <v>Del Zotto Libonati, Patricia Mónica</v>
      </c>
    </row>
    <row r="266" spans="19:20">
      <c r="S266" t="str">
        <f>IF('[1]REGISTRO ECTS TFT'!$J271&gt;0,'[1]REGISTRO ECTS TFT'!$B271,"")</f>
        <v/>
      </c>
      <c r="T266" t="str">
        <f>'[2]DATOS DOCENTES'!$D265</f>
        <v>Delgado Cruz, Atteneri</v>
      </c>
    </row>
    <row r="267" spans="19:20">
      <c r="S267" t="str">
        <f>IF('[1]REGISTRO ECTS TFT'!$J272&gt;0,'[1]REGISTRO ECTS TFT'!$B272,"")</f>
        <v/>
      </c>
      <c r="T267" t="str">
        <f>'[2]DATOS DOCENTES'!$D266</f>
        <v>Delgado García, Vanessa</v>
      </c>
    </row>
    <row r="268" spans="19:20">
      <c r="S268" t="str">
        <f>IF('[1]REGISTRO ECTS TFT'!$J273&gt;0,'[1]REGISTRO ECTS TFT'!$B273,"")</f>
        <v/>
      </c>
      <c r="T268" t="str">
        <f>'[2]DATOS DOCENTES'!$D267</f>
        <v>Delhom Peris, Iraida</v>
      </c>
    </row>
    <row r="269" spans="19:20">
      <c r="S269" t="str">
        <f>IF('[1]REGISTRO ECTS TFT'!$J274&gt;0,'[1]REGISTRO ECTS TFT'!$B274,"")</f>
        <v/>
      </c>
      <c r="T269" t="str">
        <f>'[2]DATOS DOCENTES'!$D268</f>
        <v>Demestre Viladevall, Maria</v>
      </c>
    </row>
    <row r="270" spans="19:20">
      <c r="S270" t="str">
        <f>IF('[1]REGISTRO ECTS TFT'!$J275&gt;0,'[1]REGISTRO ECTS TFT'!$B275,"")</f>
        <v/>
      </c>
      <c r="T270" t="str">
        <f>'[2]DATOS DOCENTES'!$D269</f>
        <v>Deroncele Acosta, Ángel</v>
      </c>
    </row>
    <row r="271" spans="19:20">
      <c r="S271" t="str">
        <f>IF('[1]REGISTRO ECTS TFT'!$J276&gt;0,'[1]REGISTRO ECTS TFT'!$B276,"")</f>
        <v/>
      </c>
      <c r="T271" t="str">
        <f>'[2]DATOS DOCENTES'!$D270</f>
        <v>Di Domizio, Débora Paola</v>
      </c>
    </row>
    <row r="272" spans="19:20">
      <c r="S272" t="str">
        <f>IF('[1]REGISTRO ECTS TFT'!$J277&gt;0,'[1]REGISTRO ECTS TFT'!$B277,"")</f>
        <v/>
      </c>
      <c r="T272" t="str">
        <f>'[2]DATOS DOCENTES'!$D271</f>
        <v>Di Serio, Angela</v>
      </c>
    </row>
    <row r="273" spans="19:20">
      <c r="S273" t="str">
        <f>IF('[1]REGISTRO ECTS TFT'!$J278&gt;0,'[1]REGISTRO ECTS TFT'!$B278,"")</f>
        <v/>
      </c>
      <c r="T273" t="str">
        <f>'[2]DATOS DOCENTES'!$D272</f>
        <v>Diana Pérez, Marina</v>
      </c>
    </row>
    <row r="274" spans="19:20">
      <c r="S274" t="str">
        <f>IF('[1]REGISTRO ECTS TFT'!$J279&gt;0,'[1]REGISTRO ECTS TFT'!$B279,"")</f>
        <v/>
      </c>
      <c r="T274" t="str">
        <f>'[2]DATOS DOCENTES'!$D273</f>
        <v>Díaz Baquero, Angie Alejandra</v>
      </c>
    </row>
    <row r="275" spans="19:20">
      <c r="S275" t="str">
        <f>IF('[1]REGISTRO ECTS TFT'!$J280&gt;0,'[1]REGISTRO ECTS TFT'!$B280,"")</f>
        <v/>
      </c>
      <c r="T275" t="str">
        <f>'[2]DATOS DOCENTES'!$D274</f>
        <v>Díaz Bastida, María Dolores</v>
      </c>
    </row>
    <row r="276" spans="19:20">
      <c r="S276" t="str">
        <f>IF('[1]REGISTRO ECTS TFT'!$J281&gt;0,'[1]REGISTRO ECTS TFT'!$B281,"")</f>
        <v/>
      </c>
      <c r="T276" t="str">
        <f>'[2]DATOS DOCENTES'!$D275</f>
        <v>Díaz Cordobés, José Luis</v>
      </c>
    </row>
    <row r="277" spans="19:20">
      <c r="S277" t="str">
        <f>IF('[1]REGISTRO ECTS TFT'!$J282&gt;0,'[1]REGISTRO ECTS TFT'!$B282,"")</f>
        <v/>
      </c>
      <c r="T277" t="str">
        <f>'[2]DATOS DOCENTES'!$D276</f>
        <v>Díaz García, Guillermo</v>
      </c>
    </row>
    <row r="278" spans="19:20">
      <c r="S278" t="str">
        <f>IF('[1]REGISTRO ECTS TFT'!$J283&gt;0,'[1]REGISTRO ECTS TFT'!$B283,"")</f>
        <v/>
      </c>
      <c r="T278" t="str">
        <f>'[2]DATOS DOCENTES'!$D277</f>
        <v>Díaz García, Iván</v>
      </c>
    </row>
    <row r="279" spans="19:20">
      <c r="S279" t="str">
        <f>IF('[1]REGISTRO ECTS TFT'!$J284&gt;0,'[1]REGISTRO ECTS TFT'!$B284,"")</f>
        <v/>
      </c>
      <c r="T279" t="str">
        <f>'[2]DATOS DOCENTES'!$D278</f>
        <v>Díaz Martínez, Marta</v>
      </c>
    </row>
    <row r="280" spans="19:20">
      <c r="S280" t="str">
        <f>IF('[1]REGISTRO ECTS TFT'!$J285&gt;0,'[1]REGISTRO ECTS TFT'!$B285,"")</f>
        <v/>
      </c>
      <c r="T280" t="str">
        <f>'[2]DATOS DOCENTES'!$D279</f>
        <v>Díaz Planelles, Isabel</v>
      </c>
    </row>
    <row r="281" spans="19:20">
      <c r="S281" t="str">
        <f>IF('[1]REGISTRO ECTS TFT'!$J286&gt;0,'[1]REGISTRO ECTS TFT'!$B286,"")</f>
        <v/>
      </c>
      <c r="T281" t="str">
        <f>'[2]DATOS DOCENTES'!$D280</f>
        <v>Díaz Rodríguez, Carlos</v>
      </c>
    </row>
    <row r="282" spans="19:20">
      <c r="S282" t="str">
        <f>IF('[1]REGISTRO ECTS TFT'!$J287&gt;0,'[1]REGISTRO ECTS TFT'!$B287,"")</f>
        <v/>
      </c>
      <c r="T282" t="str">
        <f>'[2]DATOS DOCENTES'!$D281</f>
        <v>Díaz Rosell, Montserrat</v>
      </c>
    </row>
    <row r="283" spans="19:20">
      <c r="S283" t="str">
        <f>IF('[1]REGISTRO ECTS TFT'!$J288&gt;0,'[1]REGISTRO ECTS TFT'!$B288,"")</f>
        <v/>
      </c>
      <c r="T283" t="str">
        <f>'[2]DATOS DOCENTES'!$D282</f>
        <v>Díaz Sosa, Dulce María</v>
      </c>
    </row>
    <row r="284" spans="19:20">
      <c r="S284" t="str">
        <f>IF('[1]REGISTRO ECTS TFT'!$J289&gt;0,'[1]REGISTRO ECTS TFT'!$B289,"")</f>
        <v/>
      </c>
      <c r="T284" t="str">
        <f>'[2]DATOS DOCENTES'!$D283</f>
        <v>Díaz Vera, Alcibíades Segundo</v>
      </c>
    </row>
    <row r="285" spans="19:20">
      <c r="S285" t="str">
        <f>IF('[1]REGISTRO ECTS TFT'!$J290&gt;0,'[1]REGISTRO ECTS TFT'!$B290,"")</f>
        <v/>
      </c>
      <c r="T285" t="str">
        <f>'[2]DATOS DOCENTES'!$D284</f>
        <v>Díaz Vidal, Tania</v>
      </c>
    </row>
    <row r="286" spans="19:20">
      <c r="S286" t="str">
        <f>IF('[1]REGISTRO ECTS TFT'!$J291&gt;0,'[1]REGISTRO ECTS TFT'!$B291,"")</f>
        <v/>
      </c>
      <c r="T286" t="str">
        <f>'[2]DATOS DOCENTES'!$D285</f>
        <v>Diego Pedro, Rebeca</v>
      </c>
    </row>
    <row r="287" spans="19:20">
      <c r="S287" t="str">
        <f>IF('[1]REGISTRO ECTS TFT'!$J292&gt;0,'[1]REGISTRO ECTS TFT'!$B292,"")</f>
        <v/>
      </c>
      <c r="T287" t="str">
        <f>'[2]DATOS DOCENTES'!$D286</f>
        <v>Diéguez Mantecón, Sonia</v>
      </c>
    </row>
    <row r="288" spans="19:20">
      <c r="S288" t="str">
        <f>IF('[1]REGISTRO ECTS TFT'!$J293&gt;0,'[1]REGISTRO ECTS TFT'!$B293,"")</f>
        <v/>
      </c>
      <c r="T288" t="str">
        <f>'[2]DATOS DOCENTES'!$D287</f>
        <v>Díez Juan, Antonio</v>
      </c>
    </row>
    <row r="289" spans="19:20">
      <c r="S289" t="str">
        <f>IF('[1]REGISTRO ECTS TFT'!$J294&gt;0,'[1]REGISTRO ECTS TFT'!$B294,"")</f>
        <v/>
      </c>
      <c r="T289" t="str">
        <f>'[2]DATOS DOCENTES'!$D288</f>
        <v>Diz Casal, Javier</v>
      </c>
    </row>
    <row r="290" spans="19:20">
      <c r="S290" t="str">
        <f>IF('[1]REGISTRO ECTS TFT'!$J295&gt;0,'[1]REGISTRO ECTS TFT'!$B295,"")</f>
        <v/>
      </c>
      <c r="T290" t="str">
        <f>'[2]DATOS DOCENTES'!$D289</f>
        <v>Domingo Moscardó, Lucía</v>
      </c>
    </row>
    <row r="291" spans="19:20">
      <c r="S291" t="str">
        <f>IF('[1]REGISTRO ECTS TFT'!$J296&gt;0,'[1]REGISTRO ECTS TFT'!$B296,"")</f>
        <v/>
      </c>
      <c r="T291" t="str">
        <f>'[2]DATOS DOCENTES'!$D290</f>
        <v>Domingo Valero, Laura</v>
      </c>
    </row>
    <row r="292" spans="19:20">
      <c r="S292" t="str">
        <f>IF('[1]REGISTRO ECTS TFT'!$J297&gt;0,'[1]REGISTRO ECTS TFT'!$B297,"")</f>
        <v/>
      </c>
      <c r="T292" t="str">
        <f>'[2]DATOS DOCENTES'!$D291</f>
        <v>Domínguez Espinosa, Alejandra del Carmen</v>
      </c>
    </row>
    <row r="293" spans="19:20">
      <c r="S293" t="str">
        <f>IF('[1]REGISTRO ECTS TFT'!$J298&gt;0,'[1]REGISTRO ECTS TFT'!$B298,"")</f>
        <v/>
      </c>
      <c r="T293" t="str">
        <f>'[2]DATOS DOCENTES'!$D292</f>
        <v>Domínguez Navarro, Fernando</v>
      </c>
    </row>
    <row r="294" spans="19:20">
      <c r="S294" t="str">
        <f>IF('[1]REGISTRO ECTS TFT'!$J299&gt;0,'[1]REGISTRO ECTS TFT'!$B299,"")</f>
        <v/>
      </c>
      <c r="T294" t="str">
        <f>'[2]DATOS DOCENTES'!$D293</f>
        <v>Domínguez Rodríguez, Alejandro</v>
      </c>
    </row>
    <row r="295" spans="19:20">
      <c r="S295" t="str">
        <f>IF('[1]REGISTRO ECTS TFT'!$J300&gt;0,'[1]REGISTRO ECTS TFT'!$B300,"")</f>
        <v/>
      </c>
      <c r="T295" t="str">
        <f>'[2]DATOS DOCENTES'!$D294</f>
        <v>Domínguez Salas, Sara</v>
      </c>
    </row>
    <row r="296" spans="19:20">
      <c r="S296" t="str">
        <f>IF('[1]REGISTRO ECTS TFT'!$J301&gt;0,'[1]REGISTRO ECTS TFT'!$B301,"")</f>
        <v/>
      </c>
      <c r="T296" t="str">
        <f>'[2]DATOS DOCENTES'!$D295</f>
        <v>Domínguez Valerio, Cándida María</v>
      </c>
    </row>
    <row r="297" spans="19:20">
      <c r="S297" t="str">
        <f>IF('[1]REGISTRO ECTS TFT'!$J302&gt;0,'[1]REGISTRO ECTS TFT'!$B302,"")</f>
        <v/>
      </c>
      <c r="T297" t="str">
        <f>'[2]DATOS DOCENTES'!$D296</f>
        <v>Donato, Donatella</v>
      </c>
    </row>
    <row r="298" spans="19:20">
      <c r="S298" t="str">
        <f>IF('[1]REGISTRO ECTS TFT'!$J303&gt;0,'[1]REGISTRO ECTS TFT'!$B303,"")</f>
        <v/>
      </c>
      <c r="T298" t="str">
        <f>'[2]DATOS DOCENTES'!$D297</f>
        <v>Doval Moreno, Sandra</v>
      </c>
    </row>
    <row r="299" spans="19:20">
      <c r="S299" t="str">
        <f>IF('[1]REGISTRO ECTS TFT'!$J304&gt;0,'[1]REGISTRO ECTS TFT'!$B304,"")</f>
        <v/>
      </c>
      <c r="T299" t="str">
        <f>'[2]DATOS DOCENTES'!$D298</f>
        <v>Duarte Clíments, Gonzalo</v>
      </c>
    </row>
    <row r="300" spans="19:20">
      <c r="S300" t="str">
        <f>IF('[1]REGISTRO ECTS TFT'!$J305&gt;0,'[1]REGISTRO ECTS TFT'!$B305,"")</f>
        <v/>
      </c>
      <c r="T300" t="str">
        <f>'[2]DATOS DOCENTES'!$D299</f>
        <v>Duarte Lores, Isabel</v>
      </c>
    </row>
    <row r="301" spans="19:20">
      <c r="S301" t="str">
        <f>IF('[1]REGISTRO ECTS TFT'!$J306&gt;0,'[1]REGISTRO ECTS TFT'!$B306,"")</f>
        <v/>
      </c>
      <c r="T301" t="str">
        <f>'[2]DATOS DOCENTES'!$D300</f>
        <v>Dueñas Zambrana, Carmen</v>
      </c>
    </row>
    <row r="302" spans="19:20">
      <c r="S302" t="str">
        <f>IF('[1]REGISTRO ECTS TFT'!$J307&gt;0,'[1]REGISTRO ECTS TFT'!$B307,"")</f>
        <v/>
      </c>
      <c r="T302" t="str">
        <f>'[2]DATOS DOCENTES'!$D301</f>
        <v>Duque Moreno, María Aranzazu</v>
      </c>
    </row>
    <row r="303" spans="19:20">
      <c r="S303" t="str">
        <f>IF('[1]REGISTRO ECTS TFT'!$J308&gt;0,'[1]REGISTRO ECTS TFT'!$B308,"")</f>
        <v/>
      </c>
      <c r="T303" t="str">
        <f>'[2]DATOS DOCENTES'!$D302</f>
        <v>Durán Morales, María Carmen</v>
      </c>
    </row>
    <row r="304" spans="19:20">
      <c r="S304" t="str">
        <f>IF('[1]REGISTRO ECTS TFT'!$J309&gt;0,'[1]REGISTRO ECTS TFT'!$B309,"")</f>
        <v/>
      </c>
      <c r="T304" t="str">
        <f>'[2]DATOS DOCENTES'!$D303</f>
        <v>Durán Olivares, Xiomara Marina</v>
      </c>
    </row>
    <row r="305" spans="19:20">
      <c r="S305" t="str">
        <f>IF('[1]REGISTRO ECTS TFT'!$J310&gt;0,'[1]REGISTRO ECTS TFT'!$B310,"")</f>
        <v/>
      </c>
      <c r="T305" t="str">
        <f>'[2]DATOS DOCENTES'!$D304</f>
        <v>Durán Vinagre, Miguel Ángel</v>
      </c>
    </row>
    <row r="306" spans="19:20">
      <c r="S306" t="str">
        <f>IF('[1]REGISTRO ECTS TFT'!$J311&gt;0,'[1]REGISTRO ECTS TFT'!$B311,"")</f>
        <v/>
      </c>
      <c r="T306" t="str">
        <f>'[2]DATOS DOCENTES'!$D305</f>
        <v>Durban Sánchez, Jordi</v>
      </c>
    </row>
    <row r="307" spans="19:20">
      <c r="S307" t="str">
        <f>IF('[1]REGISTRO ECTS TFT'!$J312&gt;0,'[1]REGISTRO ECTS TFT'!$B312,"")</f>
        <v/>
      </c>
      <c r="T307" t="str">
        <f>'[2]DATOS DOCENTES'!$D306</f>
        <v>Duréndez Sáez, Elena</v>
      </c>
    </row>
    <row r="308" spans="19:20">
      <c r="S308" t="str">
        <f>IF('[1]REGISTRO ECTS TFT'!$J313&gt;0,'[1]REGISTRO ECTS TFT'!$B313,"")</f>
        <v/>
      </c>
      <c r="T308" t="str">
        <f>'[2]DATOS DOCENTES'!$D307</f>
        <v>Echániz Serrano, Emmanuel</v>
      </c>
    </row>
    <row r="309" spans="19:20">
      <c r="S309" t="str">
        <f>IF('[1]REGISTRO ECTS TFT'!$J314&gt;0,'[1]REGISTRO ECTS TFT'!$B314,"")</f>
        <v/>
      </c>
      <c r="T309" t="str">
        <f>'[2]DATOS DOCENTES'!$D308</f>
        <v>Echauri Tijeras, José Antonio</v>
      </c>
    </row>
    <row r="310" spans="19:20">
      <c r="S310" t="str">
        <f>IF('[1]REGISTRO ECTS TFT'!$J315&gt;0,'[1]REGISTRO ECTS TFT'!$B315,"")</f>
        <v/>
      </c>
      <c r="T310" t="str">
        <f>'[2]DATOS DOCENTES'!$D309</f>
        <v>Echavarría Ramírez, Luis Miguel</v>
      </c>
    </row>
    <row r="311" spans="19:20">
      <c r="S311" t="str">
        <f>IF('[1]REGISTRO ECTS TFT'!$J316&gt;0,'[1]REGISTRO ECTS TFT'!$B316,"")</f>
        <v/>
      </c>
      <c r="T311" t="str">
        <f>'[2]DATOS DOCENTES'!$D310</f>
        <v>Egea Carro, María</v>
      </c>
    </row>
    <row r="312" spans="19:20">
      <c r="S312" t="str">
        <f>IF('[1]REGISTRO ECTS TFT'!$J317&gt;0,'[1]REGISTRO ECTS TFT'!$B317,"")</f>
        <v/>
      </c>
      <c r="T312" t="str">
        <f>'[2]DATOS DOCENTES'!$D311</f>
        <v>El Hichou Ahmed, Chaima</v>
      </c>
    </row>
    <row r="313" spans="19:20">
      <c r="S313" t="str">
        <f>IF('[1]REGISTRO ECTS TFT'!$J318&gt;0,'[1]REGISTRO ECTS TFT'!$B318,"")</f>
        <v/>
      </c>
      <c r="T313" t="str">
        <f>'[2]DATOS DOCENTES'!$D312</f>
        <v>Eleta, Paula Gabriela</v>
      </c>
    </row>
    <row r="314" spans="19:20">
      <c r="S314" t="str">
        <f>IF('[1]REGISTRO ECTS TFT'!$J319&gt;0,'[1]REGISTRO ECTS TFT'!$B319,"")</f>
        <v/>
      </c>
      <c r="T314" t="str">
        <f>'[2]DATOS DOCENTES'!$D313</f>
        <v>Elices, Matilde</v>
      </c>
    </row>
    <row r="315" spans="19:20">
      <c r="S315" t="str">
        <f>IF('[1]REGISTRO ECTS TFT'!$J320&gt;0,'[1]REGISTRO ECTS TFT'!$B320,"")</f>
        <v/>
      </c>
      <c r="T315" t="str">
        <f>'[2]DATOS DOCENTES'!$D314</f>
        <v>Elorriaga Rubio, Maitane</v>
      </c>
    </row>
    <row r="316" spans="19:20">
      <c r="S316" t="str">
        <f>IF('[1]REGISTRO ECTS TFT'!$J321&gt;0,'[1]REGISTRO ECTS TFT'!$B321,"")</f>
        <v/>
      </c>
      <c r="T316" t="str">
        <f>'[2]DATOS DOCENTES'!$D315</f>
        <v>Escarabajal Arrieta, María Dolores</v>
      </c>
    </row>
    <row r="317" spans="19:20">
      <c r="S317" t="str">
        <f>IF('[1]REGISTRO ECTS TFT'!$J322&gt;0,'[1]REGISTRO ECTS TFT'!$B322,"")</f>
        <v/>
      </c>
      <c r="T317" t="str">
        <f>'[2]DATOS DOCENTES'!$D316</f>
        <v>Escobar García, Purificación</v>
      </c>
    </row>
    <row r="318" spans="19:20">
      <c r="S318" t="str">
        <f>IF('[1]REGISTRO ECTS TFT'!$J323&gt;0,'[1]REGISTRO ECTS TFT'!$B323,"")</f>
        <v/>
      </c>
      <c r="T318" t="str">
        <f>'[2]DATOS DOCENTES'!$D317</f>
        <v>Escobar Vicent, Alejandro</v>
      </c>
    </row>
    <row r="319" spans="19:20">
      <c r="S319" t="str">
        <f>IF('[1]REGISTRO ECTS TFT'!$J324&gt;0,'[1]REGISTRO ECTS TFT'!$B324,"")</f>
        <v/>
      </c>
      <c r="T319" t="str">
        <f>'[2]DATOS DOCENTES'!$D318</f>
        <v>Escribano Martínez, Ángela</v>
      </c>
    </row>
    <row r="320" spans="19:20">
      <c r="S320" t="str">
        <f>IF('[1]REGISTRO ECTS TFT'!$J325&gt;0,'[1]REGISTRO ECTS TFT'!$B325,"")</f>
        <v/>
      </c>
      <c r="T320" t="str">
        <f>'[2]DATOS DOCENTES'!$D319</f>
        <v>Escriche Escuder, Adrián</v>
      </c>
    </row>
    <row r="321" spans="19:20">
      <c r="S321" t="str">
        <f>IF('[1]REGISTRO ECTS TFT'!$J326&gt;0,'[1]REGISTRO ECTS TFT'!$B326,"")</f>
        <v/>
      </c>
      <c r="T321" t="str">
        <f>'[2]DATOS DOCENTES'!$D320</f>
        <v>Escriche Escuder, Sandra</v>
      </c>
    </row>
    <row r="322" spans="19:20">
      <c r="S322" t="str">
        <f>IF('[1]REGISTRO ECTS TFT'!$J327&gt;0,'[1]REGISTRO ECTS TFT'!$B327,"")</f>
        <v/>
      </c>
      <c r="T322" t="str">
        <f>'[2]DATOS DOCENTES'!$D321</f>
        <v>Escrivá Peiró, Dolores</v>
      </c>
    </row>
    <row r="323" spans="19:20">
      <c r="S323" t="str">
        <f>IF('[1]REGISTRO ECTS TFT'!$J328&gt;0,'[1]REGISTRO ECTS TFT'!$B328,"")</f>
        <v/>
      </c>
      <c r="T323" t="str">
        <f>'[2]DATOS DOCENTES'!$D322</f>
        <v>Escuder Briz, María José</v>
      </c>
    </row>
    <row r="324" spans="19:20">
      <c r="S324" t="str">
        <f>IF('[1]REGISTRO ECTS TFT'!$J329&gt;0,'[1]REGISTRO ECTS TFT'!$B329,"")</f>
        <v/>
      </c>
      <c r="T324" t="str">
        <f>'[2]DATOS DOCENTES'!$D323</f>
        <v>Escudero Lara, Alejandra</v>
      </c>
    </row>
    <row r="325" spans="19:20">
      <c r="S325" t="str">
        <f>IF('[1]REGISTRO ECTS TFT'!$J330&gt;0,'[1]REGISTRO ECTS TFT'!$B330,"")</f>
        <v/>
      </c>
      <c r="T325" t="str">
        <f>'[2]DATOS DOCENTES'!$D324</f>
        <v>Escudero Moreno, Berta</v>
      </c>
    </row>
    <row r="326" spans="19:20">
      <c r="S326" t="str">
        <f>IF('[1]REGISTRO ECTS TFT'!$J331&gt;0,'[1]REGISTRO ECTS TFT'!$B331,"")</f>
        <v/>
      </c>
      <c r="T326" t="str">
        <f>'[2]DATOS DOCENTES'!$D325</f>
        <v>Eslava Pérez, Dalila</v>
      </c>
    </row>
    <row r="327" spans="19:20">
      <c r="S327" t="str">
        <f>IF('[1]REGISTRO ECTS TFT'!$J332&gt;0,'[1]REGISTRO ECTS TFT'!$B332,"")</f>
        <v/>
      </c>
      <c r="T327" t="str">
        <f>'[2]DATOS DOCENTES'!$D326</f>
        <v>Espinha Cadavid, Sara</v>
      </c>
    </row>
    <row r="328" spans="19:20">
      <c r="S328" t="str">
        <f>IF('[1]REGISTRO ECTS TFT'!$J333&gt;0,'[1]REGISTRO ECTS TFT'!$B333,"")</f>
        <v>Fraga Seijas, Carlota</v>
      </c>
      <c r="T328" t="str">
        <f>'[2]DATOS DOCENTES'!$D327</f>
        <v>Espinoza León, Paula Carolina</v>
      </c>
    </row>
    <row r="329" spans="19:20">
      <c r="S329" t="str">
        <f>IF('[1]REGISTRO ECTS TFT'!$J334&gt;0,'[1]REGISTRO ECTS TFT'!$B334,"")</f>
        <v/>
      </c>
      <c r="T329" t="str">
        <f>'[2]DATOS DOCENTES'!$D328</f>
        <v>Espinoza Venegas, Macarena</v>
      </c>
    </row>
    <row r="330" spans="19:20">
      <c r="S330" t="str">
        <f>IF('[1]REGISTRO ECTS TFT'!$J335&gt;0,'[1]REGISTRO ECTS TFT'!$B335,"")</f>
        <v/>
      </c>
      <c r="T330" t="str">
        <f>'[2]DATOS DOCENTES'!$D329</f>
        <v>Esquivias Villalobos, Antonio</v>
      </c>
    </row>
    <row r="331" spans="19:20">
      <c r="S331" t="str">
        <f>IF('[1]REGISTRO ECTS TFT'!$J336&gt;0,'[1]REGISTRO ECTS TFT'!$B336,"")</f>
        <v/>
      </c>
      <c r="T331" t="str">
        <f>'[2]DATOS DOCENTES'!$D330</f>
        <v>Esteban Fernández, Alberto</v>
      </c>
    </row>
    <row r="332" spans="19:20">
      <c r="S332" t="str">
        <f>IF('[1]REGISTRO ECTS TFT'!$J337&gt;0,'[1]REGISTRO ECTS TFT'!$B337,"")</f>
        <v/>
      </c>
      <c r="T332" t="str">
        <f>'[2]DATOS DOCENTES'!$D331</f>
        <v>Esteban Sánchez, Laura</v>
      </c>
    </row>
    <row r="333" spans="19:20">
      <c r="S333" t="str">
        <f>IF('[1]REGISTRO ECTS TFT'!$J338&gt;0,'[1]REGISTRO ECTS TFT'!$B338,"")</f>
        <v/>
      </c>
      <c r="T333" t="str">
        <f>'[2]DATOS DOCENTES'!$D332</f>
        <v>Etchezahar, Edgardo Daniel</v>
      </c>
    </row>
    <row r="334" spans="19:20">
      <c r="S334" t="str">
        <f>IF('[1]REGISTRO ECTS TFT'!$J339&gt;0,'[1]REGISTRO ECTS TFT'!$B339,"")</f>
        <v/>
      </c>
      <c r="T334" t="str">
        <f>'[2]DATOS DOCENTES'!$D333</f>
        <v>Expósito Álvarez, Cristina</v>
      </c>
    </row>
    <row r="335" spans="19:20">
      <c r="S335" t="str">
        <f>IF('[1]REGISTRO ECTS TFT'!$J340&gt;0,'[1]REGISTRO ECTS TFT'!$B340,"")</f>
        <v/>
      </c>
      <c r="T335" t="str">
        <f>'[2]DATOS DOCENTES'!$D334</f>
        <v>Expósito Blasco, David</v>
      </c>
    </row>
    <row r="336" spans="19:20">
      <c r="S336" t="str">
        <f>IF('[1]REGISTRO ECTS TFT'!$J341&gt;0,'[1]REGISTRO ECTS TFT'!$B341,"")</f>
        <v/>
      </c>
      <c r="T336" t="str">
        <f>'[2]DATOS DOCENTES'!$D335</f>
        <v>Fagundes Vila, Caterine</v>
      </c>
    </row>
    <row r="337" spans="19:20">
      <c r="S337" t="str">
        <f>IF('[1]REGISTRO ECTS TFT'!$J342&gt;0,'[1]REGISTRO ECTS TFT'!$B342,"")</f>
        <v/>
      </c>
      <c r="T337" t="str">
        <f>'[2]DATOS DOCENTES'!$D336</f>
        <v>Fandiño Pascual, Ricardo</v>
      </c>
    </row>
    <row r="338" spans="19:20">
      <c r="S338" t="str">
        <f>IF('[1]REGISTRO ECTS TFT'!$J343&gt;0,'[1]REGISTRO ECTS TFT'!$B343,"")</f>
        <v/>
      </c>
      <c r="T338" t="str">
        <f>'[2]DATOS DOCENTES'!$D337</f>
        <v>Farfallini, Luis</v>
      </c>
    </row>
    <row r="339" spans="19:20">
      <c r="S339" t="str">
        <f>IF('[1]REGISTRO ECTS TFT'!$J344&gt;0,'[1]REGISTRO ECTS TFT'!$B344,"")</f>
        <v/>
      </c>
      <c r="T339" t="str">
        <f>'[2]DATOS DOCENTES'!$D338</f>
        <v>Fariñas Iglesias, Borja</v>
      </c>
    </row>
    <row r="340" spans="19:20">
      <c r="S340" t="str">
        <f>IF('[1]REGISTRO ECTS TFT'!$J345&gt;0,'[1]REGISTRO ECTS TFT'!$B345,"")</f>
        <v>García Atutxa, Igor</v>
      </c>
      <c r="T340" t="str">
        <f>'[2]DATOS DOCENTES'!$D339</f>
        <v>Faura García, Juan</v>
      </c>
    </row>
    <row r="341" spans="19:20">
      <c r="S341" t="str">
        <f>IF('[1]REGISTRO ECTS TFT'!$J346&gt;0,'[1]REGISTRO ECTS TFT'!$B346,"")</f>
        <v/>
      </c>
      <c r="T341" t="str">
        <f>'[2]DATOS DOCENTES'!$D340</f>
        <v>Faus Real, Mireia</v>
      </c>
    </row>
    <row r="342" spans="19:20">
      <c r="S342" t="str">
        <f>IF('[1]REGISTRO ECTS TFT'!$J347&gt;0,'[1]REGISTRO ECTS TFT'!$B347,"")</f>
        <v/>
      </c>
      <c r="T342" t="str">
        <f>'[2]DATOS DOCENTES'!$D341</f>
        <v>Fausor de Castro, Rocío</v>
      </c>
    </row>
    <row r="343" spans="19:20">
      <c r="S343" t="str">
        <f>IF('[1]REGISTRO ECTS TFT'!$J348&gt;0,'[1]REGISTRO ECTS TFT'!$B348,"")</f>
        <v/>
      </c>
      <c r="T343" t="str">
        <f>'[2]DATOS DOCENTES'!$D342</f>
        <v>Favre Rodríguez, Carlos</v>
      </c>
    </row>
    <row r="344" spans="19:20">
      <c r="S344" t="str">
        <f>IF('[1]REGISTRO ECTS TFT'!$J349&gt;0,'[1]REGISTRO ECTS TFT'!$B349,"")</f>
        <v/>
      </c>
      <c r="T344" t="str">
        <f>'[2]DATOS DOCENTES'!$D343</f>
        <v>Fayos Monfort, Isabel</v>
      </c>
    </row>
    <row r="345" spans="19:20">
      <c r="S345" t="str">
        <f>IF('[1]REGISTRO ECTS TFT'!$J350&gt;0,'[1]REGISTRO ECTS TFT'!$B350,"")</f>
        <v/>
      </c>
      <c r="T345" t="str">
        <f>'[2]DATOS DOCENTES'!$D344</f>
        <v>Femenia Mulet, Sabrina</v>
      </c>
    </row>
    <row r="346" spans="19:20">
      <c r="S346" t="str">
        <f>IF('[1]REGISTRO ECTS TFT'!$J351&gt;0,'[1]REGISTRO ECTS TFT'!$B351,"")</f>
        <v/>
      </c>
      <c r="T346" t="str">
        <f>'[2]DATOS DOCENTES'!$D345</f>
        <v>Fernández Alcaraz, Camino</v>
      </c>
    </row>
    <row r="347" spans="19:20">
      <c r="S347" t="str">
        <f>IF('[1]REGISTRO ECTS TFT'!$J352&gt;0,'[1]REGISTRO ECTS TFT'!$B352,"")</f>
        <v/>
      </c>
      <c r="T347" t="str">
        <f>'[2]DATOS DOCENTES'!$D346</f>
        <v>Fernández Álvarez, Ana</v>
      </c>
    </row>
    <row r="348" spans="19:20">
      <c r="S348" t="str">
        <f>IF('[1]REGISTRO ECTS TFT'!$J353&gt;0,'[1]REGISTRO ECTS TFT'!$B353,"")</f>
        <v/>
      </c>
      <c r="T348" t="str">
        <f>'[2]DATOS DOCENTES'!$D347</f>
        <v>Fernández Artamendi, Sergio</v>
      </c>
    </row>
    <row r="349" spans="19:20">
      <c r="S349" t="str">
        <f>IF('[1]REGISTRO ECTS TFT'!$J354&gt;0,'[1]REGISTRO ECTS TFT'!$B354,"")</f>
        <v/>
      </c>
      <c r="T349" t="str">
        <f>'[2]DATOS DOCENTES'!$D348</f>
        <v>Fernández Benítez, Sara</v>
      </c>
    </row>
    <row r="350" spans="19:20">
      <c r="S350" t="str">
        <f>IF('[1]REGISTRO ECTS TFT'!$J355&gt;0,'[1]REGISTRO ECTS TFT'!$B355,"")</f>
        <v/>
      </c>
      <c r="T350" t="str">
        <f>'[2]DATOS DOCENTES'!$D349</f>
        <v>Fernández Carreño, David</v>
      </c>
    </row>
    <row r="351" spans="19:20">
      <c r="S351" t="str">
        <f>IF('[1]REGISTRO ECTS TFT'!$J356&gt;0,'[1]REGISTRO ECTS TFT'!$B356,"")</f>
        <v/>
      </c>
      <c r="T351" t="str">
        <f>'[2]DATOS DOCENTES'!$D350</f>
        <v>Fernández Carrión, Rebeca</v>
      </c>
    </row>
    <row r="352" spans="19:20">
      <c r="S352" t="str">
        <f>IF('[1]REGISTRO ECTS TFT'!$J357&gt;0,'[1]REGISTRO ECTS TFT'!$B357,"")</f>
        <v/>
      </c>
      <c r="T352" t="str">
        <f>'[2]DATOS DOCENTES'!$D351</f>
        <v>Fernández Catalina, Paola</v>
      </c>
    </row>
    <row r="353" spans="19:20">
      <c r="S353" t="str">
        <f>IF('[1]REGISTRO ECTS TFT'!$J358&gt;0,'[1]REGISTRO ECTS TFT'!$B358,"")</f>
        <v/>
      </c>
      <c r="T353" t="str">
        <f>'[2]DATOS DOCENTES'!$D352</f>
        <v>Fernández Dolón, Juan</v>
      </c>
    </row>
    <row r="354" spans="19:20">
      <c r="S354" t="str">
        <f>IF('[1]REGISTRO ECTS TFT'!$J359&gt;0,'[1]REGISTRO ECTS TFT'!$B359,"")</f>
        <v/>
      </c>
      <c r="T354" t="str">
        <f>'[2]DATOS DOCENTES'!$D353</f>
        <v>Fernández Fillol, Carmen</v>
      </c>
    </row>
    <row r="355" spans="19:20">
      <c r="S355" t="str">
        <f>IF('[1]REGISTRO ECTS TFT'!$J360&gt;0,'[1]REGISTRO ECTS TFT'!$B360,"")</f>
        <v/>
      </c>
      <c r="T355" t="str">
        <f>'[2]DATOS DOCENTES'!$D354</f>
        <v>Fernández González, María Cristina</v>
      </c>
    </row>
    <row r="356" spans="19:20">
      <c r="S356" t="str">
        <f>IF('[1]REGISTRO ECTS TFT'!$J361&gt;0,'[1]REGISTRO ECTS TFT'!$B361,"")</f>
        <v/>
      </c>
      <c r="T356" t="str">
        <f>'[2]DATOS DOCENTES'!$D355</f>
        <v>Fernández Kirszman, Javier</v>
      </c>
    </row>
    <row r="357" spans="19:20">
      <c r="S357" t="str">
        <f>IF('[1]REGISTRO ECTS TFT'!$J362&gt;0,'[1]REGISTRO ECTS TFT'!$B362,"")</f>
        <v/>
      </c>
      <c r="T357" t="str">
        <f>'[2]DATOS DOCENTES'!$D356</f>
        <v>Fernández Leyva, Christian</v>
      </c>
    </row>
    <row r="358" spans="19:20">
      <c r="S358" t="str">
        <f>IF('[1]REGISTRO ECTS TFT'!$J363&gt;0,'[1]REGISTRO ECTS TFT'!$B363,"")</f>
        <v/>
      </c>
      <c r="T358" t="str">
        <f>'[2]DATOS DOCENTES'!$D357</f>
        <v>Fernández López, Maria</v>
      </c>
    </row>
    <row r="359" spans="19:20">
      <c r="S359" t="str">
        <f>IF('[1]REGISTRO ECTS TFT'!$J364&gt;0,'[1]REGISTRO ECTS TFT'!$B364,"")</f>
        <v/>
      </c>
      <c r="T359" t="str">
        <f>'[2]DATOS DOCENTES'!$D358</f>
        <v>Fernández Musoles, Ricardo</v>
      </c>
    </row>
    <row r="360" spans="19:20">
      <c r="S360" t="str">
        <f>IF('[1]REGISTRO ECTS TFT'!$J365&gt;0,'[1]REGISTRO ECTS TFT'!$B365,"")</f>
        <v/>
      </c>
      <c r="T360" t="str">
        <f>'[2]DATOS DOCENTES'!$D359</f>
        <v>Fernández Presa, Urko</v>
      </c>
    </row>
    <row r="361" spans="19:20">
      <c r="S361" t="str">
        <f>IF('[1]REGISTRO ECTS TFT'!$J366&gt;0,'[1]REGISTRO ECTS TFT'!$B366,"")</f>
        <v/>
      </c>
      <c r="T361" t="str">
        <f>'[2]DATOS DOCENTES'!$D360</f>
        <v>Fernández Puerta, Laura</v>
      </c>
    </row>
    <row r="362" spans="19:20">
      <c r="S362" t="str">
        <f>IF('[1]REGISTRO ECTS TFT'!$J367&gt;0,'[1]REGISTRO ECTS TFT'!$B367,"")</f>
        <v/>
      </c>
      <c r="T362" t="str">
        <f>'[2]DATOS DOCENTES'!$D361</f>
        <v>Fernández Recio, Juan</v>
      </c>
    </row>
    <row r="363" spans="19:20">
      <c r="S363" t="str">
        <f>IF('[1]REGISTRO ECTS TFT'!$J368&gt;0,'[1]REGISTRO ECTS TFT'!$B368,"")</f>
        <v/>
      </c>
      <c r="T363" t="str">
        <f>'[2]DATOS DOCENTES'!$D362</f>
        <v>Fernández Sabatés, Mònica</v>
      </c>
    </row>
    <row r="364" spans="19:20">
      <c r="S364" t="str">
        <f>IF('[1]REGISTRO ECTS TFT'!$J369&gt;0,'[1]REGISTRO ECTS TFT'!$B369,"")</f>
        <v/>
      </c>
      <c r="T364" t="str">
        <f>'[2]DATOS DOCENTES'!$D363</f>
        <v>Fernández Salinero San Martín, Samuel</v>
      </c>
    </row>
    <row r="365" spans="19:20">
      <c r="S365" t="str">
        <f>IF('[1]REGISTRO ECTS TFT'!$J370&gt;0,'[1]REGISTRO ECTS TFT'!$B370,"")</f>
        <v/>
      </c>
      <c r="T365" t="str">
        <f>'[2]DATOS DOCENTES'!$D364</f>
        <v>Fernández Sánchez, Maria</v>
      </c>
    </row>
    <row r="366" spans="19:20">
      <c r="S366" t="str">
        <f>IF('[1]REGISTRO ECTS TFT'!$J371&gt;0,'[1]REGISTRO ECTS TFT'!$B371,"")</f>
        <v/>
      </c>
      <c r="T366" t="str">
        <f>'[2]DATOS DOCENTES'!$D365</f>
        <v>Fernández Sánchez, María Dolores</v>
      </c>
    </row>
    <row r="367" spans="19:20">
      <c r="S367" t="str">
        <f>IF('[1]REGISTRO ECTS TFT'!$J372&gt;0,'[1]REGISTRO ECTS TFT'!$B372,"")</f>
        <v/>
      </c>
      <c r="T367" t="str">
        <f>'[2]DATOS DOCENTES'!$D366</f>
        <v>Fernández Serrano, Ana Belén</v>
      </c>
    </row>
    <row r="368" spans="19:20">
      <c r="S368" t="str">
        <f>IF('[1]REGISTRO ECTS TFT'!$J373&gt;0,'[1]REGISTRO ECTS TFT'!$B373,"")</f>
        <v/>
      </c>
      <c r="T368" t="str">
        <f>'[2]DATOS DOCENTES'!$D367</f>
        <v>Fernández Tobar, Blanca Isabel</v>
      </c>
    </row>
    <row r="369" spans="19:20">
      <c r="S369" t="str">
        <f>IF('[1]REGISTRO ECTS TFT'!$J374&gt;0,'[1]REGISTRO ECTS TFT'!$B374,"")</f>
        <v/>
      </c>
      <c r="T369" t="str">
        <f>'[2]DATOS DOCENTES'!$D368</f>
        <v>Ferrando Ramada, Carlos</v>
      </c>
    </row>
    <row r="370" spans="19:20">
      <c r="S370" t="str">
        <f>IF('[1]REGISTRO ECTS TFT'!$J375&gt;0,'[1]REGISTRO ECTS TFT'!$B375,"")</f>
        <v/>
      </c>
      <c r="T370" t="str">
        <f>'[2]DATOS DOCENTES'!$D369</f>
        <v>Figueiredo de Magalhaes Peres, Hugo Miguel</v>
      </c>
    </row>
    <row r="371" spans="19:20">
      <c r="S371" t="str">
        <f>IF('[1]REGISTRO ECTS TFT'!$J376&gt;0,'[1]REGISTRO ECTS TFT'!$B376,"")</f>
        <v/>
      </c>
      <c r="T371" t="str">
        <f>'[2]DATOS DOCENTES'!$D370</f>
        <v>Figueiredo Duarte Heiber, Rafael</v>
      </c>
    </row>
    <row r="372" spans="19:20">
      <c r="S372" t="str">
        <f>IF('[1]REGISTRO ECTS TFT'!$J377&gt;0,'[1]REGISTRO ECTS TFT'!$B377,"")</f>
        <v/>
      </c>
      <c r="T372" t="str">
        <f>'[2]DATOS DOCENTES'!$D371</f>
        <v>Figueredo Canosa, Victoria</v>
      </c>
    </row>
    <row r="373" spans="19:20">
      <c r="S373" t="str">
        <f>IF('[1]REGISTRO ECTS TFT'!$J378&gt;0,'[1]REGISTRO ECTS TFT'!$B378,"")</f>
        <v/>
      </c>
      <c r="T373" t="str">
        <f>'[2]DATOS DOCENTES'!$D372</f>
        <v>Flor Arasil, Patricia</v>
      </c>
    </row>
    <row r="374" spans="19:20">
      <c r="S374" t="str">
        <f>IF('[1]REGISTRO ECTS TFT'!$J379&gt;0,'[1]REGISTRO ECTS TFT'!$B379,"")</f>
        <v/>
      </c>
      <c r="T374" t="str">
        <f>'[2]DATOS DOCENTES'!$D373</f>
        <v>Flores Plata, Lorena Alejandra</v>
      </c>
    </row>
    <row r="375" spans="19:20">
      <c r="S375" t="str">
        <f>IF('[1]REGISTRO ECTS TFT'!$J380&gt;0,'[1]REGISTRO ECTS TFT'!$B380,"")</f>
        <v/>
      </c>
      <c r="T375" t="str">
        <f>'[2]DATOS DOCENTES'!$D374</f>
        <v>Fonseca Baeza, Sara</v>
      </c>
    </row>
    <row r="376" spans="19:20">
      <c r="S376" t="str">
        <f>IF('[1]REGISTRO ECTS TFT'!$J381&gt;0,'[1]REGISTRO ECTS TFT'!$B381,"")</f>
        <v/>
      </c>
      <c r="T376" t="str">
        <f>'[2]DATOS DOCENTES'!$D375</f>
        <v>Forn Villanova, Maria Lourdes</v>
      </c>
    </row>
    <row r="377" spans="19:20">
      <c r="S377" t="str">
        <f>IF('[1]REGISTRO ECTS TFT'!$J382&gt;0,'[1]REGISTRO ECTS TFT'!$B382,"")</f>
        <v/>
      </c>
      <c r="T377" t="str">
        <f>'[2]DATOS DOCENTES'!$D376</f>
        <v>Fornes Romero, Gertrudis</v>
      </c>
    </row>
    <row r="378" spans="19:20">
      <c r="S378" t="str">
        <f>IF('[1]REGISTRO ECTS TFT'!$J383&gt;0,'[1]REGISTRO ECTS TFT'!$B383,"")</f>
        <v/>
      </c>
      <c r="T378" t="str">
        <f>'[2]DATOS DOCENTES'!$D377</f>
        <v>Fortea García, Encarna</v>
      </c>
    </row>
    <row r="379" spans="19:20">
      <c r="S379" t="str">
        <f>IF('[1]REGISTRO ECTS TFT'!$J384&gt;0,'[1]REGISTRO ECTS TFT'!$B384,"")</f>
        <v/>
      </c>
      <c r="T379" t="str">
        <f>'[2]DATOS DOCENTES'!$D378</f>
        <v>Fouce Ferández, José Guillermo</v>
      </c>
    </row>
    <row r="380" spans="19:20">
      <c r="S380" t="str">
        <f>IF('[1]REGISTRO ECTS TFT'!$J385&gt;0,'[1]REGISTRO ECTS TFT'!$B385,"")</f>
        <v/>
      </c>
      <c r="T380" t="str">
        <f>'[2]DATOS DOCENTES'!$D379</f>
        <v>Fraga Seijas, Carlota</v>
      </c>
    </row>
    <row r="381" spans="19:20">
      <c r="S381" t="str">
        <f>IF('[1]REGISTRO ECTS TFT'!$J386&gt;0,'[1]REGISTRO ECTS TFT'!$B386,"")</f>
        <v/>
      </c>
      <c r="T381" t="str">
        <f>'[2]DATOS DOCENTES'!$D380</f>
        <v>Franch Socias, Caterina Maria</v>
      </c>
    </row>
    <row r="382" spans="19:20">
      <c r="S382" t="str">
        <f>IF('[1]REGISTRO ECTS TFT'!$J387&gt;0,'[1]REGISTRO ECTS TFT'!$B387,"")</f>
        <v/>
      </c>
      <c r="T382" t="str">
        <f>'[2]DATOS DOCENTES'!$D381</f>
        <v>Fuentes Abolafio, Iván José</v>
      </c>
    </row>
    <row r="383" spans="19:20">
      <c r="S383" t="str">
        <f>IF('[1]REGISTRO ECTS TFT'!$J388&gt;0,'[1]REGISTRO ECTS TFT'!$B388,"")</f>
        <v/>
      </c>
      <c r="T383" t="str">
        <f>'[2]DATOS DOCENTES'!$D382</f>
        <v>Fuentes De Frutos, Silvia</v>
      </c>
    </row>
    <row r="384" spans="19:20">
      <c r="S384" t="str">
        <f>IF('[1]REGISTRO ECTS TFT'!$J389&gt;0,'[1]REGISTRO ECTS TFT'!$B389,"")</f>
        <v/>
      </c>
      <c r="T384" t="str">
        <f>'[2]DATOS DOCENTES'!$D383</f>
        <v>Fuentes Ferrada, Reiner Emmanuel</v>
      </c>
    </row>
    <row r="385" spans="19:20">
      <c r="S385" t="str">
        <f>IF('[1]REGISTRO ECTS TFT'!$J390&gt;0,'[1]REGISTRO ECTS TFT'!$B390,"")</f>
        <v/>
      </c>
      <c r="T385" t="str">
        <f>'[2]DATOS DOCENTES'!$D384</f>
        <v>Fuentes Guaza, Luisa</v>
      </c>
    </row>
    <row r="386" spans="19:20">
      <c r="S386" t="str">
        <f>IF('[1]REGISTRO ECTS TFT'!$J391&gt;0,'[1]REGISTRO ECTS TFT'!$B391,"")</f>
        <v/>
      </c>
      <c r="T386" t="str">
        <f>'[2]DATOS DOCENTES'!$D385</f>
        <v>Fuentes Sánchez, Nieves</v>
      </c>
    </row>
    <row r="387" spans="19:20">
      <c r="S387" t="str">
        <f>IF('[1]REGISTRO ECTS TFT'!$J392&gt;0,'[1]REGISTRO ECTS TFT'!$B392,"")</f>
        <v/>
      </c>
      <c r="T387" t="str">
        <f>'[2]DATOS DOCENTES'!$D386</f>
        <v>Fuentes Trillo, Azahara</v>
      </c>
    </row>
    <row r="388" spans="19:20">
      <c r="S388" t="str">
        <f>IF('[1]REGISTRO ECTS TFT'!$J393&gt;0,'[1]REGISTRO ECTS TFT'!$B393,"")</f>
        <v/>
      </c>
      <c r="T388" t="str">
        <f>'[2]DATOS DOCENTES'!$D387</f>
        <v>Gago Capote, José Antonio</v>
      </c>
    </row>
    <row r="389" spans="19:20">
      <c r="S389" t="str">
        <f>IF('[1]REGISTRO ECTS TFT'!$J394&gt;0,'[1]REGISTRO ECTS TFT'!$B394,"")</f>
        <v/>
      </c>
      <c r="T389" t="str">
        <f>'[2]DATOS DOCENTES'!$D388</f>
        <v>Galán Chilet, Inmaculada</v>
      </c>
    </row>
    <row r="390" spans="19:20">
      <c r="S390" t="str">
        <f>IF('[1]REGISTRO ECTS TFT'!$J395&gt;0,'[1]REGISTRO ECTS TFT'!$B395,"")</f>
        <v>Guijarro Blanco, José María</v>
      </c>
      <c r="T390" t="str">
        <f>'[2]DATOS DOCENTES'!$D389</f>
        <v>Galán Morillo, Manuel</v>
      </c>
    </row>
    <row r="391" spans="19:20">
      <c r="S391" t="str">
        <f>IF('[1]REGISTRO ECTS TFT'!$J396&gt;0,'[1]REGISTRO ECTS TFT'!$B396,"")</f>
        <v/>
      </c>
      <c r="T391" t="str">
        <f>'[2]DATOS DOCENTES'!$D390</f>
        <v>Galano Frutos, Juan José</v>
      </c>
    </row>
    <row r="392" spans="19:20">
      <c r="S392" t="str">
        <f>IF('[1]REGISTRO ECTS TFT'!$J397&gt;0,'[1]REGISTRO ECTS TFT'!$B397,"")</f>
        <v/>
      </c>
      <c r="T392" t="str">
        <f>'[2]DATOS DOCENTES'!$D391</f>
        <v>Gallardo Montes, Carmen del Pilar</v>
      </c>
    </row>
    <row r="393" spans="19:20">
      <c r="S393" t="str">
        <f>IF('[1]REGISTRO ECTS TFT'!$J398&gt;0,'[1]REGISTRO ECTS TFT'!$B398,"")</f>
        <v>Guillén Martín, María de la Paz</v>
      </c>
      <c r="T393" t="str">
        <f>'[2]DATOS DOCENTES'!$D392</f>
        <v>Gallardo Ortin, Laura</v>
      </c>
    </row>
    <row r="394" spans="19:20">
      <c r="S394" t="str">
        <f>IF('[1]REGISTRO ECTS TFT'!$J399&gt;0,'[1]REGISTRO ECTS TFT'!$B399,"")</f>
        <v/>
      </c>
      <c r="T394" t="str">
        <f>'[2]DATOS DOCENTES'!$D393</f>
        <v>Gallart Palau, Xavier</v>
      </c>
    </row>
    <row r="395" spans="19:20">
      <c r="S395" t="str">
        <f>IF('[1]REGISTRO ECTS TFT'!$J400&gt;0,'[1]REGISTRO ECTS TFT'!$B400,"")</f>
        <v/>
      </c>
      <c r="T395" t="str">
        <f>'[2]DATOS DOCENTES'!$D394</f>
        <v>Gallego González, Raquel</v>
      </c>
    </row>
    <row r="396" spans="19:20">
      <c r="S396" t="str">
        <f>IF('[1]REGISTRO ECTS TFT'!$J401&gt;0,'[1]REGISTRO ECTS TFT'!$B401,"")</f>
        <v/>
      </c>
      <c r="T396" t="str">
        <f>'[2]DATOS DOCENTES'!$D395</f>
        <v>Gallent Torres, Cinta</v>
      </c>
    </row>
    <row r="397" spans="19:20">
      <c r="S397" t="str">
        <f>IF('[1]REGISTRO ECTS TFT'!$J402&gt;0,'[1]REGISTRO ECTS TFT'!$B402,"")</f>
        <v/>
      </c>
      <c r="T397" t="str">
        <f>'[2]DATOS DOCENTES'!$D396</f>
        <v>Gallo Giunzioni, Karla Gabriela</v>
      </c>
    </row>
    <row r="398" spans="19:20">
      <c r="S398" t="str">
        <f>IF('[1]REGISTRO ECTS TFT'!$J403&gt;0,'[1]REGISTRO ECTS TFT'!$B403,"")</f>
        <v/>
      </c>
      <c r="T398" t="str">
        <f>'[2]DATOS DOCENTES'!$D397</f>
        <v>Gálvez Sánchez, Carmen María</v>
      </c>
    </row>
    <row r="399" spans="19:20">
      <c r="S399" t="str">
        <f>IF('[1]REGISTRO ECTS TFT'!$J404&gt;0,'[1]REGISTRO ECTS TFT'!$B404,"")</f>
        <v/>
      </c>
      <c r="T399" t="str">
        <f>'[2]DATOS DOCENTES'!$D398</f>
        <v>Gancedo Fernández, Yurena</v>
      </c>
    </row>
    <row r="400" spans="19:20">
      <c r="S400" t="str">
        <f>IF('[1]REGISTRO ECTS TFT'!$J405&gt;0,'[1]REGISTRO ECTS TFT'!$B405,"")</f>
        <v>Hernández Hernández, Laura</v>
      </c>
      <c r="T400" t="str">
        <f>'[2]DATOS DOCENTES'!$D399</f>
        <v>García Álvarez, Leticia</v>
      </c>
    </row>
    <row r="401" spans="19:20">
      <c r="S401" t="str">
        <f>IF('[1]REGISTRO ECTS TFT'!$J406&gt;0,'[1]REGISTRO ECTS TFT'!$B406,"")</f>
        <v/>
      </c>
      <c r="T401" t="str">
        <f>'[2]DATOS DOCENTES'!$D400</f>
        <v>García Atutxa, Igor</v>
      </c>
    </row>
    <row r="402" spans="19:20">
      <c r="S402" t="str">
        <f>IF('[1]REGISTRO ECTS TFT'!$J407&gt;0,'[1]REGISTRO ECTS TFT'!$B407,"")</f>
        <v/>
      </c>
      <c r="T402" t="str">
        <f>'[2]DATOS DOCENTES'!$D401</f>
        <v>García Barrera, Alba</v>
      </c>
    </row>
    <row r="403" spans="19:20">
      <c r="S403" t="str">
        <f>IF('[1]REGISTRO ECTS TFT'!$J408&gt;0,'[1]REGISTRO ECTS TFT'!$B408,"")</f>
        <v/>
      </c>
      <c r="T403" t="str">
        <f>'[2]DATOS DOCENTES'!$D402</f>
        <v>García Candau, María del Mar</v>
      </c>
    </row>
    <row r="404" spans="19:20">
      <c r="S404" t="str">
        <f>IF('[1]REGISTRO ECTS TFT'!$J409&gt;0,'[1]REGISTRO ECTS TFT'!$B409,"")</f>
        <v/>
      </c>
      <c r="T404" t="str">
        <f>'[2]DATOS DOCENTES'!$D403</f>
        <v>García Cano, Andrés</v>
      </c>
    </row>
    <row r="405" spans="19:20">
      <c r="S405" t="str">
        <f>IF('[1]REGISTRO ECTS TFT'!$J410&gt;0,'[1]REGISTRO ECTS TFT'!$B410,"")</f>
        <v/>
      </c>
      <c r="T405" t="str">
        <f>'[2]DATOS DOCENTES'!$D404</f>
        <v>García Cebollada, Helena</v>
      </c>
    </row>
    <row r="406" spans="19:20">
      <c r="S406" t="str">
        <f>IF('[1]REGISTRO ECTS TFT'!$J411&gt;0,'[1]REGISTRO ECTS TFT'!$B411,"")</f>
        <v/>
      </c>
      <c r="T406" t="str">
        <f>'[2]DATOS DOCENTES'!$D405</f>
        <v>García Crespo, Ana</v>
      </c>
    </row>
    <row r="407" spans="19:20">
      <c r="S407" t="str">
        <f>IF('[1]REGISTRO ECTS TFT'!$J412&gt;0,'[1]REGISTRO ECTS TFT'!$B412,"")</f>
        <v/>
      </c>
      <c r="T407" t="str">
        <f>'[2]DATOS DOCENTES'!$D406</f>
        <v>García Cuenca, María Victoria</v>
      </c>
    </row>
    <row r="408" spans="19:20">
      <c r="S408" t="str">
        <f>IF('[1]REGISTRO ECTS TFT'!$J413&gt;0,'[1]REGISTRO ECTS TFT'!$B413,"")</f>
        <v/>
      </c>
      <c r="T408" t="str">
        <f>'[2]DATOS DOCENTES'!$D407</f>
        <v>García Fernández, Luis</v>
      </c>
    </row>
    <row r="409" spans="19:20">
      <c r="S409" t="str">
        <f>IF('[1]REGISTRO ECTS TFT'!$J414&gt;0,'[1]REGISTRO ECTS TFT'!$B414,"")</f>
        <v/>
      </c>
      <c r="T409" t="str">
        <f>'[2]DATOS DOCENTES'!$D408</f>
        <v>García García, Joana</v>
      </c>
    </row>
    <row r="410" spans="19:20">
      <c r="S410" t="str">
        <f>IF('[1]REGISTRO ECTS TFT'!$J415&gt;0,'[1]REGISTRO ECTS TFT'!$B415,"")</f>
        <v/>
      </c>
      <c r="T410" t="str">
        <f>'[2]DATOS DOCENTES'!$D409</f>
        <v>García Gómez, Raquel</v>
      </c>
    </row>
    <row r="411" spans="19:20">
      <c r="S411" t="str">
        <f>IF('[1]REGISTRO ECTS TFT'!$J416&gt;0,'[1]REGISTRO ECTS TFT'!$B416,"")</f>
        <v/>
      </c>
      <c r="T411" t="str">
        <f>'[2]DATOS DOCENTES'!$D410</f>
        <v>García Gómez, María</v>
      </c>
    </row>
    <row r="412" spans="19:20">
      <c r="S412" t="str">
        <f>IF('[1]REGISTRO ECTS TFT'!$J417&gt;0,'[1]REGISTRO ECTS TFT'!$B417,"")</f>
        <v/>
      </c>
      <c r="T412" t="str">
        <f>'[2]DATOS DOCENTES'!$D411</f>
        <v>García Iglesias, Alberto</v>
      </c>
    </row>
    <row r="413" spans="19:20">
      <c r="S413" t="str">
        <f>IF('[1]REGISTRO ECTS TFT'!$J418&gt;0,'[1]REGISTRO ECTS TFT'!$B418,"")</f>
        <v/>
      </c>
      <c r="T413" t="str">
        <f>'[2]DATOS DOCENTES'!$D412</f>
        <v>García Iriarte, Antonio</v>
      </c>
    </row>
    <row r="414" spans="19:20">
      <c r="S414" t="str">
        <f>IF('[1]REGISTRO ECTS TFT'!$J419&gt;0,'[1]REGISTRO ECTS TFT'!$B419,"")</f>
        <v/>
      </c>
      <c r="T414" t="str">
        <f>'[2]DATOS DOCENTES'!$D413</f>
        <v>García Juesas, Juan Antonio</v>
      </c>
    </row>
    <row r="415" spans="19:20">
      <c r="S415" t="str">
        <f>IF('[1]REGISTRO ECTS TFT'!$J420&gt;0,'[1]REGISTRO ECTS TFT'!$B420,"")</f>
        <v/>
      </c>
      <c r="T415" t="str">
        <f>'[2]DATOS DOCENTES'!$D414</f>
        <v>García Lebrón, Raquel</v>
      </c>
    </row>
    <row r="416" spans="19:20">
      <c r="S416" t="str">
        <f>IF('[1]REGISTRO ECTS TFT'!$J421&gt;0,'[1]REGISTRO ECTS TFT'!$B421,"")</f>
        <v/>
      </c>
      <c r="T416" t="str">
        <f>'[2]DATOS DOCENTES'!$D415</f>
        <v>García López, Juan Pablo</v>
      </c>
    </row>
    <row r="417" spans="19:20">
      <c r="S417" t="str">
        <f>IF('[1]REGISTRO ECTS TFT'!$J422&gt;0,'[1]REGISTRO ECTS TFT'!$B422,"")</f>
        <v/>
      </c>
      <c r="T417" t="str">
        <f>'[2]DATOS DOCENTES'!$D416</f>
        <v>García Martínez, Pedro</v>
      </c>
    </row>
    <row r="418" spans="19:20">
      <c r="S418" t="str">
        <f>IF('[1]REGISTRO ECTS TFT'!$J423&gt;0,'[1]REGISTRO ECTS TFT'!$B423,"")</f>
        <v/>
      </c>
      <c r="T418" t="str">
        <f>'[2]DATOS DOCENTES'!$D417</f>
        <v>García Martínez, Amparo</v>
      </c>
    </row>
    <row r="419" spans="19:20">
      <c r="S419" t="str">
        <f>IF('[1]REGISTRO ECTS TFT'!$J424&gt;0,'[1]REGISTRO ECTS TFT'!$B424,"")</f>
        <v/>
      </c>
      <c r="T419" t="str">
        <f>'[2]DATOS DOCENTES'!$D418</f>
        <v>García Martínez, Inmaculada</v>
      </c>
    </row>
    <row r="420" spans="19:20">
      <c r="S420" t="str">
        <f>IF('[1]REGISTRO ECTS TFT'!$J425&gt;0,'[1]REGISTRO ECTS TFT'!$B425,"")</f>
        <v/>
      </c>
      <c r="T420" t="str">
        <f>'[2]DATOS DOCENTES'!$D419</f>
        <v>García Ocaña, Marcos</v>
      </c>
    </row>
    <row r="421" spans="19:20">
      <c r="S421" t="str">
        <f>IF('[1]REGISTRO ECTS TFT'!$J426&gt;0,'[1]REGISTRO ECTS TFT'!$B426,"")</f>
        <v/>
      </c>
      <c r="T421" t="str">
        <f>'[2]DATOS DOCENTES'!$D420</f>
        <v>García Perales, Joan Rafael</v>
      </c>
    </row>
    <row r="422" spans="19:20">
      <c r="S422" t="str">
        <f>IF('[1]REGISTRO ECTS TFT'!$J427&gt;0,'[1]REGISTRO ECTS TFT'!$B427,"")</f>
        <v/>
      </c>
      <c r="T422" t="str">
        <f>'[2]DATOS DOCENTES'!$D421</f>
        <v>García Pérez, Icíar</v>
      </c>
    </row>
    <row r="423" spans="19:20">
      <c r="S423" t="str">
        <f>IF('[1]REGISTRO ECTS TFT'!$J428&gt;0,'[1]REGISTRO ECTS TFT'!$B428,"")</f>
        <v/>
      </c>
      <c r="T423" t="str">
        <f>'[2]DATOS DOCENTES'!$D422</f>
        <v>García Ríos, Estefani</v>
      </c>
    </row>
    <row r="424" spans="19:20">
      <c r="S424" t="str">
        <f>IF('[1]REGISTRO ECTS TFT'!$J429&gt;0,'[1]REGISTRO ECTS TFT'!$B429,"")</f>
        <v/>
      </c>
      <c r="T424" t="str">
        <f>'[2]DATOS DOCENTES'!$D423</f>
        <v>García Rodríguez, Deysi Emilia</v>
      </c>
    </row>
    <row r="425" spans="19:20">
      <c r="S425" t="str">
        <f>IF('[1]REGISTRO ECTS TFT'!$J430&gt;0,'[1]REGISTRO ECTS TFT'!$B430,"")</f>
        <v/>
      </c>
      <c r="T425" t="str">
        <f>'[2]DATOS DOCENTES'!$D424</f>
        <v>García Romero, Cristina</v>
      </c>
    </row>
    <row r="426" spans="19:20">
      <c r="S426" t="str">
        <f>IF('[1]REGISTRO ECTS TFT'!$J431&gt;0,'[1]REGISTRO ECTS TFT'!$B431,"")</f>
        <v/>
      </c>
      <c r="T426" t="str">
        <f>'[2]DATOS DOCENTES'!$D425</f>
        <v>Garcia Rosas, Adrià</v>
      </c>
    </row>
    <row r="427" spans="19:20">
      <c r="S427" t="str">
        <f>IF('[1]REGISTRO ECTS TFT'!$J432&gt;0,'[1]REGISTRO ECTS TFT'!$B432,"")</f>
        <v/>
      </c>
      <c r="T427" t="str">
        <f>'[2]DATOS DOCENTES'!$D426</f>
        <v>García Rubio, María José</v>
      </c>
    </row>
    <row r="428" spans="19:20">
      <c r="S428" t="str">
        <f>IF('[1]REGISTRO ECTS TFT'!$J433&gt;0,'[1]REGISTRO ECTS TFT'!$B433,"")</f>
        <v/>
      </c>
      <c r="T428" t="str">
        <f>'[2]DATOS DOCENTES'!$D427</f>
        <v>García Tarín, Óscar</v>
      </c>
    </row>
    <row r="429" spans="19:20">
      <c r="S429" t="str">
        <f>IF('[1]REGISTRO ECTS TFT'!$J434&gt;0,'[1]REGISTRO ECTS TFT'!$B434,"")</f>
        <v/>
      </c>
      <c r="T429" t="str">
        <f>'[2]DATOS DOCENTES'!$D428</f>
        <v>García Tejedor, Aurora</v>
      </c>
    </row>
    <row r="430" spans="19:20">
      <c r="S430" t="str">
        <f>IF('[1]REGISTRO ECTS TFT'!$J435&gt;0,'[1]REGISTRO ECTS TFT'!$B435,"")</f>
        <v/>
      </c>
      <c r="T430" t="str">
        <f>'[2]DATOS DOCENTES'!$D429</f>
        <v>García Valdecasas Prieto, Marina</v>
      </c>
    </row>
    <row r="431" spans="19:20">
      <c r="S431" t="str">
        <f>IF('[1]REGISTRO ECTS TFT'!$J436&gt;0,'[1]REGISTRO ECTS TFT'!$B436,"")</f>
        <v/>
      </c>
      <c r="T431" t="str">
        <f>'[2]DATOS DOCENTES'!$D430</f>
        <v>García Vela, Sara</v>
      </c>
    </row>
    <row r="432" spans="19:20">
      <c r="S432" t="str">
        <f>IF('[1]REGISTRO ECTS TFT'!$J437&gt;0,'[1]REGISTRO ECTS TFT'!$B437,"")</f>
        <v/>
      </c>
      <c r="T432" t="str">
        <f>'[2]DATOS DOCENTES'!$D431</f>
        <v>García Vicente, Sergio</v>
      </c>
    </row>
    <row r="433" spans="19:20">
      <c r="S433" t="str">
        <f>IF('[1]REGISTRO ECTS TFT'!$J438&gt;0,'[1]REGISTRO ECTS TFT'!$B438,"")</f>
        <v/>
      </c>
      <c r="T433" t="str">
        <f>'[2]DATOS DOCENTES'!$D432</f>
        <v>García Vita, María del Mar</v>
      </c>
    </row>
    <row r="434" spans="19:20">
      <c r="S434" t="str">
        <f>IF('[1]REGISTRO ECTS TFT'!$J439&gt;0,'[1]REGISTRO ECTS TFT'!$B439,"")</f>
        <v/>
      </c>
      <c r="T434" t="str">
        <f>'[2]DATOS DOCENTES'!$D433</f>
        <v>Garrido Chaves, Ruth</v>
      </c>
    </row>
    <row r="435" spans="19:20">
      <c r="S435" t="str">
        <f>IF('[1]REGISTRO ECTS TFT'!$J440&gt;0,'[1]REGISTRO ECTS TFT'!$B440,"")</f>
        <v/>
      </c>
      <c r="T435" t="str">
        <f>'[2]DATOS DOCENTES'!$D434</f>
        <v>Garrido Martínez, Nicolás</v>
      </c>
    </row>
    <row r="436" spans="19:20">
      <c r="S436" t="str">
        <f>IF('[1]REGISTRO ECTS TFT'!$J441&gt;0,'[1]REGISTRO ECTS TFT'!$B441,"")</f>
        <v/>
      </c>
      <c r="T436" t="str">
        <f>'[2]DATOS DOCENTES'!$D435</f>
        <v>Garzón Garzón, María José</v>
      </c>
    </row>
    <row r="437" spans="19:20">
      <c r="S437" t="str">
        <f>IF('[1]REGISTRO ECTS TFT'!$J442&gt;0,'[1]REGISTRO ECTS TFT'!$B442,"")</f>
        <v/>
      </c>
      <c r="T437" t="str">
        <f>'[2]DATOS DOCENTES'!$D436</f>
        <v>Gascón Aguilar, Mariló</v>
      </c>
    </row>
    <row r="438" spans="19:20">
      <c r="S438" t="str">
        <f>IF('[1]REGISTRO ECTS TFT'!$J443&gt;0,'[1]REGISTRO ECTS TFT'!$B443,"")</f>
        <v/>
      </c>
      <c r="T438" t="str">
        <f>'[2]DATOS DOCENTES'!$D437</f>
        <v>Gayol Samutlom, Jorge</v>
      </c>
    </row>
    <row r="439" spans="19:20">
      <c r="S439" t="str">
        <f>IF('[1]REGISTRO ECTS TFT'!$J444&gt;0,'[1]REGISTRO ECTS TFT'!$B444,"")</f>
        <v/>
      </c>
      <c r="T439" t="str">
        <f>'[2]DATOS DOCENTES'!$D438</f>
        <v>Gea Caballero, Vicente Antonio</v>
      </c>
    </row>
    <row r="440" spans="19:20">
      <c r="S440" t="str">
        <f>IF('[1]REGISTRO ECTS TFT'!$J445&gt;0,'[1]REGISTRO ECTS TFT'!$B445,"")</f>
        <v/>
      </c>
      <c r="T440" t="str">
        <f>'[2]DATOS DOCENTES'!$D439</f>
        <v>Genise, Nicolás</v>
      </c>
    </row>
    <row r="441" spans="19:20">
      <c r="S441" t="str">
        <f>IF('[1]REGISTRO ECTS TFT'!$J446&gt;0,'[1]REGISTRO ECTS TFT'!$B446,"")</f>
        <v/>
      </c>
      <c r="T441" t="str">
        <f>'[2]DATOS DOCENTES'!$D440</f>
        <v>Gil Bernabé, Sara</v>
      </c>
    </row>
    <row r="442" spans="19:20">
      <c r="S442" t="str">
        <f>IF('[1]REGISTRO ECTS TFT'!$J447&gt;0,'[1]REGISTRO ECTS TFT'!$B447,"")</f>
        <v>López Zaplana, Álvaro</v>
      </c>
      <c r="T442" t="str">
        <f>'[2]DATOS DOCENTES'!$D441</f>
        <v>Gil Rodríguez, Héctor</v>
      </c>
    </row>
    <row r="443" spans="19:20">
      <c r="S443" t="str">
        <f>IF('[1]REGISTRO ECTS TFT'!$J448&gt;0,'[1]REGISTRO ECTS TFT'!$B448,"")</f>
        <v/>
      </c>
      <c r="T443" t="str">
        <f>'[2]DATOS DOCENTES'!$D442</f>
        <v>Gil Salmerón, Alejandro</v>
      </c>
    </row>
    <row r="444" spans="19:20">
      <c r="S444" t="str">
        <f>IF('[1]REGISTRO ECTS TFT'!$J449&gt;0,'[1]REGISTRO ECTS TFT'!$B449,"")</f>
        <v/>
      </c>
      <c r="T444" t="str">
        <f>'[2]DATOS DOCENTES'!$D443</f>
        <v>Giménez de los Galanes Aguirre, Jesús Vicente</v>
      </c>
    </row>
    <row r="445" spans="19:20">
      <c r="S445" t="str">
        <f>IF('[1]REGISTRO ECTS TFT'!$J450&gt;0,'[1]REGISTRO ECTS TFT'!$B450,"")</f>
        <v/>
      </c>
      <c r="T445" t="str">
        <f>'[2]DATOS DOCENTES'!$D444</f>
        <v>Giménez Díez, David</v>
      </c>
    </row>
    <row r="446" spans="19:20">
      <c r="S446" t="str">
        <f>IF('[1]REGISTRO ECTS TFT'!$J451&gt;0,'[1]REGISTRO ECTS TFT'!$B451,"")</f>
        <v/>
      </c>
      <c r="T446" t="str">
        <f>'[2]DATOS DOCENTES'!$D445</f>
        <v>Giménez Fernández, Tamara</v>
      </c>
    </row>
    <row r="447" spans="19:20">
      <c r="S447" t="str">
        <f>IF('[1]REGISTRO ECTS TFT'!$J452&gt;0,'[1]REGISTRO ECTS TFT'!$B452,"")</f>
        <v/>
      </c>
      <c r="T447" t="str">
        <f>'[2]DATOS DOCENTES'!$D446</f>
        <v>Giménez Gualdo, Ana María</v>
      </c>
    </row>
    <row r="448" spans="19:20">
      <c r="S448" t="str">
        <f>IF('[1]REGISTRO ECTS TFT'!$J453&gt;0,'[1]REGISTRO ECTS TFT'!$B453,"")</f>
        <v/>
      </c>
      <c r="T448" t="str">
        <f>'[2]DATOS DOCENTES'!$D447</f>
        <v>Giménez Paños, Cristina</v>
      </c>
    </row>
    <row r="449" spans="19:20">
      <c r="S449" t="str">
        <f>IF('[1]REGISTRO ECTS TFT'!$J454&gt;0,'[1]REGISTRO ECTS TFT'!$B454,"")</f>
        <v/>
      </c>
      <c r="T449" t="str">
        <f>'[2]DATOS DOCENTES'!$D448</f>
        <v>Gimeno Valiente, Francisco</v>
      </c>
    </row>
    <row r="450" spans="19:20">
      <c r="S450" t="str">
        <f>IF('[1]REGISTRO ECTS TFT'!$J455&gt;0,'[1]REGISTRO ECTS TFT'!$B455,"")</f>
        <v/>
      </c>
      <c r="T450" t="str">
        <f>'[2]DATOS DOCENTES'!$D449</f>
        <v>Ginel Ramírez, Raquel</v>
      </c>
    </row>
    <row r="451" spans="19:20">
      <c r="S451" t="str">
        <f>IF('[1]REGISTRO ECTS TFT'!$J456&gt;0,'[1]REGISTRO ECTS TFT'!$B456,"")</f>
        <v/>
      </c>
      <c r="T451" t="str">
        <f>'[2]DATOS DOCENTES'!$D450</f>
        <v>Giner Alegría, César Augusto</v>
      </c>
    </row>
    <row r="452" spans="19:20">
      <c r="S452" t="str">
        <f>IF('[1]REGISTRO ECTS TFT'!$J457&gt;0,'[1]REGISTRO ECTS TFT'!$B457,"")</f>
        <v/>
      </c>
      <c r="T452" t="str">
        <f>'[2]DATOS DOCENTES'!$D451</f>
        <v>Girona Magraner, María Jesús</v>
      </c>
    </row>
    <row r="453" spans="19:20">
      <c r="S453" t="str">
        <f>IF('[1]REGISTRO ECTS TFT'!$J458&gt;0,'[1]REGISTRO ECTS TFT'!$B458,"")</f>
        <v/>
      </c>
      <c r="T453" t="str">
        <f>'[2]DATOS DOCENTES'!$D452</f>
        <v>Gismera Neuberger, María Silvia</v>
      </c>
    </row>
    <row r="454" spans="19:20">
      <c r="S454" t="str">
        <f>IF('[1]REGISTRO ECTS TFT'!$J459&gt;0,'[1]REGISTRO ECTS TFT'!$B459,"")</f>
        <v/>
      </c>
      <c r="T454" t="str">
        <f>'[2]DATOS DOCENTES'!$D453</f>
        <v>Godínez Ortiz, Olga</v>
      </c>
    </row>
    <row r="455" spans="19:20">
      <c r="S455" t="str">
        <f>IF('[1]REGISTRO ECTS TFT'!$J460&gt;0,'[1]REGISTRO ECTS TFT'!$B460,"")</f>
        <v/>
      </c>
      <c r="T455" t="str">
        <f>'[2]DATOS DOCENTES'!$D454</f>
        <v>Gogishvili Asanishvili, Megi</v>
      </c>
    </row>
    <row r="456" spans="19:20">
      <c r="S456" t="str">
        <f>IF('[1]REGISTRO ECTS TFT'!$J461&gt;0,'[1]REGISTRO ECTS TFT'!$B461,"")</f>
        <v/>
      </c>
      <c r="T456" t="str">
        <f>'[2]DATOS DOCENTES'!$D455</f>
        <v>Gómez Borges, Ari Wilson</v>
      </c>
    </row>
    <row r="457" spans="19:20">
      <c r="S457" t="str">
        <f>IF('[1]REGISTRO ECTS TFT'!$J462&gt;0,'[1]REGISTRO ECTS TFT'!$B462,"")</f>
        <v/>
      </c>
      <c r="T457" t="str">
        <f>'[2]DATOS DOCENTES'!$D456</f>
        <v>Gómez Cebrián, Nuria</v>
      </c>
    </row>
    <row r="458" spans="19:20">
      <c r="S458" t="str">
        <f>IF('[1]REGISTRO ECTS TFT'!$J463&gt;0,'[1]REGISTRO ECTS TFT'!$B463,"")</f>
        <v/>
      </c>
      <c r="T458" t="str">
        <f>'[2]DATOS DOCENTES'!$D457</f>
        <v>Gómez Escribano, Ana Pilar</v>
      </c>
    </row>
    <row r="459" spans="19:20">
      <c r="S459" t="str">
        <f>IF('[1]REGISTRO ECTS TFT'!$J464&gt;0,'[1]REGISTRO ECTS TFT'!$B464,"")</f>
        <v/>
      </c>
      <c r="T459" t="str">
        <f>'[2]DATOS DOCENTES'!$D458</f>
        <v>Gómez Gallo, Diana Marcela</v>
      </c>
    </row>
    <row r="460" spans="19:20">
      <c r="S460" t="str">
        <f>IF('[1]REGISTRO ECTS TFT'!$J465&gt;0,'[1]REGISTRO ECTS TFT'!$B465,"")</f>
        <v/>
      </c>
      <c r="T460" t="str">
        <f>'[2]DATOS DOCENTES'!$D459</f>
        <v>Gómez Leyva, Susana</v>
      </c>
    </row>
    <row r="461" spans="19:20">
      <c r="S461" t="str">
        <f>IF('[1]REGISTRO ECTS TFT'!$J466&gt;0,'[1]REGISTRO ECTS TFT'!$B466,"")</f>
        <v/>
      </c>
      <c r="T461" t="str">
        <f>'[2]DATOS DOCENTES'!$D460</f>
        <v>Gómez Martínez, Sandra</v>
      </c>
    </row>
    <row r="462" spans="19:20">
      <c r="S462" t="str">
        <f>IF('[1]REGISTRO ECTS TFT'!$J467&gt;0,'[1]REGISTRO ECTS TFT'!$B467,"")</f>
        <v/>
      </c>
      <c r="T462" t="str">
        <f>'[2]DATOS DOCENTES'!$D461</f>
        <v>Gómez Pérez, Vanesa</v>
      </c>
    </row>
    <row r="463" spans="19:20">
      <c r="S463" t="str">
        <f>IF('[1]REGISTRO ECTS TFT'!$J468&gt;0,'[1]REGISTRO ECTS TFT'!$B468,"")</f>
        <v>Marín García, Pablo</v>
      </c>
      <c r="T463" t="str">
        <f>'[2]DATOS DOCENTES'!$D462</f>
        <v>Gómez Romero, María del Rosario</v>
      </c>
    </row>
    <row r="464" spans="19:20">
      <c r="S464" t="str">
        <f>IF('[1]REGISTRO ECTS TFT'!$J469&gt;0,'[1]REGISTRO ECTS TFT'!$B469,"")</f>
        <v/>
      </c>
      <c r="T464" t="str">
        <f>'[2]DATOS DOCENTES'!$D463</f>
        <v>Gómez Salgado, Patricia</v>
      </c>
    </row>
    <row r="465" spans="19:20">
      <c r="S465" t="str">
        <f>IF('[1]REGISTRO ECTS TFT'!$J470&gt;0,'[1]REGISTRO ECTS TFT'!$B470,"")</f>
        <v/>
      </c>
      <c r="T465" t="str">
        <f>'[2]DATOS DOCENTES'!$D464</f>
        <v>Gómez Yepes, Talía</v>
      </c>
    </row>
    <row r="466" spans="19:20">
      <c r="S466" t="str">
        <f>IF('[1]REGISTRO ECTS TFT'!$J471&gt;0,'[1]REGISTRO ECTS TFT'!$B471,"")</f>
        <v/>
      </c>
      <c r="T466" t="str">
        <f>'[2]DATOS DOCENTES'!$D465</f>
        <v>Gomis Jimeno, Francisco Javier</v>
      </c>
    </row>
    <row r="467" spans="19:20">
      <c r="S467" t="str">
        <f>IF('[1]REGISTRO ECTS TFT'!$J472&gt;0,'[1]REGISTRO ECTS TFT'!$B472,"")</f>
        <v/>
      </c>
      <c r="T467" t="str">
        <f>'[2]DATOS DOCENTES'!$D466</f>
        <v>González, Lucas Ezequiel</v>
      </c>
    </row>
    <row r="468" spans="19:20">
      <c r="S468" t="str">
        <f>IF('[1]REGISTRO ECTS TFT'!$J473&gt;0,'[1]REGISTRO ECTS TFT'!$B473,"")</f>
        <v/>
      </c>
      <c r="T468" t="str">
        <f>'[2]DATOS DOCENTES'!$D467</f>
        <v>González Aguilar, María Josefina</v>
      </c>
    </row>
    <row r="469" spans="19:20">
      <c r="S469" t="str">
        <f>IF('[1]REGISTRO ECTS TFT'!$J474&gt;0,'[1]REGISTRO ECTS TFT'!$B474,"")</f>
        <v/>
      </c>
      <c r="T469" t="str">
        <f>'[2]DATOS DOCENTES'!$D468</f>
        <v>González Amado, Bárbara</v>
      </c>
    </row>
    <row r="470" spans="19:20">
      <c r="S470" t="str">
        <f>IF('[1]REGISTRO ECTS TFT'!$J475&gt;0,'[1]REGISTRO ECTS TFT'!$B475,"")</f>
        <v/>
      </c>
      <c r="T470" t="str">
        <f>'[2]DATOS DOCENTES'!$D469</f>
        <v>González Cervantes, José Javier</v>
      </c>
    </row>
    <row r="471" spans="19:20">
      <c r="S471" t="str">
        <f>IF('[1]REGISTRO ECTS TFT'!$J476&gt;0,'[1]REGISTRO ECTS TFT'!$B476,"")</f>
        <v/>
      </c>
      <c r="T471" t="str">
        <f>'[2]DATOS DOCENTES'!$D470</f>
        <v>González Chordá, Víctor Manuel</v>
      </c>
    </row>
    <row r="472" spans="19:20">
      <c r="S472" t="str">
        <f>IF('[1]REGISTRO ECTS TFT'!$J477&gt;0,'[1]REGISTRO ECTS TFT'!$B477,"")</f>
        <v/>
      </c>
      <c r="T472" t="str">
        <f>'[2]DATOS DOCENTES'!$D471</f>
        <v>González de la Iglesia, María</v>
      </c>
    </row>
    <row r="473" spans="19:20">
      <c r="S473" t="str">
        <f>IF('[1]REGISTRO ECTS TFT'!$J478&gt;0,'[1]REGISTRO ECTS TFT'!$B478,"")</f>
        <v/>
      </c>
      <c r="T473" t="str">
        <f>'[2]DATOS DOCENTES'!$D472</f>
        <v>González Fernández, Silvia</v>
      </c>
    </row>
    <row r="474" spans="19:20">
      <c r="S474" t="str">
        <f>IF('[1]REGISTRO ECTS TFT'!$J479&gt;0,'[1]REGISTRO ECTS TFT'!$B479,"")</f>
        <v/>
      </c>
      <c r="T474" t="str">
        <f>'[2]DATOS DOCENTES'!$D473</f>
        <v>González García, Sergio</v>
      </c>
    </row>
    <row r="475" spans="19:20">
      <c r="S475" t="str">
        <f>IF('[1]REGISTRO ECTS TFT'!$J480&gt;0,'[1]REGISTRO ECTS TFT'!$B480,"")</f>
        <v/>
      </c>
      <c r="T475" t="str">
        <f>'[2]DATOS DOCENTES'!$D474</f>
        <v>González Gil, Julio</v>
      </c>
    </row>
    <row r="476" spans="19:20">
      <c r="S476" t="str">
        <f>IF('[1]REGISTRO ECTS TFT'!$J481&gt;0,'[1]REGISTRO ECTS TFT'!$B481,"")</f>
        <v/>
      </c>
      <c r="T476" t="str">
        <f>'[2]DATOS DOCENTES'!$D475</f>
        <v>González Hernández, Edgar</v>
      </c>
    </row>
    <row r="477" spans="19:20">
      <c r="S477" t="str">
        <f>IF('[1]REGISTRO ECTS TFT'!$J482&gt;0,'[1]REGISTRO ECTS TFT'!$B482,"")</f>
        <v/>
      </c>
      <c r="T477" t="str">
        <f>'[2]DATOS DOCENTES'!$D476</f>
        <v>González Matarín, Pedro José</v>
      </c>
    </row>
    <row r="478" spans="19:20">
      <c r="S478" t="str">
        <f>IF('[1]REGISTRO ECTS TFT'!$J483&gt;0,'[1]REGISTRO ECTS TFT'!$B483,"")</f>
        <v/>
      </c>
      <c r="T478" t="str">
        <f>'[2]DATOS DOCENTES'!$D477</f>
        <v>González Moreno, Jesús</v>
      </c>
    </row>
    <row r="479" spans="19:20">
      <c r="S479" t="str">
        <f>IF('[1]REGISTRO ECTS TFT'!$J484&gt;0,'[1]REGISTRO ECTS TFT'!$B484,"")</f>
        <v/>
      </c>
      <c r="T479" t="str">
        <f>'[2]DATOS DOCENTES'!$D478</f>
        <v>González Pais, María del Carmen</v>
      </c>
    </row>
    <row r="480" spans="19:20">
      <c r="S480" t="str">
        <f>IF('[1]REGISTRO ECTS TFT'!$J485&gt;0,'[1]REGISTRO ECTS TFT'!$B485,"")</f>
        <v/>
      </c>
      <c r="T480" t="str">
        <f>'[2]DATOS DOCENTES'!$D479</f>
        <v>González Pérez, Adelaida</v>
      </c>
    </row>
    <row r="481" spans="19:20">
      <c r="S481" t="str">
        <f>IF('[1]REGISTRO ECTS TFT'!$J486&gt;0,'[1]REGISTRO ECTS TFT'!$B486,"")</f>
        <v>Martínez Montañés, Fernando</v>
      </c>
      <c r="T481" t="str">
        <f>'[2]DATOS DOCENTES'!$D480</f>
        <v>González Robles, Vicente Alberto</v>
      </c>
    </row>
    <row r="482" spans="19:20">
      <c r="S482" t="str">
        <f>IF('[1]REGISTRO ECTS TFT'!$J487&gt;0,'[1]REGISTRO ECTS TFT'!$B487,"")</f>
        <v/>
      </c>
      <c r="T482" t="str">
        <f>'[2]DATOS DOCENTES'!$D481</f>
        <v>González Romero, Inmaculada</v>
      </c>
    </row>
    <row r="483" spans="19:20">
      <c r="S483" t="str">
        <f>IF('[1]REGISTRO ECTS TFT'!$J488&gt;0,'[1]REGISTRO ECTS TFT'!$B488,"")</f>
        <v/>
      </c>
      <c r="T483" t="str">
        <f>'[2]DATOS DOCENTES'!$D482</f>
        <v>González Sánchez, Beatriz</v>
      </c>
    </row>
    <row r="484" spans="19:20">
      <c r="S484" t="str">
        <f>IF('[1]REGISTRO ECTS TFT'!$J489&gt;0,'[1]REGISTRO ECTS TFT'!$B489,"")</f>
        <v/>
      </c>
      <c r="T484" t="str">
        <f>'[2]DATOS DOCENTES'!$D483</f>
        <v>González Vaca, Julia</v>
      </c>
    </row>
    <row r="485" spans="19:20">
      <c r="S485" t="str">
        <f>IF('[1]REGISTRO ECTS TFT'!$J490&gt;0,'[1]REGISTRO ECTS TFT'!$B490,"")</f>
        <v/>
      </c>
      <c r="T485" t="str">
        <f>'[2]DATOS DOCENTES'!$D484</f>
        <v>Gorchs Molist, Montserrat</v>
      </c>
    </row>
    <row r="486" spans="19:20">
      <c r="S486" t="str">
        <f>IF('[1]REGISTRO ECTS TFT'!$J491&gt;0,'[1]REGISTRO ECTS TFT'!$B491,"")</f>
        <v/>
      </c>
      <c r="T486" t="str">
        <f>'[2]DATOS DOCENTES'!$D485</f>
        <v>Gozalbo Monfort, Mónica María</v>
      </c>
    </row>
    <row r="487" spans="19:20">
      <c r="S487" t="str">
        <f>IF('[1]REGISTRO ECTS TFT'!$J492&gt;0,'[1]REGISTRO ECTS TFT'!$B492,"")</f>
        <v/>
      </c>
      <c r="T487" t="str">
        <f>'[2]DATOS DOCENTES'!$D486</f>
        <v>Granada López, José Manuel</v>
      </c>
    </row>
    <row r="488" spans="19:20">
      <c r="S488" t="str">
        <f>IF('[1]REGISTRO ECTS TFT'!$J493&gt;0,'[1]REGISTRO ECTS TFT'!$B493,"")</f>
        <v/>
      </c>
      <c r="T488" t="str">
        <f>'[2]DATOS DOCENTES'!$D487</f>
        <v>Grimplet, Jerome</v>
      </c>
    </row>
    <row r="489" spans="19:20">
      <c r="S489" t="str">
        <f>IF('[1]REGISTRO ECTS TFT'!$J494&gt;0,'[1]REGISTRO ECTS TFT'!$B494,"")</f>
        <v/>
      </c>
      <c r="T489" t="str">
        <f>'[2]DATOS DOCENTES'!$D488</f>
        <v>Gross Tur, Ramiro</v>
      </c>
    </row>
    <row r="490" spans="19:20">
      <c r="S490" t="str">
        <f>IF('[1]REGISTRO ECTS TFT'!$J495&gt;0,'[1]REGISTRO ECTS TFT'!$B495,"")</f>
        <v/>
      </c>
      <c r="T490" t="str">
        <f>'[2]DATOS DOCENTES'!$D489</f>
        <v>Guerrero Pertíñez, Gloria</v>
      </c>
    </row>
    <row r="491" spans="19:20">
      <c r="S491" t="str">
        <f>IF('[1]REGISTRO ECTS TFT'!$J496&gt;0,'[1]REGISTRO ECTS TFT'!$B496,"")</f>
        <v/>
      </c>
      <c r="T491" t="str">
        <f>'[2]DATOS DOCENTES'!$D490</f>
        <v>Guijarro Blanco, José María</v>
      </c>
    </row>
    <row r="492" spans="19:20">
      <c r="S492" t="str">
        <f>IF('[1]REGISTRO ECTS TFT'!$J497&gt;0,'[1]REGISTRO ECTS TFT'!$B497,"")</f>
        <v/>
      </c>
      <c r="T492" t="str">
        <f>'[2]DATOS DOCENTES'!$D491</f>
        <v>Guil Bozal, Rocío</v>
      </c>
    </row>
    <row r="493" spans="19:20">
      <c r="S493" t="str">
        <f>IF('[1]REGISTRO ECTS TFT'!$J498&gt;0,'[1]REGISTRO ECTS TFT'!$B498,"")</f>
        <v/>
      </c>
      <c r="T493" t="str">
        <f>'[2]DATOS DOCENTES'!$D492</f>
        <v>Guillamó Mínguez, Carlos</v>
      </c>
    </row>
    <row r="494" spans="19:20">
      <c r="S494" t="str">
        <f>IF('[1]REGISTRO ECTS TFT'!$J499&gt;0,'[1]REGISTRO ECTS TFT'!$B499,"")</f>
        <v/>
      </c>
      <c r="T494" t="str">
        <f>'[2]DATOS DOCENTES'!$D493</f>
        <v>Guillem Saiz, Javier</v>
      </c>
    </row>
    <row r="495" spans="19:20">
      <c r="S495" t="str">
        <f>IF('[1]REGISTRO ECTS TFT'!$J500&gt;0,'[1]REGISTRO ECTS TFT'!$B500,"")</f>
        <v/>
      </c>
      <c r="T495" t="str">
        <f>'[2]DATOS DOCENTES'!$D494</f>
        <v>Guillén Martín, María de la Paz</v>
      </c>
    </row>
    <row r="496" spans="19:20">
      <c r="S496" t="str">
        <f>IF('[1]REGISTRO ECTS TFT'!$J501&gt;0,'[1]REGISTRO ECTS TFT'!$B501,"")</f>
        <v/>
      </c>
      <c r="T496" t="str">
        <f>'[2]DATOS DOCENTES'!$D495</f>
        <v>Guillén Riquelme, Alejandro</v>
      </c>
    </row>
    <row r="497" spans="19:20">
      <c r="S497" t="str">
        <f>IF('[1]REGISTRO ECTS TFT'!$J502&gt;0,'[1]REGISTRO ECTS TFT'!$B502,"")</f>
        <v/>
      </c>
      <c r="T497" t="str">
        <f>'[2]DATOS DOCENTES'!$D496</f>
        <v>Guillot Valdés, María</v>
      </c>
    </row>
    <row r="498" spans="19:20">
      <c r="S498" t="str">
        <f>IF('[1]REGISTRO ECTS TFT'!$J503&gt;0,'[1]REGISTRO ECTS TFT'!$B503,"")</f>
        <v>Moldovan Moldovan, Roxana Andreea</v>
      </c>
      <c r="T498" t="str">
        <f>'[2]DATOS DOCENTES'!$D497</f>
        <v>Gutiérrez Macías, Laura</v>
      </c>
    </row>
    <row r="499" spans="19:20">
      <c r="S499" t="str">
        <f>IF('[1]REGISTRO ECTS TFT'!$J504&gt;0,'[1]REGISTRO ECTS TFT'!$B504,"")</f>
        <v/>
      </c>
      <c r="T499" t="str">
        <f>'[2]DATOS DOCENTES'!$D498</f>
        <v>Gutiérrez Menéndez, Alba</v>
      </c>
    </row>
    <row r="500" spans="19:20">
      <c r="S500" t="str">
        <f>IF('[1]REGISTRO ECTS TFT'!$J505&gt;0,'[1]REGISTRO ECTS TFT'!$B505,"")</f>
        <v/>
      </c>
      <c r="T500" t="str">
        <f>'[2]DATOS DOCENTES'!$D499</f>
        <v>Gutiérrez Morante, Luis</v>
      </c>
    </row>
    <row r="501" spans="19:20">
      <c r="S501" t="str">
        <f>IF('[1]REGISTRO ECTS TFT'!$J506&gt;0,'[1]REGISTRO ECTS TFT'!$B506,"")</f>
        <v/>
      </c>
      <c r="T501" t="str">
        <f>'[2]DATOS DOCENTES'!$D500</f>
        <v>Gutiérrez Naharro, Eva</v>
      </c>
    </row>
    <row r="502" spans="19:20">
      <c r="S502" t="str">
        <f>IF('[1]REGISTRO ECTS TFT'!$J507&gt;0,'[1]REGISTRO ECTS TFT'!$B507,"")</f>
        <v/>
      </c>
      <c r="T502" t="str">
        <f>'[2]DATOS DOCENTES'!$D501</f>
        <v>Gutiérrez Trigo, Juan Manuel</v>
      </c>
    </row>
    <row r="503" spans="19:20">
      <c r="S503" t="str">
        <f>IF('[1]REGISTRO ECTS TFT'!$J508&gt;0,'[1]REGISTRO ECTS TFT'!$B508,"")</f>
        <v/>
      </c>
      <c r="T503" t="str">
        <f>'[2]DATOS DOCENTES'!$D502</f>
        <v>Guzmán García, José Miguel</v>
      </c>
    </row>
    <row r="504" spans="19:20">
      <c r="S504" t="str">
        <f>IF('[1]REGISTRO ECTS TFT'!$J509&gt;0,'[1]REGISTRO ECTS TFT'!$B509,"")</f>
        <v/>
      </c>
      <c r="T504" t="str">
        <f>'[2]DATOS DOCENTES'!$D503</f>
        <v>Herencias Rodríguez, Cristina</v>
      </c>
    </row>
    <row r="505" spans="19:20">
      <c r="S505" t="str">
        <f>IF('[1]REGISTRO ECTS TFT'!$J510&gt;0,'[1]REGISTRO ECTS TFT'!$B510,"")</f>
        <v/>
      </c>
      <c r="T505" t="str">
        <f>'[2]DATOS DOCENTES'!$D504</f>
        <v>Hernández del Castillo, Lilia</v>
      </c>
    </row>
    <row r="506" spans="19:20">
      <c r="S506" t="str">
        <f>IF('[1]REGISTRO ECTS TFT'!$J511&gt;0,'[1]REGISTRO ECTS TFT'!$B511,"")</f>
        <v/>
      </c>
      <c r="T506" t="str">
        <f>'[2]DATOS DOCENTES'!$D505</f>
        <v>Hernández del Mazo, Patricia</v>
      </c>
    </row>
    <row r="507" spans="19:20">
      <c r="S507" t="str">
        <f>IF('[1]REGISTRO ECTS TFT'!$J512&gt;0,'[1]REGISTRO ECTS TFT'!$B512,"")</f>
        <v/>
      </c>
      <c r="T507" t="str">
        <f>'[2]DATOS DOCENTES'!$D506</f>
        <v>Hernández Dorado, Ana</v>
      </c>
    </row>
    <row r="508" spans="19:20">
      <c r="S508" t="str">
        <f>IF('[1]REGISTRO ECTS TFT'!$J513&gt;0,'[1]REGISTRO ECTS TFT'!$B513,"")</f>
        <v/>
      </c>
      <c r="T508" t="str">
        <f>'[2]DATOS DOCENTES'!$D507</f>
        <v>Hernández Hernández, Laura</v>
      </c>
    </row>
    <row r="509" spans="19:20">
      <c r="S509" t="str">
        <f>IF('[1]REGISTRO ECTS TFT'!$J514&gt;0,'[1]REGISTRO ECTS TFT'!$B514,"")</f>
        <v/>
      </c>
      <c r="T509" t="str">
        <f>'[2]DATOS DOCENTES'!$D508</f>
        <v>Hernández Hernández, Cristo Nauzet</v>
      </c>
    </row>
    <row r="510" spans="19:20">
      <c r="S510" t="str">
        <f>IF('[1]REGISTRO ECTS TFT'!$J515&gt;0,'[1]REGISTRO ECTS TFT'!$B515,"")</f>
        <v/>
      </c>
      <c r="T510" t="str">
        <f>'[2]DATOS DOCENTES'!$D509</f>
        <v>Hernández Jiménez, María Jesús</v>
      </c>
    </row>
    <row r="511" spans="19:20">
      <c r="S511" t="str">
        <f>IF('[1]REGISTRO ECTS TFT'!$J516&gt;0,'[1]REGISTRO ECTS TFT'!$B516,"")</f>
        <v/>
      </c>
      <c r="T511" t="str">
        <f>'[2]DATOS DOCENTES'!$D510</f>
        <v>Hernández Mantilla, Gabriela Elizabeth</v>
      </c>
    </row>
    <row r="512" spans="19:20">
      <c r="S512" t="str">
        <f>IF('[1]REGISTRO ECTS TFT'!$J517&gt;0,'[1]REGISTRO ECTS TFT'!$B517,"")</f>
        <v/>
      </c>
      <c r="T512" t="str">
        <f>'[2]DATOS DOCENTES'!$D511</f>
        <v>Hernández Núñez-Polo, Mercedes</v>
      </c>
    </row>
    <row r="513" spans="19:20">
      <c r="S513" t="str">
        <f>IF('[1]REGISTRO ECTS TFT'!$J518&gt;0,'[1]REGISTRO ECTS TFT'!$B518,"")</f>
        <v/>
      </c>
      <c r="T513" t="str">
        <f>'[2]DATOS DOCENTES'!$D512</f>
        <v>Hernández Orduña, Francisco Omar</v>
      </c>
    </row>
    <row r="514" spans="19:20">
      <c r="S514" t="str">
        <f>IF('[1]REGISTRO ECTS TFT'!$J519&gt;0,'[1]REGISTRO ECTS TFT'!$B519,"")</f>
        <v/>
      </c>
      <c r="T514" t="str">
        <f>'[2]DATOS DOCENTES'!$D513</f>
        <v>Hernández Posadas, Alejandrina</v>
      </c>
    </row>
    <row r="515" spans="19:20">
      <c r="S515" t="str">
        <f>IF('[1]REGISTRO ECTS TFT'!$J520&gt;0,'[1]REGISTRO ECTS TFT'!$B520,"")</f>
        <v/>
      </c>
      <c r="T515" t="str">
        <f>'[2]DATOS DOCENTES'!$D514</f>
        <v>Hernández Saguar, Aida Esther</v>
      </c>
    </row>
    <row r="516" spans="19:20">
      <c r="S516" t="str">
        <f>IF('[1]REGISTRO ECTS TFT'!$J521&gt;0,'[1]REGISTRO ECTS TFT'!$B521,"")</f>
        <v/>
      </c>
      <c r="T516" t="str">
        <f>'[2]DATOS DOCENTES'!$D515</f>
        <v>Hernández Sánchez, Francisco Esteban</v>
      </c>
    </row>
    <row r="517" spans="19:20">
      <c r="S517" t="str">
        <f>IF('[1]REGISTRO ECTS TFT'!$J522&gt;0,'[1]REGISTRO ECTS TFT'!$B522,"")</f>
        <v>Morante Palacios, Octavio</v>
      </c>
      <c r="T517" t="str">
        <f>'[2]DATOS DOCENTES'!$D516</f>
        <v>Herrera Alarcón, Juan Francisco</v>
      </c>
    </row>
    <row r="518" spans="19:20">
      <c r="S518" t="str">
        <f>IF('[1]REGISTRO ECTS TFT'!$J523&gt;0,'[1]REGISTRO ECTS TFT'!$B523,"")</f>
        <v/>
      </c>
      <c r="T518" t="str">
        <f>'[2]DATOS DOCENTES'!$D517</f>
        <v>Herrera Pérez, Salvador</v>
      </c>
    </row>
    <row r="519" spans="19:20">
      <c r="S519" t="str">
        <f>IF('[1]REGISTRO ECTS TFT'!$J524&gt;0,'[1]REGISTRO ECTS TFT'!$B524,"")</f>
        <v/>
      </c>
      <c r="T519" t="str">
        <f>'[2]DATOS DOCENTES'!$D518</f>
        <v>Herrero Izquierdo, Laura</v>
      </c>
    </row>
    <row r="520" spans="19:20">
      <c r="S520" t="str">
        <f>IF('[1]REGISTRO ECTS TFT'!$J525&gt;0,'[1]REGISTRO ECTS TFT'!$B525,"")</f>
        <v/>
      </c>
      <c r="T520" t="str">
        <f>'[2]DATOS DOCENTES'!$D519</f>
        <v>Herrero Lladró, Raquel</v>
      </c>
    </row>
    <row r="521" spans="19:20">
      <c r="S521" t="str">
        <f>IF('[1]REGISTRO ECTS TFT'!$J526&gt;0,'[1]REGISTRO ECTS TFT'!$B526,"")</f>
        <v/>
      </c>
      <c r="T521" t="str">
        <f>'[2]DATOS DOCENTES'!$D520</f>
        <v>Hervás Begines, Damián</v>
      </c>
    </row>
    <row r="522" spans="19:20">
      <c r="S522" t="str">
        <f>IF('[1]REGISTRO ECTS TFT'!$J527&gt;0,'[1]REGISTRO ECTS TFT'!$B527,"")</f>
        <v/>
      </c>
      <c r="T522" t="str">
        <f>'[2]DATOS DOCENTES'!$D521</f>
        <v>Hijazo Larrosa, Sergio</v>
      </c>
    </row>
    <row r="523" spans="19:20">
      <c r="S523" t="str">
        <f>IF('[1]REGISTRO ECTS TFT'!$J528&gt;0,'[1]REGISTRO ECTS TFT'!$B528,"")</f>
        <v/>
      </c>
      <c r="T523" t="str">
        <f>'[2]DATOS DOCENTES'!$D522</f>
        <v>Hincapié Pinzón, Juanita</v>
      </c>
    </row>
    <row r="524" spans="19:20">
      <c r="S524" t="str">
        <f>IF('[1]REGISTRO ECTS TFT'!$J529&gt;0,'[1]REGISTRO ECTS TFT'!$B529,"")</f>
        <v/>
      </c>
      <c r="T524" t="str">
        <f>'[2]DATOS DOCENTES'!$D523</f>
        <v>Hita Yáñez, Eva María</v>
      </c>
    </row>
    <row r="525" spans="19:20">
      <c r="S525" t="str">
        <f>IF('[1]REGISTRO ECTS TFT'!$J530&gt;0,'[1]REGISTRO ECTS TFT'!$B530,"")</f>
        <v/>
      </c>
      <c r="T525" t="str">
        <f>'[2]DATOS DOCENTES'!$D524</f>
        <v>Hmadcha Afif, Abdelkrim</v>
      </c>
    </row>
    <row r="526" spans="19:20">
      <c r="S526" t="str">
        <f>IF('[1]REGISTRO ECTS TFT'!$J531&gt;0,'[1]REGISTRO ECTS TFT'!$B531,"")</f>
        <v/>
      </c>
      <c r="T526" t="str">
        <f>'[2]DATOS DOCENTES'!$D525</f>
        <v>Huerta Álvarez, Consuelo</v>
      </c>
    </row>
    <row r="527" spans="19:20">
      <c r="S527" t="str">
        <f>IF('[1]REGISTRO ECTS TFT'!$J532&gt;0,'[1]REGISTRO ECTS TFT'!$B532,"")</f>
        <v/>
      </c>
      <c r="T527" t="str">
        <f>'[2]DATOS DOCENTES'!$D526</f>
        <v>Huguet Cuadrado, Elena</v>
      </c>
    </row>
    <row r="528" spans="19:20">
      <c r="S528" t="str">
        <f>IF('[1]REGISTRO ECTS TFT'!$J533&gt;0,'[1]REGISTRO ECTS TFT'!$B533,"")</f>
        <v/>
      </c>
      <c r="T528" t="str">
        <f>'[2]DATOS DOCENTES'!$D527</f>
        <v>Iantzi Vicente, Stella</v>
      </c>
    </row>
    <row r="529" spans="19:20">
      <c r="S529" t="str">
        <f>IF('[1]REGISTRO ECTS TFT'!$J534&gt;0,'[1]REGISTRO ECTS TFT'!$B534,"")</f>
        <v/>
      </c>
      <c r="T529" t="str">
        <f>'[2]DATOS DOCENTES'!$D528</f>
        <v>Ibáñez Torres, Nerea</v>
      </c>
    </row>
    <row r="530" spans="19:20">
      <c r="S530" t="str">
        <f>IF('[1]REGISTRO ECTS TFT'!$J535&gt;0,'[1]REGISTRO ECTS TFT'!$B535,"")</f>
        <v/>
      </c>
      <c r="T530" t="str">
        <f>'[2]DATOS DOCENTES'!$D529</f>
        <v>Incera Fernández, Daniel</v>
      </c>
    </row>
    <row r="531" spans="19:20">
      <c r="S531" t="str">
        <f>IF('[1]REGISTRO ECTS TFT'!$J536&gt;0,'[1]REGISTRO ECTS TFT'!$B536,"")</f>
        <v/>
      </c>
      <c r="T531" t="str">
        <f>'[2]DATOS DOCENTES'!$D530</f>
        <v>Infante Caballero, Desirée</v>
      </c>
    </row>
    <row r="532" spans="19:20">
      <c r="S532" t="str">
        <f>IF('[1]REGISTRO ECTS TFT'!$J537&gt;0,'[1]REGISTRO ECTS TFT'!$B537,"")</f>
        <v/>
      </c>
      <c r="T532" t="str">
        <f>'[2]DATOS DOCENTES'!$D531</f>
        <v>Invernón Gómez, Ana Isabel</v>
      </c>
    </row>
    <row r="533" spans="19:20">
      <c r="S533" t="str">
        <f>IF('[1]REGISTRO ECTS TFT'!$J538&gt;0,'[1]REGISTRO ECTS TFT'!$B538,"")</f>
        <v/>
      </c>
      <c r="T533" t="str">
        <f>'[2]DATOS DOCENTES'!$D532</f>
        <v>Iranzo Ejarque, Begoña</v>
      </c>
    </row>
    <row r="534" spans="19:20">
      <c r="S534" t="str">
        <f>IF('[1]REGISTRO ECTS TFT'!$J539&gt;0,'[1]REGISTRO ECTS TFT'!$B539,"")</f>
        <v/>
      </c>
      <c r="T534" t="str">
        <f>'[2]DATOS DOCENTES'!$D533</f>
        <v>Isorna Folgar, Manuel</v>
      </c>
    </row>
    <row r="535" spans="19:20">
      <c r="S535" t="str">
        <f>IF('[1]REGISTRO ECTS TFT'!$J540&gt;0,'[1]REGISTRO ECTS TFT'!$B540,"")</f>
        <v/>
      </c>
      <c r="T535" t="str">
        <f>'[2]DATOS DOCENTES'!$D534</f>
        <v>Izquierdo Alventosa, Ruth</v>
      </c>
    </row>
    <row r="536" spans="19:20">
      <c r="S536" t="str">
        <f>IF('[1]REGISTRO ECTS TFT'!$J541&gt;0,'[1]REGISTRO ECTS TFT'!$B541,"")</f>
        <v/>
      </c>
      <c r="T536" t="str">
        <f>'[2]DATOS DOCENTES'!$D535</f>
        <v>Izquierdo García, José Luis</v>
      </c>
    </row>
    <row r="537" spans="19:20">
      <c r="S537" t="str">
        <f>IF('[1]REGISTRO ECTS TFT'!$J542&gt;0,'[1]REGISTRO ECTS TFT'!$B542,"")</f>
        <v/>
      </c>
      <c r="T537" t="str">
        <f>'[2]DATOS DOCENTES'!$D536</f>
        <v>Izquierdo Zarzo, Ana</v>
      </c>
    </row>
    <row r="538" spans="19:20">
      <c r="S538" t="str">
        <f>IF('[1]REGISTRO ECTS TFT'!$J543&gt;0,'[1]REGISTRO ECTS TFT'!$B543,"")</f>
        <v/>
      </c>
      <c r="T538" t="str">
        <f>'[2]DATOS DOCENTES'!$D537</f>
        <v>Jaén Parrilla, Irene</v>
      </c>
    </row>
    <row r="539" spans="19:20">
      <c r="S539" t="str">
        <f>IF('[1]REGISTRO ECTS TFT'!$J544&gt;0,'[1]REGISTRO ECTS TFT'!$B544,"")</f>
        <v/>
      </c>
      <c r="T539" t="str">
        <f>'[2]DATOS DOCENTES'!$D538</f>
        <v>Jatahy Peixoto, Clicia</v>
      </c>
    </row>
    <row r="540" spans="19:20">
      <c r="S540" t="str">
        <f>IF('[1]REGISTRO ECTS TFT'!$J545&gt;0,'[1]REGISTRO ECTS TFT'!$B545,"")</f>
        <v/>
      </c>
      <c r="T540" t="str">
        <f>'[2]DATOS DOCENTES'!$D539</f>
        <v>Javela González, José Julián</v>
      </c>
    </row>
    <row r="541" spans="19:20">
      <c r="S541" t="str">
        <f>IF('[1]REGISTRO ECTS TFT'!$J546&gt;0,'[1]REGISTRO ECTS TFT'!$B546,"")</f>
        <v/>
      </c>
      <c r="T541" t="str">
        <f>'[2]DATOS DOCENTES'!$D540</f>
        <v>Jayo Andrés, Asier</v>
      </c>
    </row>
    <row r="542" spans="19:20">
      <c r="S542" t="str">
        <f>IF('[1]REGISTRO ECTS TFT'!$J547&gt;0,'[1]REGISTRO ECTS TFT'!$B547,"")</f>
        <v/>
      </c>
      <c r="T542" t="str">
        <f>'[2]DATOS DOCENTES'!$D541</f>
        <v>Jiménez Arberas, Estíbaliz</v>
      </c>
    </row>
    <row r="543" spans="19:20">
      <c r="S543" t="str">
        <f>IF('[1]REGISTRO ECTS TFT'!$J548&gt;0,'[1]REGISTRO ECTS TFT'!$B548,"")</f>
        <v/>
      </c>
      <c r="T543" t="str">
        <f>'[2]DATOS DOCENTES'!$D542</f>
        <v>Jiménez Ballester, Ana María</v>
      </c>
    </row>
    <row r="544" spans="19:20">
      <c r="S544" t="str">
        <f>IF('[1]REGISTRO ECTS TFT'!$J549&gt;0,'[1]REGISTRO ECTS TFT'!$B549,"")</f>
        <v>Neef, Alexander</v>
      </c>
      <c r="T544" t="str">
        <f>'[2]DATOS DOCENTES'!$D543</f>
        <v>Jiménez García, Segundo</v>
      </c>
    </row>
    <row r="545" spans="19:20">
      <c r="S545" t="str">
        <f>IF('[1]REGISTRO ECTS TFT'!$J550&gt;0,'[1]REGISTRO ECTS TFT'!$B550,"")</f>
        <v/>
      </c>
      <c r="T545" t="str">
        <f>'[2]DATOS DOCENTES'!$D544</f>
        <v>Jiménez García-Escribano, Patricia</v>
      </c>
    </row>
    <row r="546" spans="19:20">
      <c r="S546" t="str">
        <f>IF('[1]REGISTRO ECTS TFT'!$J551&gt;0,'[1]REGISTRO ECTS TFT'!$B551,"")</f>
        <v/>
      </c>
      <c r="T546" t="str">
        <f>'[2]DATOS DOCENTES'!$D545</f>
        <v>Jiménez López, Paul Eduardo</v>
      </c>
    </row>
    <row r="547" spans="19:20">
      <c r="S547" t="str">
        <f>IF('[1]REGISTRO ECTS TFT'!$J552&gt;0,'[1]REGISTRO ECTS TFT'!$B552,"")</f>
        <v/>
      </c>
      <c r="T547" t="str">
        <f>'[2]DATOS DOCENTES'!$D546</f>
        <v>Jiménez Marín, Antonio</v>
      </c>
    </row>
    <row r="548" spans="19:20">
      <c r="S548" t="str">
        <f>IF('[1]REGISTRO ECTS TFT'!$J553&gt;0,'[1]REGISTRO ECTS TFT'!$B553,"")</f>
        <v/>
      </c>
      <c r="T548" t="str">
        <f>'[2]DATOS DOCENTES'!$D547</f>
        <v>Jiménez Martínez, Javier</v>
      </c>
    </row>
    <row r="549" spans="19:20">
      <c r="S549" t="str">
        <f>IF('[1]REGISTRO ECTS TFT'!$J554&gt;0,'[1]REGISTRO ECTS TFT'!$B554,"")</f>
        <v/>
      </c>
      <c r="T549" t="str">
        <f>'[2]DATOS DOCENTES'!$D548</f>
        <v>Jiménez Real, María Carmen</v>
      </c>
    </row>
    <row r="550" spans="19:20">
      <c r="S550" t="str">
        <f>IF('[1]REGISTRO ECTS TFT'!$J555&gt;0,'[1]REGISTRO ECTS TFT'!$B555,"")</f>
        <v/>
      </c>
      <c r="T550" t="str">
        <f>'[2]DATOS DOCENTES'!$D549</f>
        <v>Jiménez Rodríguez, José Manuel</v>
      </c>
    </row>
    <row r="551" spans="19:20">
      <c r="S551" t="str">
        <f>IF('[1]REGISTRO ECTS TFT'!$J556&gt;0,'[1]REGISTRO ECTS TFT'!$B556,"")</f>
        <v/>
      </c>
      <c r="T551" t="str">
        <f>'[2]DATOS DOCENTES'!$D550</f>
        <v>Jiménez Rubio, María Yolanda</v>
      </c>
    </row>
    <row r="552" spans="19:20">
      <c r="S552" t="str">
        <f>IF('[1]REGISTRO ECTS TFT'!$J557&gt;0,'[1]REGISTRO ECTS TFT'!$B557,"")</f>
        <v/>
      </c>
      <c r="T552" t="str">
        <f>'[2]DATOS DOCENTES'!$D551</f>
        <v>Jiménez Sánchez, Cecilia</v>
      </c>
    </row>
    <row r="553" spans="19:20">
      <c r="S553" t="str">
        <f>IF('[1]REGISTRO ECTS TFT'!$J558&gt;0,'[1]REGISTRO ECTS TFT'!$B558,"")</f>
        <v/>
      </c>
      <c r="T553" t="str">
        <f>'[2]DATOS DOCENTES'!$D552</f>
        <v>Juárez Carreño, Sergio</v>
      </c>
    </row>
    <row r="554" spans="19:20">
      <c r="S554" t="str">
        <f>IF('[1]REGISTRO ECTS TFT'!$J559&gt;0,'[1]REGISTRO ECTS TFT'!$B559,"")</f>
        <v/>
      </c>
      <c r="T554" t="str">
        <f>'[2]DATOS DOCENTES'!$D553</f>
        <v>Juarros Basterretxea, Joel</v>
      </c>
    </row>
    <row r="555" spans="19:20">
      <c r="S555" t="str">
        <f>IF('[1]REGISTRO ECTS TFT'!$J560&gt;0,'[1]REGISTRO ECTS TFT'!$B560,"")</f>
        <v/>
      </c>
      <c r="T555" t="str">
        <f>'[2]DATOS DOCENTES'!$D554</f>
        <v>Kasprzak, Agata</v>
      </c>
    </row>
    <row r="556" spans="19:20">
      <c r="S556" t="str">
        <f>IF('[1]REGISTRO ECTS TFT'!$J561&gt;0,'[1]REGISTRO ECTS TFT'!$B561,"")</f>
        <v/>
      </c>
      <c r="T556" t="str">
        <f>'[2]DATOS DOCENTES'!$D555</f>
        <v>Lairón Peris, Maria</v>
      </c>
    </row>
    <row r="557" spans="19:20">
      <c r="S557" t="str">
        <f>IF('[1]REGISTRO ECTS TFT'!$J562&gt;0,'[1]REGISTRO ECTS TFT'!$B562,"")</f>
        <v/>
      </c>
      <c r="T557" t="str">
        <f>'[2]DATOS DOCENTES'!$D556</f>
        <v>Lamiquiz Moneo, Itziar</v>
      </c>
    </row>
    <row r="558" spans="19:20">
      <c r="S558" t="str">
        <f>IF('[1]REGISTRO ECTS TFT'!$J563&gt;0,'[1]REGISTRO ECTS TFT'!$B563,"")</f>
        <v/>
      </c>
      <c r="T558" t="str">
        <f>'[2]DATOS DOCENTES'!$D557</f>
        <v>Laorden Gutiérrez, Cristina</v>
      </c>
    </row>
    <row r="559" spans="19:20">
      <c r="S559" t="str">
        <f>IF('[1]REGISTRO ECTS TFT'!$J564&gt;0,'[1]REGISTRO ECTS TFT'!$B564,"")</f>
        <v/>
      </c>
      <c r="T559" t="str">
        <f>'[2]DATOS DOCENTES'!$D558</f>
        <v>Laparra Llopis, José Moisés</v>
      </c>
    </row>
    <row r="560" spans="19:20">
      <c r="S560" t="str">
        <f>IF('[1]REGISTRO ECTS TFT'!$J565&gt;0,'[1]REGISTRO ECTS TFT'!$B565,"")</f>
        <v/>
      </c>
      <c r="T560" t="str">
        <f>'[2]DATOS DOCENTES'!$D559</f>
        <v>Lara Estepa, Tania</v>
      </c>
    </row>
    <row r="561" spans="19:20">
      <c r="S561" t="str">
        <f>IF('[1]REGISTRO ECTS TFT'!$J566&gt;0,'[1]REGISTRO ECTS TFT'!$B566,"")</f>
        <v/>
      </c>
      <c r="T561" t="str">
        <f>'[2]DATOS DOCENTES'!$D560</f>
        <v>Lara Pérez, Elvira</v>
      </c>
    </row>
    <row r="562" spans="19:20">
      <c r="S562" t="str">
        <f>IF('[1]REGISTRO ECTS TFT'!$J567&gt;0,'[1]REGISTRO ECTS TFT'!$B567,"")</f>
        <v/>
      </c>
      <c r="T562" t="str">
        <f>'[2]DATOS DOCENTES'!$D561</f>
        <v>Larumbe Llobell, Laura</v>
      </c>
    </row>
    <row r="563" spans="19:20">
      <c r="S563" t="str">
        <f>IF('[1]REGISTRO ECTS TFT'!$J568&gt;0,'[1]REGISTRO ECTS TFT'!$B568,"")</f>
        <v/>
      </c>
      <c r="T563" t="str">
        <f>'[2]DATOS DOCENTES'!$D562</f>
        <v>Layrón Folgado, José Enrique</v>
      </c>
    </row>
    <row r="564" spans="19:20">
      <c r="S564" t="str">
        <f>IF('[1]REGISTRO ECTS TFT'!$J569&gt;0,'[1]REGISTRO ECTS TFT'!$B569,"")</f>
        <v/>
      </c>
      <c r="T564" t="str">
        <f>'[2]DATOS DOCENTES'!$D563</f>
        <v>Lázaro Pérez, Esther</v>
      </c>
    </row>
    <row r="565" spans="19:20">
      <c r="S565" t="str">
        <f>IF('[1]REGISTRO ECTS TFT'!$J570&gt;0,'[1]REGISTRO ECTS TFT'!$B570,"")</f>
        <v/>
      </c>
      <c r="T565" t="str">
        <f>'[2]DATOS DOCENTES'!$D564</f>
        <v>Leal Quiñones, Alejandro</v>
      </c>
    </row>
    <row r="566" spans="19:20">
      <c r="S566" t="str">
        <f>IF('[1]REGISTRO ECTS TFT'!$J571&gt;0,'[1]REGISTRO ECTS TFT'!$B571,"")</f>
        <v/>
      </c>
      <c r="T566" t="str">
        <f>'[2]DATOS DOCENTES'!$D565</f>
        <v>Lebrusán Murillo, Irene</v>
      </c>
    </row>
    <row r="567" spans="19:20">
      <c r="S567" t="str">
        <f>IF('[1]REGISTRO ECTS TFT'!$J572&gt;0,'[1]REGISTRO ECTS TFT'!$B572,"")</f>
        <v/>
      </c>
      <c r="T567" t="str">
        <f>'[2]DATOS DOCENTES'!$D566</f>
        <v>Lendínez Mesa, Alejandro</v>
      </c>
    </row>
    <row r="568" spans="19:20">
      <c r="S568" t="str">
        <f>IF('[1]REGISTRO ECTS TFT'!$J573&gt;0,'[1]REGISTRO ECTS TFT'!$B573,"")</f>
        <v/>
      </c>
      <c r="T568" t="str">
        <f>'[2]DATOS DOCENTES'!$D567</f>
        <v>Lendínez Turón, Ana</v>
      </c>
    </row>
    <row r="569" spans="19:20">
      <c r="S569" t="str">
        <f>IF('[1]REGISTRO ECTS TFT'!$J574&gt;0,'[1]REGISTRO ECTS TFT'!$B574,"")</f>
        <v/>
      </c>
      <c r="T569" t="str">
        <f>'[2]DATOS DOCENTES'!$D568</f>
        <v>León Domene, José Juan</v>
      </c>
    </row>
    <row r="570" spans="19:20">
      <c r="S570" t="str">
        <f>IF('[1]REGISTRO ECTS TFT'!$J575&gt;0,'[1]REGISTRO ECTS TFT'!$B575,"")</f>
        <v/>
      </c>
      <c r="T570" t="str">
        <f>'[2]DATOS DOCENTES'!$D569</f>
        <v>León Medina, Vanesa</v>
      </c>
    </row>
    <row r="571" spans="19:20">
      <c r="S571" t="str">
        <f>IF('[1]REGISTRO ECTS TFT'!$J576&gt;0,'[1]REGISTRO ECTS TFT'!$B576,"")</f>
        <v/>
      </c>
      <c r="T571" t="str">
        <f>'[2]DATOS DOCENTES'!$D570</f>
        <v>Lillo Crespo, Manuel</v>
      </c>
    </row>
    <row r="572" spans="19:20">
      <c r="S572" t="str">
        <f>IF('[1]REGISTRO ECTS TFT'!$J577&gt;0,'[1]REGISTRO ECTS TFT'!$B577,"")</f>
        <v/>
      </c>
      <c r="T572" t="str">
        <f>'[2]DATOS DOCENTES'!$D571</f>
        <v>Linares Lerma, Sarai</v>
      </c>
    </row>
    <row r="573" spans="19:20">
      <c r="S573" t="str">
        <f>IF('[1]REGISTRO ECTS TFT'!$J578&gt;0,'[1]REGISTRO ECTS TFT'!$B578,"")</f>
        <v/>
      </c>
      <c r="T573" t="str">
        <f>'[2]DATOS DOCENTES'!$D572</f>
        <v>Liriano Durán, Ángela María</v>
      </c>
    </row>
    <row r="574" spans="19:20">
      <c r="S574" t="str">
        <f>IF('[1]REGISTRO ECTS TFT'!$J579&gt;0,'[1]REGISTRO ECTS TFT'!$B579,"")</f>
        <v/>
      </c>
      <c r="T574" t="str">
        <f>'[2]DATOS DOCENTES'!$D573</f>
        <v>Liz Rivas, Lenny</v>
      </c>
    </row>
    <row r="575" spans="19:20">
      <c r="S575" t="str">
        <f>IF('[1]REGISTRO ECTS TFT'!$J580&gt;0,'[1]REGISTRO ECTS TFT'!$B580,"")</f>
        <v/>
      </c>
      <c r="T575" t="str">
        <f>'[2]DATOS DOCENTES'!$D574</f>
        <v>Llamas Pérez, Encarna</v>
      </c>
    </row>
    <row r="576" spans="19:20">
      <c r="S576" t="str">
        <f>IF('[1]REGISTRO ECTS TFT'!$J581&gt;0,'[1]REGISTRO ECTS TFT'!$B581,"")</f>
        <v/>
      </c>
      <c r="T576" t="str">
        <f>'[2]DATOS DOCENTES'!$D575</f>
        <v>Llanos Baldivieso, Claudia</v>
      </c>
    </row>
    <row r="577" spans="19:20">
      <c r="S577" t="str">
        <f>IF('[1]REGISTRO ECTS TFT'!$J582&gt;0,'[1]REGISTRO ECTS TFT'!$B582,"")</f>
        <v/>
      </c>
      <c r="T577" t="str">
        <f>'[2]DATOS DOCENTES'!$D576</f>
        <v>Llanos Román, Gabriela Andrea</v>
      </c>
    </row>
    <row r="578" spans="19:20">
      <c r="S578" t="str">
        <f>IF('[1]REGISTRO ECTS TFT'!$J583&gt;0,'[1]REGISTRO ECTS TFT'!$B583,"")</f>
        <v/>
      </c>
      <c r="T578" t="str">
        <f>'[2]DATOS DOCENTES'!$D577</f>
        <v>Llerena Companioni, Odalia</v>
      </c>
    </row>
    <row r="579" spans="19:20">
      <c r="S579" t="str">
        <f>IF('[1]REGISTRO ECTS TFT'!$J584&gt;0,'[1]REGISTRO ECTS TFT'!$B584,"")</f>
        <v/>
      </c>
      <c r="T579" t="str">
        <f>'[2]DATOS DOCENTES'!$D578</f>
        <v>Lloret Fernández, Carla</v>
      </c>
    </row>
    <row r="580" spans="19:20">
      <c r="S580" t="str">
        <f>IF('[1]REGISTRO ECTS TFT'!$J585&gt;0,'[1]REGISTRO ECTS TFT'!$B585,"")</f>
        <v/>
      </c>
      <c r="T580" t="str">
        <f>'[2]DATOS DOCENTES'!$D579</f>
        <v>Lluch Sanz, Cristina</v>
      </c>
    </row>
    <row r="581" spans="19:20">
      <c r="S581" t="str">
        <f>IF('[1]REGISTRO ECTS TFT'!$J586&gt;0,'[1]REGISTRO ECTS TFT'!$B586,"")</f>
        <v/>
      </c>
      <c r="T581" t="str">
        <f>'[2]DATOS DOCENTES'!$D580</f>
        <v>Loinaz Calvo, Ismael</v>
      </c>
    </row>
    <row r="582" spans="19:20">
      <c r="S582" t="str">
        <f>IF('[1]REGISTRO ECTS TFT'!$J587&gt;0,'[1]REGISTRO ECTS TFT'!$B587,"")</f>
        <v/>
      </c>
      <c r="T582" t="str">
        <f>'[2]DATOS DOCENTES'!$D581</f>
        <v>Loira, Eugenia</v>
      </c>
    </row>
    <row r="583" spans="19:20">
      <c r="S583" t="str">
        <f>IF('[1]REGISTRO ECTS TFT'!$J588&gt;0,'[1]REGISTRO ECTS TFT'!$B588,"")</f>
        <v/>
      </c>
      <c r="T583" t="str">
        <f>'[2]DATOS DOCENTES'!$D582</f>
        <v>Longares Segarra, María</v>
      </c>
    </row>
    <row r="584" spans="19:20">
      <c r="S584" t="str">
        <f>IF('[1]REGISTRO ECTS TFT'!$J589&gt;0,'[1]REGISTRO ECTS TFT'!$B589,"")</f>
        <v/>
      </c>
      <c r="T584" t="str">
        <f>'[2]DATOS DOCENTES'!$D583</f>
        <v>López Alba, Cristina</v>
      </c>
    </row>
    <row r="585" spans="19:20">
      <c r="S585" t="str">
        <f>IF('[1]REGISTRO ECTS TFT'!$J590&gt;0,'[1]REGISTRO ECTS TFT'!$B590,"")</f>
        <v/>
      </c>
      <c r="T585" t="str">
        <f>'[2]DATOS DOCENTES'!$D584</f>
        <v>López Barroso, Diana</v>
      </c>
    </row>
    <row r="586" spans="19:20">
      <c r="S586" t="str">
        <f>IF('[1]REGISTRO ECTS TFT'!$J591&gt;0,'[1]REGISTRO ECTS TFT'!$B591,"")</f>
        <v/>
      </c>
      <c r="T586" t="str">
        <f>'[2]DATOS DOCENTES'!$D585</f>
        <v>López Carballo, Gracia</v>
      </c>
    </row>
    <row r="587" spans="19:20">
      <c r="S587" t="str">
        <f>IF('[1]REGISTRO ECTS TFT'!$J592&gt;0,'[1]REGISTRO ECTS TFT'!$B592,"")</f>
        <v/>
      </c>
      <c r="T587" t="str">
        <f>'[2]DATOS DOCENTES'!$D586</f>
        <v>López de las Hazas Mingo, María del Carmen</v>
      </c>
    </row>
    <row r="588" spans="19:20">
      <c r="S588" t="str">
        <f>IF('[1]REGISTRO ECTS TFT'!$J593&gt;0,'[1]REGISTRO ECTS TFT'!$B593,"")</f>
        <v/>
      </c>
      <c r="T588" t="str">
        <f>'[2]DATOS DOCENTES'!$D587</f>
        <v>López de Solorzano, Carmen Consuelo</v>
      </c>
    </row>
    <row r="589" spans="19:20">
      <c r="S589" t="str">
        <f>IF('[1]REGISTRO ECTS TFT'!$J594&gt;0,'[1]REGISTRO ECTS TFT'!$B594,"")</f>
        <v/>
      </c>
      <c r="T589" t="str">
        <f>'[2]DATOS DOCENTES'!$D588</f>
        <v>López de Uralde Selva, Mª Angeles</v>
      </c>
    </row>
    <row r="590" spans="19:20">
      <c r="S590" t="str">
        <f>IF('[1]REGISTRO ECTS TFT'!$J595&gt;0,'[1]REGISTRO ECTS TFT'!$B595,"")</f>
        <v/>
      </c>
      <c r="T590" t="str">
        <f>'[2]DATOS DOCENTES'!$D589</f>
        <v>López García, Marta</v>
      </c>
    </row>
    <row r="591" spans="19:20">
      <c r="S591" t="str">
        <f>IF('[1]REGISTRO ECTS TFT'!$J596&gt;0,'[1]REGISTRO ECTS TFT'!$B596,"")</f>
        <v/>
      </c>
      <c r="T591" t="str">
        <f>'[2]DATOS DOCENTES'!$D590</f>
        <v>López García, Gabriel</v>
      </c>
    </row>
    <row r="592" spans="19:20">
      <c r="S592" t="str">
        <f>IF('[1]REGISTRO ECTS TFT'!$J597&gt;0,'[1]REGISTRO ECTS TFT'!$B597,"")</f>
        <v/>
      </c>
      <c r="T592" t="str">
        <f>'[2]DATOS DOCENTES'!$D591</f>
        <v>López González, Beatriz</v>
      </c>
    </row>
    <row r="593" spans="19:20">
      <c r="S593" t="str">
        <f>IF('[1]REGISTRO ECTS TFT'!$J598&gt;0,'[1]REGISTRO ECTS TFT'!$B598,"")</f>
        <v/>
      </c>
      <c r="T593" t="str">
        <f>'[2]DATOS DOCENTES'!$D592</f>
        <v>López Hernández, Bárbara Patricia</v>
      </c>
    </row>
    <row r="594" spans="19:20">
      <c r="S594" t="str">
        <f>IF('[1]REGISTRO ECTS TFT'!$J599&gt;0,'[1]REGISTRO ECTS TFT'!$B599,"")</f>
        <v/>
      </c>
      <c r="T594" t="str">
        <f>'[2]DATOS DOCENTES'!$D593</f>
        <v>López Hernández, Paloma</v>
      </c>
    </row>
    <row r="595" spans="19:20">
      <c r="S595" t="str">
        <f>IF('[1]REGISTRO ECTS TFT'!$J600&gt;0,'[1]REGISTRO ECTS TFT'!$B600,"")</f>
        <v/>
      </c>
      <c r="T595" t="str">
        <f>'[2]DATOS DOCENTES'!$D594</f>
        <v>López Jiménez, Elisa</v>
      </c>
    </row>
    <row r="596" spans="19:20">
      <c r="S596" t="str">
        <f>IF('[1]REGISTRO ECTS TFT'!$J601&gt;0,'[1]REGISTRO ECTS TFT'!$B601,"")</f>
        <v/>
      </c>
      <c r="T596" t="str">
        <f>'[2]DATOS DOCENTES'!$D595</f>
        <v>López Mases, Patricia</v>
      </c>
    </row>
    <row r="597" spans="19:20">
      <c r="S597" t="str">
        <f>IF('[1]REGISTRO ECTS TFT'!$J602&gt;0,'[1]REGISTRO ECTS TFT'!$B602,"")</f>
        <v/>
      </c>
      <c r="T597" t="str">
        <f>'[2]DATOS DOCENTES'!$D596</f>
        <v>López Montoyo, Alba</v>
      </c>
    </row>
    <row r="598" spans="19:20">
      <c r="S598" t="str">
        <f>IF('[1]REGISTRO ECTS TFT'!$J603&gt;0,'[1]REGISTRO ECTS TFT'!$B603,"")</f>
        <v/>
      </c>
      <c r="T598" t="str">
        <f>'[2]DATOS DOCENTES'!$D597</f>
        <v>López Morales, Mikahela Andrea</v>
      </c>
    </row>
    <row r="599" spans="19:20">
      <c r="S599" t="str">
        <f>IF('[1]REGISTRO ECTS TFT'!$J604&gt;0,'[1]REGISTRO ECTS TFT'!$B604,"")</f>
        <v/>
      </c>
      <c r="T599" t="str">
        <f>'[2]DATOS DOCENTES'!$D598</f>
        <v>López Olmo, Lidia</v>
      </c>
    </row>
    <row r="600" spans="19:20">
      <c r="S600" t="str">
        <f>IF('[1]REGISTRO ECTS TFT'!$J605&gt;0,'[1]REGISTRO ECTS TFT'!$B605,"")</f>
        <v/>
      </c>
      <c r="T600" t="str">
        <f>'[2]DATOS DOCENTES'!$D599</f>
        <v>López Pérez, Maria Luisa</v>
      </c>
    </row>
    <row r="601" spans="19:20">
      <c r="S601" t="str">
        <f>IF('[1]REGISTRO ECTS TFT'!$J606&gt;0,'[1]REGISTRO ECTS TFT'!$B606,"")</f>
        <v/>
      </c>
      <c r="T601" t="str">
        <f>'[2]DATOS DOCENTES'!$D600</f>
        <v>López Pérez, Luis</v>
      </c>
    </row>
    <row r="602" spans="19:20">
      <c r="S602" t="str">
        <f>IF('[1]REGISTRO ECTS TFT'!$J607&gt;0,'[1]REGISTRO ECTS TFT'!$B607,"")</f>
        <v/>
      </c>
      <c r="T602" t="str">
        <f>'[2]DATOS DOCENTES'!$D601</f>
        <v>López Ruiz, Pilar</v>
      </c>
    </row>
    <row r="603" spans="19:20">
      <c r="S603" t="str">
        <f>IF('[1]REGISTRO ECTS TFT'!$J608&gt;0,'[1]REGISTRO ECTS TFT'!$B608,"")</f>
        <v/>
      </c>
      <c r="T603" t="str">
        <f>'[2]DATOS DOCENTES'!$D602</f>
        <v>López Zamora, Miguel</v>
      </c>
    </row>
    <row r="604" spans="19:20">
      <c r="S604" t="str">
        <f>IF('[1]REGISTRO ECTS TFT'!$J609&gt;0,'[1]REGISTRO ECTS TFT'!$B609,"")</f>
        <v/>
      </c>
      <c r="T604" t="str">
        <f>'[2]DATOS DOCENTES'!$D603</f>
        <v>López Zaplana, Álvaro</v>
      </c>
    </row>
    <row r="605" spans="19:20">
      <c r="S605" t="str">
        <f>IF('[1]REGISTRO ECTS TFT'!$J610&gt;0,'[1]REGISTRO ECTS TFT'!$B610,"")</f>
        <v/>
      </c>
      <c r="T605" t="str">
        <f>'[2]DATOS DOCENTES'!$D604</f>
        <v>López-Almansa Beaus, Laura Emmanuela</v>
      </c>
    </row>
    <row r="606" spans="19:20">
      <c r="S606" t="str">
        <f>IF('[1]REGISTRO ECTS TFT'!$J611&gt;0,'[1]REGISTRO ECTS TFT'!$B611,"")</f>
        <v/>
      </c>
      <c r="T606" t="str">
        <f>'[2]DATOS DOCENTES'!$D605</f>
        <v>Lorente Rovira, Ester</v>
      </c>
    </row>
    <row r="607" spans="19:20">
      <c r="S607" t="str">
        <f>IF('[1]REGISTRO ECTS TFT'!$J612&gt;0,'[1]REGISTRO ECTS TFT'!$B612,"")</f>
        <v/>
      </c>
      <c r="T607" t="str">
        <f>'[2]DATOS DOCENTES'!$D606</f>
        <v>Lorenzo Sánchez, Gemma Pilar</v>
      </c>
    </row>
    <row r="608" spans="19:20">
      <c r="S608" t="str">
        <f>IF('[1]REGISTRO ECTS TFT'!$J613&gt;0,'[1]REGISTRO ECTS TFT'!$B613,"")</f>
        <v/>
      </c>
      <c r="T608" t="str">
        <f>'[2]DATOS DOCENTES'!$D607</f>
        <v>Lorenzo Sánchez-Aguilera, Cristina</v>
      </c>
    </row>
    <row r="609" spans="19:20">
      <c r="S609" t="str">
        <f>IF('[1]REGISTRO ECTS TFT'!$J614&gt;0,'[1]REGISTRO ECTS TFT'!$B614,"")</f>
        <v/>
      </c>
      <c r="T609" t="str">
        <f>'[2]DATOS DOCENTES'!$D608</f>
        <v>Lozano García, Alejandro</v>
      </c>
    </row>
    <row r="610" spans="19:20">
      <c r="S610" t="str">
        <f>IF('[1]REGISTRO ECTS TFT'!$J615&gt;0,'[1]REGISTRO ECTS TFT'!$B615,"")</f>
        <v/>
      </c>
      <c r="T610" t="str">
        <f>'[2]DATOS DOCENTES'!$D609</f>
        <v>Lozano Ruiz, Álvaro</v>
      </c>
    </row>
    <row r="611" spans="19:20">
      <c r="S611" t="str">
        <f>IF('[1]REGISTRO ECTS TFT'!$J616&gt;0,'[1]REGISTRO ECTS TFT'!$B616,"")</f>
        <v/>
      </c>
      <c r="T611" t="str">
        <f>'[2]DATOS DOCENTES'!$D610</f>
        <v>Lucantoni, Federico</v>
      </c>
    </row>
    <row r="612" spans="19:20">
      <c r="S612" t="str">
        <f>IF('[1]REGISTRO ECTS TFT'!$J617&gt;0,'[1]REGISTRO ECTS TFT'!$B617,"")</f>
        <v/>
      </c>
      <c r="T612" t="str">
        <f>'[2]DATOS DOCENTES'!$D611</f>
        <v>Lucas Blanco, Fernando</v>
      </c>
    </row>
    <row r="613" spans="19:20">
      <c r="S613" t="str">
        <f>IF('[1]REGISTRO ECTS TFT'!$J618&gt;0,'[1]REGISTRO ECTS TFT'!$B618,"")</f>
        <v/>
      </c>
      <c r="T613" t="str">
        <f>'[2]DATOS DOCENTES'!$D612</f>
        <v>Luna Calcaño, Inés María</v>
      </c>
    </row>
    <row r="614" spans="19:20">
      <c r="S614" t="str">
        <f>IF('[1]REGISTRO ECTS TFT'!$J619&gt;0,'[1]REGISTRO ECTS TFT'!$B619,"")</f>
        <v/>
      </c>
      <c r="T614" t="str">
        <f>'[2]DATOS DOCENTES'!$D613</f>
        <v>Luna Ovalle, Paula</v>
      </c>
    </row>
    <row r="615" spans="19:20">
      <c r="S615" t="str">
        <f>IF('[1]REGISTRO ECTS TFT'!$J620&gt;0,'[1]REGISTRO ECTS TFT'!$B620,"")</f>
        <v/>
      </c>
      <c r="T615" t="str">
        <f>'[2]DATOS DOCENTES'!$D614</f>
        <v>Luna Rivas, Sara</v>
      </c>
    </row>
    <row r="616" spans="19:20">
      <c r="S616" t="str">
        <f>IF('[1]REGISTRO ECTS TFT'!$J621&gt;0,'[1]REGISTRO ECTS TFT'!$B621,"")</f>
        <v/>
      </c>
      <c r="T616" t="str">
        <f>'[2]DATOS DOCENTES'!$D615</f>
        <v>Macedo Pascual, Joaquín</v>
      </c>
    </row>
    <row r="617" spans="19:20">
      <c r="S617" t="str">
        <f>IF('[1]REGISTRO ECTS TFT'!$J622&gt;0,'[1]REGISTRO ECTS TFT'!$B622,"")</f>
        <v/>
      </c>
      <c r="T617" t="str">
        <f>'[2]DATOS DOCENTES'!$D616</f>
        <v>Macías Morón, Juan José</v>
      </c>
    </row>
    <row r="618" spans="19:20">
      <c r="S618" t="str">
        <f>IF('[1]REGISTRO ECTS TFT'!$J623&gt;0,'[1]REGISTRO ECTS TFT'!$B623,"")</f>
        <v/>
      </c>
      <c r="T618" t="str">
        <f>'[2]DATOS DOCENTES'!$D617</f>
        <v>Macuare Richard, Melissa Cristina</v>
      </c>
    </row>
    <row r="619" spans="19:20">
      <c r="S619" t="str">
        <f>IF('[1]REGISTRO ECTS TFT'!$J624&gt;0,'[1]REGISTRO ECTS TFT'!$B624,"")</f>
        <v/>
      </c>
      <c r="T619" t="str">
        <f>'[2]DATOS DOCENTES'!$D618</f>
        <v>Madrid Mañez, Elena</v>
      </c>
    </row>
    <row r="620" spans="19:20">
      <c r="S620" t="str">
        <f>IF('[1]REGISTRO ECTS TFT'!$J625&gt;0,'[1]REGISTRO ECTS TFT'!$B625,"")</f>
        <v/>
      </c>
      <c r="T620" t="str">
        <f>'[2]DATOS DOCENTES'!$D619</f>
        <v>Magán Maganto, Maria del Carmen</v>
      </c>
    </row>
    <row r="621" spans="19:20">
      <c r="S621" t="str">
        <f>IF('[1]REGISTRO ECTS TFT'!$J626&gt;0,'[1]REGISTRO ECTS TFT'!$B626,"")</f>
        <v/>
      </c>
      <c r="T621" t="str">
        <f>'[2]DATOS DOCENTES'!$D620</f>
        <v>Maldonado Aragón, Mónica Soledad</v>
      </c>
    </row>
    <row r="622" spans="19:20">
      <c r="S622" t="str">
        <f>IF('[1]REGISTRO ECTS TFT'!$J627&gt;0,'[1]REGISTRO ECTS TFT'!$B627,"")</f>
        <v/>
      </c>
      <c r="T622" t="str">
        <f>'[2]DATOS DOCENTES'!$D621</f>
        <v>Maldonado López , Marina</v>
      </c>
    </row>
    <row r="623" spans="19:20">
      <c r="S623" t="str">
        <f>IF('[1]REGISTRO ECTS TFT'!$J628&gt;0,'[1]REGISTRO ECTS TFT'!$B628,"")</f>
        <v/>
      </c>
      <c r="T623" t="str">
        <f>'[2]DATOS DOCENTES'!$D622</f>
        <v>Mañas Olmo, Moisés</v>
      </c>
    </row>
    <row r="624" spans="19:20">
      <c r="S624" t="str">
        <f>IF('[1]REGISTRO ECTS TFT'!$J629&gt;0,'[1]REGISTRO ECTS TFT'!$B629,"")</f>
        <v/>
      </c>
      <c r="T624" t="str">
        <f>'[2]DATOS DOCENTES'!$D623</f>
        <v>Mañas Padilla, María del Carmen</v>
      </c>
    </row>
    <row r="625" spans="19:20">
      <c r="S625" t="str">
        <f>IF('[1]REGISTRO ECTS TFT'!$J630&gt;0,'[1]REGISTRO ECTS TFT'!$B630,"")</f>
        <v/>
      </c>
      <c r="T625" t="str">
        <f>'[2]DATOS DOCENTES'!$D624</f>
        <v>Mañas Pérez, Antonio Francisco</v>
      </c>
    </row>
    <row r="626" spans="19:20">
      <c r="S626" t="str">
        <f>IF('[1]REGISTRO ECTS TFT'!$J631&gt;0,'[1]REGISTRO ECTS TFT'!$B631,"")</f>
        <v/>
      </c>
      <c r="T626" t="str">
        <f>'[2]DATOS DOCENTES'!$D625</f>
        <v>Mancha López, Ana</v>
      </c>
    </row>
    <row r="627" spans="19:20">
      <c r="S627" t="str">
        <f>IF('[1]REGISTRO ECTS TFT'!$J632&gt;0,'[1]REGISTRO ECTS TFT'!$B632,"")</f>
        <v/>
      </c>
      <c r="T627" t="str">
        <f>'[2]DATOS DOCENTES'!$D626</f>
        <v>Manchón López , Javier</v>
      </c>
    </row>
    <row r="628" spans="19:20">
      <c r="S628" t="str">
        <f>IF('[1]REGISTRO ECTS TFT'!$J633&gt;0,'[1]REGISTRO ECTS TFT'!$B633,"")</f>
        <v/>
      </c>
      <c r="T628" t="str">
        <f>'[2]DATOS DOCENTES'!$D627</f>
        <v>Mangas Losada, Alba</v>
      </c>
    </row>
    <row r="629" spans="19:20">
      <c r="S629" t="str">
        <f>IF('[1]REGISTRO ECTS TFT'!$J634&gt;0,'[1]REGISTRO ECTS TFT'!$B634,"")</f>
        <v/>
      </c>
      <c r="T629" t="str">
        <f>'[2]DATOS DOCENTES'!$D628</f>
        <v>Manjón Luque, Ester María</v>
      </c>
    </row>
    <row r="630" spans="19:20">
      <c r="S630" t="str">
        <f>IF('[1]REGISTRO ECTS TFT'!$J635&gt;0,'[1]REGISTRO ECTS TFT'!$B635,"")</f>
        <v/>
      </c>
      <c r="T630" t="str">
        <f>'[2]DATOS DOCENTES'!$D629</f>
        <v>Mansego Talavera, María Luisa</v>
      </c>
    </row>
    <row r="631" spans="19:20">
      <c r="S631" t="str">
        <f>IF('[1]REGISTRO ECTS TFT'!$J636&gt;0,'[1]REGISTRO ECTS TFT'!$B636,"")</f>
        <v>Riobello Suárez, Cristina</v>
      </c>
      <c r="T631" t="str">
        <f>'[2]DATOS DOCENTES'!$D630</f>
        <v>Manzano Nuñez, Fatima</v>
      </c>
    </row>
    <row r="632" spans="19:20">
      <c r="S632" t="str">
        <f>IF('[1]REGISTRO ECTS TFT'!$J637&gt;0,'[1]REGISTRO ECTS TFT'!$B637,"")</f>
        <v/>
      </c>
      <c r="T632" t="str">
        <f>'[2]DATOS DOCENTES'!$D631</f>
        <v>Manzano Redondo, Álvaro</v>
      </c>
    </row>
    <row r="633" spans="19:20">
      <c r="S633" t="str">
        <f>IF('[1]REGISTRO ECTS TFT'!$J638&gt;0,'[1]REGISTRO ECTS TFT'!$B638,"")</f>
        <v/>
      </c>
      <c r="T633" t="str">
        <f>'[2]DATOS DOCENTES'!$D632</f>
        <v>Marcelín Alvarado, María Alejandra</v>
      </c>
    </row>
    <row r="634" spans="19:20">
      <c r="S634" t="str">
        <f>IF('[1]REGISTRO ECTS TFT'!$J639&gt;0,'[1]REGISTRO ECTS TFT'!$B639,"")</f>
        <v/>
      </c>
      <c r="T634" t="str">
        <f>'[2]DATOS DOCENTES'!$D633</f>
        <v>Marco Francisco, Miriam</v>
      </c>
    </row>
    <row r="635" spans="19:20">
      <c r="S635" t="str">
        <f>IF('[1]REGISTRO ECTS TFT'!$J640&gt;0,'[1]REGISTRO ECTS TFT'!$B640,"")</f>
        <v/>
      </c>
      <c r="T635" t="str">
        <f>'[2]DATOS DOCENTES'!$D634</f>
        <v>Marco Garbayo, José Luis</v>
      </c>
    </row>
    <row r="636" spans="19:20">
      <c r="S636" t="str">
        <f>IF('[1]REGISTRO ECTS TFT'!$J641&gt;0,'[1]REGISTRO ECTS TFT'!$B641,"")</f>
        <v/>
      </c>
      <c r="T636" t="str">
        <f>'[2]DATOS DOCENTES'!$D635</f>
        <v>Marco Moyano, Adrián</v>
      </c>
    </row>
    <row r="637" spans="19:20">
      <c r="S637" t="str">
        <f>IF('[1]REGISTRO ECTS TFT'!$J642&gt;0,'[1]REGISTRO ECTS TFT'!$B642,"")</f>
        <v/>
      </c>
      <c r="T637" t="str">
        <f>'[2]DATOS DOCENTES'!$D636</f>
        <v>Marcos Martínez, Verónica</v>
      </c>
    </row>
    <row r="638" spans="19:20">
      <c r="S638" t="str">
        <f>IF('[1]REGISTRO ECTS TFT'!$J643&gt;0,'[1]REGISTRO ECTS TFT'!$B643,"")</f>
        <v/>
      </c>
      <c r="T638" t="str">
        <f>'[2]DATOS DOCENTES'!$D637</f>
        <v>Marcos Pasero, Helena</v>
      </c>
    </row>
    <row r="639" spans="19:20">
      <c r="S639" t="str">
        <f>IF('[1]REGISTRO ECTS TFT'!$J644&gt;0,'[1]REGISTRO ECTS TFT'!$B644,"")</f>
        <v/>
      </c>
      <c r="T639" t="str">
        <f>'[2]DATOS DOCENTES'!$D638</f>
        <v>Margolles García, Pedro</v>
      </c>
    </row>
    <row r="640" spans="19:20">
      <c r="S640" t="str">
        <f>IF('[1]REGISTRO ECTS TFT'!$J645&gt;0,'[1]REGISTRO ECTS TFT'!$B645,"")</f>
        <v/>
      </c>
      <c r="T640" t="str">
        <f>'[2]DATOS DOCENTES'!$D639</f>
        <v>Marín García, Pablo</v>
      </c>
    </row>
    <row r="641" spans="19:20">
      <c r="S641" t="str">
        <f>IF('[1]REGISTRO ECTS TFT'!$J646&gt;0,'[1]REGISTRO ECTS TFT'!$B646,"")</f>
        <v/>
      </c>
      <c r="T641" t="str">
        <f>'[2]DATOS DOCENTES'!$D640</f>
        <v>Marín Maicas, Patricia</v>
      </c>
    </row>
    <row r="642" spans="19:20">
      <c r="S642" t="str">
        <f>IF('[1]REGISTRO ECTS TFT'!$J647&gt;0,'[1]REGISTRO ECTS TFT'!$B647,"")</f>
        <v/>
      </c>
      <c r="T642" t="str">
        <f>'[2]DATOS DOCENTES'!$D641</f>
        <v>Marín Manrique, Antonio</v>
      </c>
    </row>
    <row r="643" spans="19:20">
      <c r="S643" t="str">
        <f>IF('[1]REGISTRO ECTS TFT'!$J648&gt;0,'[1]REGISTRO ECTS TFT'!$B648,"")</f>
        <v/>
      </c>
      <c r="T643" t="str">
        <f>'[2]DATOS DOCENTES'!$D642</f>
        <v>Marín Morales, Agar</v>
      </c>
    </row>
    <row r="644" spans="19:20">
      <c r="S644" t="str">
        <f>IF('[1]REGISTRO ECTS TFT'!$J649&gt;0,'[1]REGISTRO ECTS TFT'!$B649,"")</f>
        <v/>
      </c>
      <c r="T644" t="str">
        <f>'[2]DATOS DOCENTES'!$D643</f>
        <v>Marín Romero, Bartolomé</v>
      </c>
    </row>
    <row r="645" spans="19:20">
      <c r="S645" t="str">
        <f>IF('[1]REGISTRO ECTS TFT'!$J650&gt;0,'[1]REGISTRO ECTS TFT'!$B650,"")</f>
        <v/>
      </c>
      <c r="T645" t="str">
        <f>'[2]DATOS DOCENTES'!$D644</f>
        <v>Marín Tejeda, Miguel Israel</v>
      </c>
    </row>
    <row r="646" spans="19:20">
      <c r="S646" t="str">
        <f>IF('[1]REGISTRO ECTS TFT'!$J651&gt;0,'[1]REGISTRO ECTS TFT'!$B651,"")</f>
        <v/>
      </c>
      <c r="T646" t="str">
        <f>'[2]DATOS DOCENTES'!$D645</f>
        <v>Mariñas Pardo, Luis Antonio</v>
      </c>
    </row>
    <row r="647" spans="19:20">
      <c r="S647" t="str">
        <f>IF('[1]REGISTRO ECTS TFT'!$J652&gt;0,'[1]REGISTRO ECTS TFT'!$B652,"")</f>
        <v/>
      </c>
      <c r="T647" t="str">
        <f>'[2]DATOS DOCENTES'!$D646</f>
        <v>Mármol López, María Isabel</v>
      </c>
    </row>
    <row r="648" spans="19:20">
      <c r="S648" t="str">
        <f>IF('[1]REGISTRO ECTS TFT'!$J653&gt;0,'[1]REGISTRO ECTS TFT'!$B653,"")</f>
        <v/>
      </c>
      <c r="T648" t="str">
        <f>'[2]DATOS DOCENTES'!$D647</f>
        <v>Márquez Arrico, Julia Elena</v>
      </c>
    </row>
    <row r="649" spans="19:20">
      <c r="S649" t="str">
        <f>IF('[1]REGISTRO ECTS TFT'!$J654&gt;0,'[1]REGISTRO ECTS TFT'!$B654,"")</f>
        <v/>
      </c>
      <c r="T649" t="str">
        <f>'[2]DATOS DOCENTES'!$D648</f>
        <v>Márquez Baldó, Lidia</v>
      </c>
    </row>
    <row r="650" spans="19:20">
      <c r="S650" t="str">
        <f>IF('[1]REGISTRO ECTS TFT'!$J655&gt;0,'[1]REGISTRO ECTS TFT'!$B655,"")</f>
        <v/>
      </c>
      <c r="T650" t="str">
        <f>'[2]DATOS DOCENTES'!$D649</f>
        <v>Márquez Rodríguez, Reinaldo Luis</v>
      </c>
    </row>
    <row r="651" spans="19:20">
      <c r="S651" t="str">
        <f>IF('[1]REGISTRO ECTS TFT'!$J656&gt;0,'[1]REGISTRO ECTS TFT'!$B656,"")</f>
        <v/>
      </c>
      <c r="T651" t="str">
        <f>'[2]DATOS DOCENTES'!$D650</f>
        <v>Marquina Rodríguez, María Isabel</v>
      </c>
    </row>
    <row r="652" spans="19:20">
      <c r="S652" t="str">
        <f>IF('[1]REGISTRO ECTS TFT'!$J657&gt;0,'[1]REGISTRO ECTS TFT'!$B657,"")</f>
        <v/>
      </c>
      <c r="T652" t="str">
        <f>'[2]DATOS DOCENTES'!$D651</f>
        <v>Marquínez Rengifo, José Manuel</v>
      </c>
    </row>
    <row r="653" spans="19:20">
      <c r="S653" t="str">
        <f>IF('[1]REGISTRO ECTS TFT'!$J658&gt;0,'[1]REGISTRO ECTS TFT'!$B658,"")</f>
        <v/>
      </c>
      <c r="T653" t="str">
        <f>'[2]DATOS DOCENTES'!$D652</f>
        <v>Marredo Rosa, Jorge</v>
      </c>
    </row>
    <row r="654" spans="19:20">
      <c r="S654" t="str">
        <f>IF('[1]REGISTRO ECTS TFT'!$J659&gt;0,'[1]REGISTRO ECTS TFT'!$B659,"")</f>
        <v/>
      </c>
      <c r="T654" t="str">
        <f>'[2]DATOS DOCENTES'!$D653</f>
        <v>Martí Noguera, Juan José</v>
      </c>
    </row>
    <row r="655" spans="19:20">
      <c r="S655" t="str">
        <f>IF('[1]REGISTRO ECTS TFT'!$J660&gt;0,'[1]REGISTRO ECTS TFT'!$B660,"")</f>
        <v/>
      </c>
      <c r="T655" t="str">
        <f>'[2]DATOS DOCENTES'!$D654</f>
        <v>Martín De la Higuera, José Carlos</v>
      </c>
    </row>
    <row r="656" spans="19:20">
      <c r="S656" t="str">
        <f>IF('[1]REGISTRO ECTS TFT'!$J661&gt;0,'[1]REGISTRO ECTS TFT'!$B661,"")</f>
        <v/>
      </c>
      <c r="T656" t="str">
        <f>'[2]DATOS DOCENTES'!$D655</f>
        <v>Martín Guitart, Juan Jesús</v>
      </c>
    </row>
    <row r="657" spans="19:20">
      <c r="S657" t="str">
        <f>IF('[1]REGISTRO ECTS TFT'!$J662&gt;0,'[1]REGISTRO ECTS TFT'!$B662,"")</f>
        <v/>
      </c>
      <c r="T657" t="str">
        <f>'[2]DATOS DOCENTES'!$D656</f>
        <v>Martín Molina, Francisco</v>
      </c>
    </row>
    <row r="658" spans="19:20">
      <c r="S658" t="str">
        <f>IF('[1]REGISTRO ECTS TFT'!$J663&gt;0,'[1]REGISTRO ECTS TFT'!$B663,"")</f>
        <v/>
      </c>
      <c r="T658" t="str">
        <f>'[2]DATOS DOCENTES'!$D657</f>
        <v>Martín Ríos, Raquel</v>
      </c>
    </row>
    <row r="659" spans="19:20">
      <c r="S659" t="str">
        <f>IF('[1]REGISTRO ECTS TFT'!$J664&gt;0,'[1]REGISTRO ECTS TFT'!$B664,"")</f>
        <v/>
      </c>
      <c r="T659" t="str">
        <f>'[2]DATOS DOCENTES'!$D658</f>
        <v>Martín Rodríguez, Deborah</v>
      </c>
    </row>
    <row r="660" spans="19:20">
      <c r="S660" t="str">
        <f>IF('[1]REGISTRO ECTS TFT'!$J665&gt;0,'[1]REGISTRO ECTS TFT'!$B665,"")</f>
        <v/>
      </c>
      <c r="T660" t="str">
        <f>'[2]DATOS DOCENTES'!$D659</f>
        <v>Martín Sanz, Noemy</v>
      </c>
    </row>
    <row r="661" spans="19:20">
      <c r="S661" t="str">
        <f>IF('[1]REGISTRO ECTS TFT'!$J666&gt;0,'[1]REGISTRO ECTS TFT'!$B666,"")</f>
        <v/>
      </c>
      <c r="T661" t="str">
        <f>'[2]DATOS DOCENTES'!$D660</f>
        <v>Martín Valdelomar, Alejandro</v>
      </c>
    </row>
    <row r="662" spans="19:20">
      <c r="S662" t="str">
        <f>IF('[1]REGISTRO ECTS TFT'!$J667&gt;0,'[1]REGISTRO ECTS TFT'!$B667,"")</f>
        <v/>
      </c>
      <c r="T662" t="str">
        <f>'[2]DATOS DOCENTES'!$D661</f>
        <v>Martínez Arroyo, Olga</v>
      </c>
    </row>
    <row r="663" spans="19:20">
      <c r="S663" t="str">
        <f>IF('[1]REGISTRO ECTS TFT'!$J668&gt;0,'[1]REGISTRO ECTS TFT'!$B668,"")</f>
        <v/>
      </c>
      <c r="T663" t="str">
        <f>'[2]DATOS DOCENTES'!$D662</f>
        <v>Martínez Bacaicoa, Itxaso</v>
      </c>
    </row>
    <row r="664" spans="19:20">
      <c r="S664" t="str">
        <f>IF('[1]REGISTRO ECTS TFT'!$J669&gt;0,'[1]REGISTRO ECTS TFT'!$B669,"")</f>
        <v/>
      </c>
      <c r="T664" t="str">
        <f>'[2]DATOS DOCENTES'!$D663</f>
        <v>Martínez Bacaicoa, Jone</v>
      </c>
    </row>
    <row r="665" spans="19:20">
      <c r="S665" t="str">
        <f>IF('[1]REGISTRO ECTS TFT'!$J670&gt;0,'[1]REGISTRO ECTS TFT'!$B670,"")</f>
        <v>Sabater Olivas, Laura</v>
      </c>
      <c r="T665" t="str">
        <f>'[2]DATOS DOCENTES'!$D664</f>
        <v>Martínez Cano, Ana</v>
      </c>
    </row>
    <row r="666" spans="19:20">
      <c r="S666" t="str">
        <f>IF('[1]REGISTRO ECTS TFT'!$J671&gt;0,'[1]REGISTRO ECTS TFT'!$B671,"")</f>
        <v/>
      </c>
      <c r="T666" t="str">
        <f>'[2]DATOS DOCENTES'!$D665</f>
        <v>Martínez Castro, María Isabel</v>
      </c>
    </row>
    <row r="667" spans="19:20">
      <c r="S667" t="str">
        <f>IF('[1]REGISTRO ECTS TFT'!$J672&gt;0,'[1]REGISTRO ECTS TFT'!$B672,"")</f>
        <v/>
      </c>
      <c r="T667" t="str">
        <f>'[2]DATOS DOCENTES'!$D666</f>
        <v>Martínez Domingo, José Antonio</v>
      </c>
    </row>
    <row r="668" spans="19:20">
      <c r="S668" t="str">
        <f>IF('[1]REGISTRO ECTS TFT'!$J673&gt;0,'[1]REGISTRO ECTS TFT'!$B673,"")</f>
        <v/>
      </c>
      <c r="T668" t="str">
        <f>'[2]DATOS DOCENTES'!$D667</f>
        <v>Martínez Férriz, Arantxa</v>
      </c>
    </row>
    <row r="669" spans="19:20">
      <c r="S669" t="str">
        <f>IF('[1]REGISTRO ECTS TFT'!$J674&gt;0,'[1]REGISTRO ECTS TFT'!$B674,"")</f>
        <v/>
      </c>
      <c r="T669" t="str">
        <f>'[2]DATOS DOCENTES'!$D668</f>
        <v>Martínez Gallego, Irene</v>
      </c>
    </row>
    <row r="670" spans="19:20">
      <c r="S670" t="str">
        <f>IF('[1]REGISTRO ECTS TFT'!$J675&gt;0,'[1]REGISTRO ECTS TFT'!$B675,"")</f>
        <v/>
      </c>
      <c r="T670" t="str">
        <f>'[2]DATOS DOCENTES'!$D669</f>
        <v>Martínez González, Cristina</v>
      </c>
    </row>
    <row r="671" spans="19:20">
      <c r="S671" t="str">
        <f>IF('[1]REGISTRO ECTS TFT'!$J676&gt;0,'[1]REGISTRO ECTS TFT'!$B676,"")</f>
        <v/>
      </c>
      <c r="T671" t="str">
        <f>'[2]DATOS DOCENTES'!$D670</f>
        <v>Martínez González, Natalia</v>
      </c>
    </row>
    <row r="672" spans="19:20">
      <c r="S672" t="str">
        <f>IF('[1]REGISTRO ECTS TFT'!$J677&gt;0,'[1]REGISTRO ECTS TFT'!$B677,"")</f>
        <v/>
      </c>
      <c r="T672" t="str">
        <f>'[2]DATOS DOCENTES'!$D671</f>
        <v>Martínez López, Paula</v>
      </c>
    </row>
    <row r="673" spans="19:20">
      <c r="S673" t="str">
        <f>IF('[1]REGISTRO ECTS TFT'!$J678&gt;0,'[1]REGISTRO ECTS TFT'!$B678,"")</f>
        <v/>
      </c>
      <c r="T673" t="str">
        <f>'[2]DATOS DOCENTES'!$D672</f>
        <v>Martínez Martí, Joana</v>
      </c>
    </row>
    <row r="674" spans="19:20">
      <c r="S674" t="str">
        <f>IF('[1]REGISTRO ECTS TFT'!$J679&gt;0,'[1]REGISTRO ECTS TFT'!$B679,"")</f>
        <v/>
      </c>
      <c r="T674" t="str">
        <f>'[2]DATOS DOCENTES'!$D673</f>
        <v>Martínez Martínez, Concepción</v>
      </c>
    </row>
    <row r="675" spans="19:20">
      <c r="S675" t="str">
        <f>IF('[1]REGISTRO ECTS TFT'!$J680&gt;0,'[1]REGISTRO ECTS TFT'!$B680,"")</f>
        <v/>
      </c>
      <c r="T675" t="str">
        <f>'[2]DATOS DOCENTES'!$D674</f>
        <v>Martínez Medina, David</v>
      </c>
    </row>
    <row r="676" spans="19:20">
      <c r="S676" t="str">
        <f>IF('[1]REGISTRO ECTS TFT'!$J681&gt;0,'[1]REGISTRO ECTS TFT'!$B681,"")</f>
        <v/>
      </c>
      <c r="T676" t="str">
        <f>'[2]DATOS DOCENTES'!$D675</f>
        <v>Martínez Mendoza, Gloria Esperanza</v>
      </c>
    </row>
    <row r="677" spans="19:20">
      <c r="S677" t="str">
        <f>IF('[1]REGISTRO ECTS TFT'!$J682&gt;0,'[1]REGISTRO ECTS TFT'!$B682,"")</f>
        <v/>
      </c>
      <c r="T677" t="str">
        <f>'[2]DATOS DOCENTES'!$D676</f>
        <v>Martínez Mir, Raúl</v>
      </c>
    </row>
    <row r="678" spans="19:20">
      <c r="S678" t="str">
        <f>IF('[1]REGISTRO ECTS TFT'!$J683&gt;0,'[1]REGISTRO ECTS TFT'!$B683,"")</f>
        <v/>
      </c>
      <c r="T678" t="str">
        <f>'[2]DATOS DOCENTES'!$D677</f>
        <v>Martínez Montañés, Fernando</v>
      </c>
    </row>
    <row r="679" spans="19:20">
      <c r="S679" t="str">
        <f>IF('[1]REGISTRO ECTS TFT'!$J684&gt;0,'[1]REGISTRO ECTS TFT'!$B684,"")</f>
        <v/>
      </c>
      <c r="T679" t="str">
        <f>'[2]DATOS DOCENTES'!$D678</f>
        <v>Martínez Nicolás, Israel</v>
      </c>
    </row>
    <row r="680" spans="19:20">
      <c r="S680" t="str">
        <f>IF('[1]REGISTRO ECTS TFT'!$J685&gt;0,'[1]REGISTRO ECTS TFT'!$B685,"")</f>
        <v/>
      </c>
      <c r="T680" t="str">
        <f>'[2]DATOS DOCENTES'!$D679</f>
        <v>Martínez Regueiro, Rocío</v>
      </c>
    </row>
    <row r="681" spans="19:20">
      <c r="S681" t="str">
        <f>IF('[1]REGISTRO ECTS TFT'!$J686&gt;0,'[1]REGISTRO ECTS TFT'!$B686,"")</f>
        <v/>
      </c>
      <c r="T681" t="str">
        <f>'[2]DATOS DOCENTES'!$D680</f>
        <v>Martínez Sierra, Ricel</v>
      </c>
    </row>
    <row r="682" spans="19:20">
      <c r="S682" t="str">
        <f>IF('[1]REGISTRO ECTS TFT'!$J687&gt;0,'[1]REGISTRO ECTS TFT'!$B687,"")</f>
        <v/>
      </c>
      <c r="T682" t="str">
        <f>'[2]DATOS DOCENTES'!$D681</f>
        <v>Martínez Tornay, Antonio</v>
      </c>
    </row>
    <row r="683" spans="19:20">
      <c r="S683" t="str">
        <f>IF('[1]REGISTRO ECTS TFT'!$J688&gt;0,'[1]REGISTRO ECTS TFT'!$B688,"")</f>
        <v/>
      </c>
      <c r="T683" t="str">
        <f>'[2]DATOS DOCENTES'!$D682</f>
        <v>Martínez Varea, Alicia María</v>
      </c>
    </row>
    <row r="684" spans="19:20">
      <c r="S684" t="str">
        <f>IF('[1]REGISTRO ECTS TFT'!$J689&gt;0,'[1]REGISTRO ECTS TFT'!$B689,"")</f>
        <v/>
      </c>
      <c r="T684" t="str">
        <f>'[2]DATOS DOCENTES'!$D683</f>
        <v>Martínez-Cava Cáceres, Irene</v>
      </c>
    </row>
    <row r="685" spans="19:20">
      <c r="S685" t="str">
        <f>IF('[1]REGISTRO ECTS TFT'!$J690&gt;0,'[1]REGISTRO ECTS TFT'!$B690,"")</f>
        <v/>
      </c>
      <c r="T685" t="str">
        <f>'[2]DATOS DOCENTES'!$D684</f>
        <v>Martins Pestana, Feliberto</v>
      </c>
    </row>
    <row r="686" spans="19:20">
      <c r="S686" t="str">
        <f>IF('[1]REGISTRO ECTS TFT'!$J691&gt;0,'[1]REGISTRO ECTS TFT'!$B691,"")</f>
        <v/>
      </c>
      <c r="T686" t="str">
        <f>'[2]DATOS DOCENTES'!$D685</f>
        <v>Marzal Torregrosa, María del Mar</v>
      </c>
    </row>
    <row r="687" spans="19:20">
      <c r="S687" t="str">
        <f>IF('[1]REGISTRO ECTS TFT'!$J692&gt;0,'[1]REGISTRO ECTS TFT'!$B692,"")</f>
        <v/>
      </c>
      <c r="T687" t="str">
        <f>'[2]DATOS DOCENTES'!$D686</f>
        <v>Mas Meneses, Edgar</v>
      </c>
    </row>
    <row r="688" spans="19:20">
      <c r="S688" t="str">
        <f>IF('[1]REGISTRO ECTS TFT'!$J693&gt;0,'[1]REGISTRO ECTS TFT'!$B693,"")</f>
        <v/>
      </c>
      <c r="T688" t="str">
        <f>'[2]DATOS DOCENTES'!$D687</f>
        <v>Maseda Moreno, Maria del Pilar</v>
      </c>
    </row>
    <row r="689" spans="19:20">
      <c r="S689" t="str">
        <f>IF('[1]REGISTRO ECTS TFT'!$J694&gt;0,'[1]REGISTRO ECTS TFT'!$B694,"")</f>
        <v/>
      </c>
      <c r="T689" t="str">
        <f>'[2]DATOS DOCENTES'!$D688</f>
        <v>Mateo Urdiales, Alberto</v>
      </c>
    </row>
    <row r="690" spans="19:20">
      <c r="S690" t="str">
        <f>IF('[1]REGISTRO ECTS TFT'!$J695&gt;0,'[1]REGISTRO ECTS TFT'!$B695,"")</f>
        <v/>
      </c>
      <c r="T690" t="str">
        <f>'[2]DATOS DOCENTES'!$D689</f>
        <v>Mateu Mollá, Joaquín</v>
      </c>
    </row>
    <row r="691" spans="19:20">
      <c r="S691" t="str">
        <f>IF('[1]REGISTRO ECTS TFT'!$J696&gt;0,'[1]REGISTRO ECTS TFT'!$B696,"")</f>
        <v/>
      </c>
      <c r="T691" t="str">
        <f>'[2]DATOS DOCENTES'!$D690</f>
        <v>Matoses Marco, Vicente</v>
      </c>
    </row>
    <row r="692" spans="19:20">
      <c r="S692" t="str">
        <f>IF('[1]REGISTRO ECTS TFT'!$J697&gt;0,'[1]REGISTRO ECTS TFT'!$B697,"")</f>
        <v/>
      </c>
      <c r="T692" t="str">
        <f>'[2]DATOS DOCENTES'!$D691</f>
        <v>Mayorga Sierra, Erika Giovanna</v>
      </c>
    </row>
    <row r="693" spans="19:20">
      <c r="S693" t="str">
        <f>IF('[1]REGISTRO ECTS TFT'!$J698&gt;0,'[1]REGISTRO ECTS TFT'!$B698,"")</f>
        <v>Sebastián Martínez López</v>
      </c>
      <c r="T693" t="str">
        <f>'[2]DATOS DOCENTES'!$D692</f>
        <v>Medina Salas, Daniel</v>
      </c>
    </row>
    <row r="694" spans="19:20">
      <c r="S694" t="str">
        <f>IF('[1]REGISTRO ECTS TFT'!$J699&gt;0,'[1]REGISTRO ECTS TFT'!$B699,"")</f>
        <v/>
      </c>
      <c r="T694" t="str">
        <f>'[2]DATOS DOCENTES'!$D693</f>
        <v>Medinilla Tena, Patricia</v>
      </c>
    </row>
    <row r="695" spans="19:20">
      <c r="S695" t="str">
        <f>IF('[1]REGISTRO ECTS TFT'!$J700&gt;0,'[1]REGISTRO ECTS TFT'!$B700,"")</f>
        <v/>
      </c>
      <c r="T695" t="str">
        <f>'[2]DATOS DOCENTES'!$D694</f>
        <v>Melgarejo González Conde, Verónica</v>
      </c>
    </row>
    <row r="696" spans="19:20">
      <c r="S696" t="str">
        <f>IF('[1]REGISTRO ECTS TFT'!$J701&gt;0,'[1]REGISTRO ECTS TFT'!$B701,"")</f>
        <v/>
      </c>
      <c r="T696" t="str">
        <f>'[2]DATOS DOCENTES'!$D695</f>
        <v>Mena Moreno, Teresa</v>
      </c>
    </row>
    <row r="697" spans="19:20">
      <c r="S697" t="str">
        <f>IF('[1]REGISTRO ECTS TFT'!$J702&gt;0,'[1]REGISTRO ECTS TFT'!$B702,"")</f>
        <v/>
      </c>
      <c r="T697" t="str">
        <f>'[2]DATOS DOCENTES'!$D696</f>
        <v>Mena Romero, Adriana</v>
      </c>
    </row>
    <row r="698" spans="19:20">
      <c r="S698" t="str">
        <f>IF('[1]REGISTRO ECTS TFT'!$J703&gt;0,'[1]REGISTRO ECTS TFT'!$B703,"")</f>
        <v/>
      </c>
      <c r="T698" t="str">
        <f>'[2]DATOS DOCENTES'!$D697</f>
        <v>Méndez Belinchón, Ester</v>
      </c>
    </row>
    <row r="699" spans="19:20">
      <c r="S699" t="str">
        <f>IF('[1]REGISTRO ECTS TFT'!$J704&gt;0,'[1]REGISTRO ECTS TFT'!$B704,"")</f>
        <v/>
      </c>
      <c r="T699" t="str">
        <f>'[2]DATOS DOCENTES'!$D698</f>
        <v>Méndez Navarro, Luz Marina</v>
      </c>
    </row>
    <row r="700" spans="19:20">
      <c r="S700" t="str">
        <f>IF('[1]REGISTRO ECTS TFT'!$J705&gt;0,'[1]REGISTRO ECTS TFT'!$B705,"")</f>
        <v/>
      </c>
      <c r="T700" t="str">
        <f>'[2]DATOS DOCENTES'!$D699</f>
        <v>Méndez Rosales, Mirna</v>
      </c>
    </row>
    <row r="701" spans="19:20">
      <c r="S701" t="str">
        <f>IF('[1]REGISTRO ECTS TFT'!$J706&gt;0,'[1]REGISTRO ECTS TFT'!$B706,"")</f>
        <v/>
      </c>
      <c r="T701" t="str">
        <f>'[2]DATOS DOCENTES'!$D700</f>
        <v>Mercader Rovira, Alberto</v>
      </c>
    </row>
    <row r="702" spans="19:20">
      <c r="S702" t="str">
        <f>IF('[1]REGISTRO ECTS TFT'!$J707&gt;0,'[1]REGISTRO ECTS TFT'!$B707,"")</f>
        <v/>
      </c>
      <c r="T702" t="str">
        <f>'[2]DATOS DOCENTES'!$D701</f>
        <v>Merhi Auar, Richard</v>
      </c>
    </row>
    <row r="703" spans="19:20">
      <c r="S703" t="str">
        <f>IF('[1]REGISTRO ECTS TFT'!$J708&gt;0,'[1]REGISTRO ECTS TFT'!$B708,"")</f>
        <v/>
      </c>
      <c r="T703" t="str">
        <f>'[2]DATOS DOCENTES'!$D702</f>
        <v>Merino Lorente, Susana</v>
      </c>
    </row>
    <row r="704" spans="19:20">
      <c r="S704" t="str">
        <f>IF('[1]REGISTRO ECTS TFT'!$J709&gt;0,'[1]REGISTRO ECTS TFT'!$B709,"")</f>
        <v/>
      </c>
      <c r="T704" t="str">
        <f>'[2]DATOS DOCENTES'!$D703</f>
        <v>Merino Ruiz, Margarita</v>
      </c>
    </row>
    <row r="705" spans="19:20">
      <c r="S705" t="str">
        <f>IF('[1]REGISTRO ECTS TFT'!$J710&gt;0,'[1]REGISTRO ECTS TFT'!$B710,"")</f>
        <v/>
      </c>
      <c r="T705" t="str">
        <f>'[2]DATOS DOCENTES'!$D704</f>
        <v>Mesas Fernández, Javier</v>
      </c>
    </row>
    <row r="706" spans="19:20">
      <c r="S706" t="str">
        <f>IF('[1]REGISTRO ECTS TFT'!$J711&gt;0,'[1]REGISTRO ECTS TFT'!$B711,"")</f>
        <v/>
      </c>
      <c r="T706" t="str">
        <f>'[2]DATOS DOCENTES'!$D705</f>
        <v>Mestre Bach, Gemma</v>
      </c>
    </row>
    <row r="707" spans="19:20">
      <c r="S707" t="str">
        <f>IF('[1]REGISTRO ECTS TFT'!$J712&gt;0,'[1]REGISTRO ECTS TFT'!$B712,"")</f>
        <v/>
      </c>
      <c r="T707" t="str">
        <f>'[2]DATOS DOCENTES'!$D706</f>
        <v>Mestre Navas, José Miguel</v>
      </c>
    </row>
    <row r="708" spans="19:20">
      <c r="S708" t="str">
        <f>IF('[1]REGISTRO ECTS TFT'!$J713&gt;0,'[1]REGISTRO ECTS TFT'!$B713,"")</f>
        <v/>
      </c>
      <c r="T708" t="str">
        <f>'[2]DATOS DOCENTES'!$D707</f>
        <v>Mimon Rahal, Ilham</v>
      </c>
    </row>
    <row r="709" spans="19:20">
      <c r="S709" t="str">
        <f>IF('[1]REGISTRO ECTS TFT'!$J714&gt;0,'[1]REGISTRO ECTS TFT'!$B714,"")</f>
        <v/>
      </c>
      <c r="T709" t="str">
        <f>'[2]DATOS DOCENTES'!$D708</f>
        <v>Miravalls Torres, Raquel</v>
      </c>
    </row>
    <row r="710" spans="19:20">
      <c r="S710" t="str">
        <f>IF('[1]REGISTRO ECTS TFT'!$J715&gt;0,'[1]REGISTRO ECTS TFT'!$B715,"")</f>
        <v/>
      </c>
      <c r="T710" t="str">
        <f>'[2]DATOS DOCENTES'!$D709</f>
        <v>Mitjans Lafont, María Teresa</v>
      </c>
    </row>
    <row r="711" spans="19:20">
      <c r="S711" t="str">
        <f>IF('[1]REGISTRO ECTS TFT'!$J716&gt;0,'[1]REGISTRO ECTS TFT'!$B716,"")</f>
        <v/>
      </c>
      <c r="T711" t="str">
        <f>'[2]DATOS DOCENTES'!$D710</f>
        <v>Mojarro Corrales, María de la Barca</v>
      </c>
    </row>
    <row r="712" spans="19:20">
      <c r="S712" t="str">
        <f>IF('[1]REGISTRO ECTS TFT'!$J717&gt;0,'[1]REGISTRO ECTS TFT'!$B717,"")</f>
        <v/>
      </c>
      <c r="T712" t="str">
        <f>'[2]DATOS DOCENTES'!$D711</f>
        <v>Moldovan Moldovan, Roxana Andreea</v>
      </c>
    </row>
    <row r="713" spans="19:20">
      <c r="S713" t="str">
        <f>IF('[1]REGISTRO ECTS TFT'!$J718&gt;0,'[1]REGISTRO ECTS TFT'!$B718,"")</f>
        <v/>
      </c>
      <c r="T713" t="str">
        <f>'[2]DATOS DOCENTES'!$D712</f>
        <v>Molero Zafra, Milagros</v>
      </c>
    </row>
    <row r="714" spans="19:20">
      <c r="S714" t="str">
        <f>IF('[1]REGISTRO ECTS TFT'!$J719&gt;0,'[1]REGISTRO ECTS TFT'!$B719,"")</f>
        <v/>
      </c>
      <c r="T714" t="str">
        <f>'[2]DATOS DOCENTES'!$D713</f>
        <v>Molés Amposta, Maria del Mar</v>
      </c>
    </row>
    <row r="715" spans="19:20">
      <c r="S715" t="str">
        <f>IF('[1]REGISTRO ECTS TFT'!$J720&gt;0,'[1]REGISTRO ECTS TFT'!$B720,"")</f>
        <v/>
      </c>
      <c r="T715" t="str">
        <f>'[2]DATOS DOCENTES'!$D714</f>
        <v>Moles López, Elisabet</v>
      </c>
    </row>
    <row r="716" spans="19:20">
      <c r="S716" t="str">
        <f>IF('[1]REGISTRO ECTS TFT'!$J721&gt;0,'[1]REGISTRO ECTS TFT'!$B721,"")</f>
        <v/>
      </c>
      <c r="T716" t="str">
        <f>'[2]DATOS DOCENTES'!$D715</f>
        <v>Molina Fernández, Elvira</v>
      </c>
    </row>
    <row r="717" spans="19:20">
      <c r="S717" t="str">
        <f>IF('[1]REGISTRO ECTS TFT'!$J722&gt;0,'[1]REGISTRO ECTS TFT'!$B722,"")</f>
        <v/>
      </c>
      <c r="T717" t="str">
        <f>'[2]DATOS DOCENTES'!$D716</f>
        <v>Molina Luque, Rafael</v>
      </c>
    </row>
    <row r="718" spans="19:20">
      <c r="S718" t="str">
        <f>IF('[1]REGISTRO ECTS TFT'!$J723&gt;0,'[1]REGISTRO ECTS TFT'!$B723,"")</f>
        <v/>
      </c>
      <c r="T718" t="str">
        <f>'[2]DATOS DOCENTES'!$D717</f>
        <v>Molina Mula, Jesús</v>
      </c>
    </row>
    <row r="719" spans="19:20">
      <c r="S719" t="str">
        <f>IF('[1]REGISTRO ECTS TFT'!$J724&gt;0,'[1]REGISTRO ECTS TFT'!$B724,"")</f>
        <v/>
      </c>
      <c r="T719" t="str">
        <f>'[2]DATOS DOCENTES'!$D718</f>
        <v>Molinari Conde, Guadalupe</v>
      </c>
    </row>
    <row r="720" spans="19:20">
      <c r="S720" t="str">
        <f>IF('[1]REGISTRO ECTS TFT'!$J725&gt;0,'[1]REGISTRO ECTS TFT'!$B725,"")</f>
        <v/>
      </c>
      <c r="T720" t="str">
        <f>'[2]DATOS DOCENTES'!$D719</f>
        <v>Molins Correa, Francisco José</v>
      </c>
    </row>
    <row r="721" spans="19:20">
      <c r="S721" t="str">
        <f>IF('[1]REGISTRO ECTS TFT'!$J726&gt;0,'[1]REGISTRO ECTS TFT'!$B726,"")</f>
        <v/>
      </c>
      <c r="T721" t="str">
        <f>'[2]DATOS DOCENTES'!$D720</f>
        <v>Moll Vinuesa, Adrián</v>
      </c>
    </row>
    <row r="722" spans="19:20">
      <c r="S722" t="str">
        <f>IF('[1]REGISTRO ECTS TFT'!$J727&gt;0,'[1]REGISTRO ECTS TFT'!$B727,"")</f>
        <v/>
      </c>
      <c r="T722" t="str">
        <f>'[2]DATOS DOCENTES'!$D721</f>
        <v>Momblona Robres, Lucía</v>
      </c>
    </row>
    <row r="723" spans="19:20">
      <c r="S723" t="str">
        <f>IF('[1]REGISTRO ECTS TFT'!$J728&gt;0,'[1]REGISTRO ECTS TFT'!$B728,"")</f>
        <v>Tobar Tosse, Henry Fabian</v>
      </c>
      <c r="T723" t="str">
        <f>'[2]DATOS DOCENTES'!$D722</f>
        <v>Mónaco Gerónimo, Estefanía</v>
      </c>
    </row>
    <row r="724" spans="19:20">
      <c r="S724" t="str">
        <f>IF('[1]REGISTRO ECTS TFT'!$J729&gt;0,'[1]REGISTRO ECTS TFT'!$B729,"")</f>
        <v/>
      </c>
      <c r="T724" t="str">
        <f>'[2]DATOS DOCENTES'!$D723</f>
        <v>Monfort Torres, Gonzalo</v>
      </c>
    </row>
    <row r="725" spans="19:20">
      <c r="S725" t="str">
        <f>IF('[1]REGISTRO ECTS TFT'!$J730&gt;0,'[1]REGISTRO ECTS TFT'!$B730,"")</f>
        <v/>
      </c>
      <c r="T725" t="str">
        <f>'[2]DATOS DOCENTES'!$D724</f>
        <v>Monge Ochoa, Belén</v>
      </c>
    </row>
    <row r="726" spans="19:20">
      <c r="S726" t="str">
        <f>IF('[1]REGISTRO ECTS TFT'!$J731&gt;0,'[1]REGISTRO ECTS TFT'!$B731,"")</f>
        <v/>
      </c>
      <c r="T726" t="str">
        <f>'[2]DATOS DOCENTES'!$D725</f>
        <v>Monreal Bartolomé, Alicia</v>
      </c>
    </row>
    <row r="727" spans="19:20">
      <c r="S727" t="str">
        <f>IF('[1]REGISTRO ECTS TFT'!$J732&gt;0,'[1]REGISTRO ECTS TFT'!$B732,"")</f>
        <v/>
      </c>
      <c r="T727" t="str">
        <f>'[2]DATOS DOCENTES'!$D726</f>
        <v>Montagud Fogués, José Vicente</v>
      </c>
    </row>
    <row r="728" spans="19:20">
      <c r="S728" t="str">
        <f>IF('[1]REGISTRO ECTS TFT'!$J733&gt;0,'[1]REGISTRO ECTS TFT'!$B733,"")</f>
        <v/>
      </c>
      <c r="T728" t="str">
        <f>'[2]DATOS DOCENTES'!$D727</f>
        <v>Montero García, Lídia</v>
      </c>
    </row>
    <row r="729" spans="19:20">
      <c r="S729" t="str">
        <f>IF('[1]REGISTRO ECTS TFT'!$J734&gt;0,'[1]REGISTRO ECTS TFT'!$B734,"")</f>
        <v/>
      </c>
      <c r="T729" t="str">
        <f>'[2]DATOS DOCENTES'!$D728</f>
        <v>Montesinos Selfa, Jorge</v>
      </c>
    </row>
    <row r="730" spans="19:20">
      <c r="S730" t="str">
        <f>IF('[1]REGISTRO ECTS TFT'!$J735&gt;0,'[1]REGISTRO ECTS TFT'!$B735,"")</f>
        <v/>
      </c>
      <c r="T730" t="str">
        <f>'[2]DATOS DOCENTES'!$D729</f>
        <v>Monzó Cataluña, Carolina</v>
      </c>
    </row>
    <row r="731" spans="19:20">
      <c r="S731" t="str">
        <f>IF('[1]REGISTRO ECTS TFT'!$J736&gt;0,'[1]REGISTRO ECTS TFT'!$B736,"")</f>
        <v/>
      </c>
      <c r="T731" t="str">
        <f>'[2]DATOS DOCENTES'!$D730</f>
        <v>Mor Rodríguez, Sonia</v>
      </c>
    </row>
    <row r="732" spans="19:20">
      <c r="S732" t="str">
        <f>IF('[1]REGISTRO ECTS TFT'!$J737&gt;0,'[1]REGISTRO ECTS TFT'!$B737,"")</f>
        <v/>
      </c>
      <c r="T732" t="str">
        <f>'[2]DATOS DOCENTES'!$D731</f>
        <v>Mora Martínez, Carlos</v>
      </c>
    </row>
    <row r="733" spans="19:20">
      <c r="S733" t="str">
        <f>IF('[1]REGISTRO ECTS TFT'!$J738&gt;0,'[1]REGISTRO ECTS TFT'!$B738,"")</f>
        <v/>
      </c>
      <c r="T733" t="str">
        <f>'[2]DATOS DOCENTES'!$D732</f>
        <v>Mora Montserrat, Sergio</v>
      </c>
    </row>
    <row r="734" spans="19:20">
      <c r="S734" t="str">
        <f>IF('[1]REGISTRO ECTS TFT'!$J739&gt;0,'[1]REGISTRO ECTS TFT'!$B739,"")</f>
        <v/>
      </c>
      <c r="T734" t="str">
        <f>'[2]DATOS DOCENTES'!$D733</f>
        <v>Mora Salgueiro, Javier</v>
      </c>
    </row>
    <row r="735" spans="19:20">
      <c r="S735" t="str">
        <f>IF('[1]REGISTRO ECTS TFT'!$J740&gt;0,'[1]REGISTRO ECTS TFT'!$B740,"")</f>
        <v/>
      </c>
      <c r="T735" t="str">
        <f>'[2]DATOS DOCENTES'!$D734</f>
        <v>Moraleda Sepúlveda, Esther</v>
      </c>
    </row>
    <row r="736" spans="19:20">
      <c r="S736" t="str">
        <f>IF('[1]REGISTRO ECTS TFT'!$J741&gt;0,'[1]REGISTRO ECTS TFT'!$B741,"")</f>
        <v/>
      </c>
      <c r="T736" t="str">
        <f>'[2]DATOS DOCENTES'!$D735</f>
        <v>Morales Alonso, Sara</v>
      </c>
    </row>
    <row r="737" spans="19:20">
      <c r="S737" t="str">
        <f>IF('[1]REGISTRO ECTS TFT'!$J742&gt;0,'[1]REGISTRO ECTS TFT'!$B742,"")</f>
        <v/>
      </c>
      <c r="T737" t="str">
        <f>'[2]DATOS DOCENTES'!$D736</f>
        <v>Morales Ballina, Adriana Nachieli</v>
      </c>
    </row>
    <row r="738" spans="19:20">
      <c r="S738" t="str">
        <f>IF('[1]REGISTRO ECTS TFT'!$J743&gt;0,'[1]REGISTRO ECTS TFT'!$B743,"")</f>
        <v/>
      </c>
      <c r="T738" t="str">
        <f>'[2]DATOS DOCENTES'!$D737</f>
        <v>Morales Bejarano, Antonio</v>
      </c>
    </row>
    <row r="739" spans="19:20">
      <c r="S739" t="str">
        <f>IF('[1]REGISTRO ECTS TFT'!$J744&gt;0,'[1]REGISTRO ECTS TFT'!$B744,"")</f>
        <v/>
      </c>
      <c r="T739" t="str">
        <f>'[2]DATOS DOCENTES'!$D738</f>
        <v>Morales Gil, Isabel</v>
      </c>
    </row>
    <row r="740" spans="19:20">
      <c r="S740" t="str">
        <f>IF('[1]REGISTRO ECTS TFT'!$J745&gt;0,'[1]REGISTRO ECTS TFT'!$B745,"")</f>
        <v/>
      </c>
      <c r="T740" t="str">
        <f>'[2]DATOS DOCENTES'!$D739</f>
        <v>Morales Giner, Pilar</v>
      </c>
    </row>
    <row r="741" spans="19:20">
      <c r="S741" t="str">
        <f>IF('[1]REGISTRO ECTS TFT'!$J746&gt;0,'[1]REGISTRO ECTS TFT'!$B746,"")</f>
        <v>Valiente Parra, Nicolás</v>
      </c>
      <c r="T741" t="str">
        <f>'[2]DATOS DOCENTES'!$D740</f>
        <v>Morales Sánchez, Lucía</v>
      </c>
    </row>
    <row r="742" spans="19:20">
      <c r="S742" t="str">
        <f>IF('[1]REGISTRO ECTS TFT'!$J747&gt;0,'[1]REGISTRO ECTS TFT'!$B747,"")</f>
        <v/>
      </c>
      <c r="T742" t="str">
        <f>'[2]DATOS DOCENTES'!$D741</f>
        <v>Morante Palacios, Octavio</v>
      </c>
    </row>
    <row r="743" spans="19:20">
      <c r="S743" t="str">
        <f>IF('[1]REGISTRO ECTS TFT'!$J748&gt;0,'[1]REGISTRO ECTS TFT'!$B748,"")</f>
        <v/>
      </c>
      <c r="T743" t="str">
        <f>'[2]DATOS DOCENTES'!$D742</f>
        <v>Morcillo Parra, María Ángeles</v>
      </c>
    </row>
    <row r="744" spans="19:20">
      <c r="S744" t="str">
        <f>IF('[1]REGISTRO ECTS TFT'!$J749&gt;0,'[1]REGISTRO ECTS TFT'!$B749,"")</f>
        <v/>
      </c>
      <c r="T744" t="str">
        <f>'[2]DATOS DOCENTES'!$D743</f>
        <v>Morejón Rodríguez, Leydis</v>
      </c>
    </row>
    <row r="745" spans="19:20">
      <c r="S745" t="str">
        <f>IF('[1]REGISTRO ECTS TFT'!$J750&gt;0,'[1]REGISTRO ECTS TFT'!$B750,"")</f>
        <v/>
      </c>
      <c r="T745" t="str">
        <f>'[2]DATOS DOCENTES'!$D744</f>
        <v>Morell Esteve, Pere</v>
      </c>
    </row>
    <row r="746" spans="19:20">
      <c r="S746" t="str">
        <f>IF('[1]REGISTRO ECTS TFT'!$J751&gt;0,'[1]REGISTRO ECTS TFT'!$B751,"")</f>
        <v/>
      </c>
      <c r="T746" t="str">
        <f>'[2]DATOS DOCENTES'!$D745</f>
        <v>Moreno Alcazar, Ana</v>
      </c>
    </row>
    <row r="747" spans="19:20">
      <c r="S747" t="str">
        <f>IF('[1]REGISTRO ECTS TFT'!$J752&gt;0,'[1]REGISTRO ECTS TFT'!$B752,"")</f>
        <v/>
      </c>
      <c r="T747" t="str">
        <f>'[2]DATOS DOCENTES'!$D746</f>
        <v>Moreno Garrido, Belén</v>
      </c>
    </row>
    <row r="748" spans="19:20">
      <c r="S748" t="str">
        <f>IF('[1]REGISTRO ECTS TFT'!$J753&gt;0,'[1]REGISTRO ECTS TFT'!$B753,"")</f>
        <v/>
      </c>
      <c r="T748" t="str">
        <f>'[2]DATOS DOCENTES'!$D747</f>
        <v>Moreno Mansilla, Sara</v>
      </c>
    </row>
    <row r="749" spans="19:20">
      <c r="S749" t="str">
        <f>IF('[1]REGISTRO ECTS TFT'!$J754&gt;0,'[1]REGISTRO ECTS TFT'!$B754,"")</f>
        <v/>
      </c>
      <c r="T749" t="str">
        <f>'[2]DATOS DOCENTES'!$D748</f>
        <v>Moreno Marín, Nuria</v>
      </c>
    </row>
    <row r="750" spans="19:20">
      <c r="S750" t="str">
        <f>IF('[1]REGISTRO ECTS TFT'!$J755&gt;0,'[1]REGISTRO ECTS TFT'!$B755,"")</f>
        <v>Vázquez Prieto, Severo</v>
      </c>
      <c r="T750" t="str">
        <f>'[2]DATOS DOCENTES'!$D749</f>
        <v>Moreno Martínez, Marina</v>
      </c>
    </row>
    <row r="751" spans="19:20">
      <c r="S751" t="str">
        <f>IF('[1]REGISTRO ECTS TFT'!$J756&gt;0,'[1]REGISTRO ECTS TFT'!$B756,"")</f>
        <v/>
      </c>
      <c r="T751" t="str">
        <f>'[2]DATOS DOCENTES'!$D750</f>
        <v>Moreno Murciano, Paz</v>
      </c>
    </row>
    <row r="752" spans="19:20">
      <c r="S752" t="str">
        <f>IF('[1]REGISTRO ECTS TFT'!$J757&gt;0,'[1]REGISTRO ECTS TFT'!$B757,"")</f>
        <v/>
      </c>
      <c r="T752" t="str">
        <f>'[2]DATOS DOCENTES'!$D751</f>
        <v>Moreno Oliveras, Luis</v>
      </c>
    </row>
    <row r="753" spans="19:20">
      <c r="S753" t="str">
        <f>IF('[1]REGISTRO ECTS TFT'!$J758&gt;0,'[1]REGISTRO ECTS TFT'!$B758,"")</f>
        <v/>
      </c>
      <c r="T753" t="str">
        <f>'[2]DATOS DOCENTES'!$D752</f>
        <v>Moreno Padilla, María</v>
      </c>
    </row>
    <row r="754" spans="19:20">
      <c r="S754" t="str">
        <f>IF('[1]REGISTRO ECTS TFT'!$J759&gt;0,'[1]REGISTRO ECTS TFT'!$B759,"")</f>
        <v/>
      </c>
      <c r="T754" t="str">
        <f>'[2]DATOS DOCENTES'!$D753</f>
        <v>Moreno Segura, Noemí</v>
      </c>
    </row>
    <row r="755" spans="19:20">
      <c r="S755" t="str">
        <f>IF('[1]REGISTRO ECTS TFT'!$J760&gt;0,'[1]REGISTRO ECTS TFT'!$B760,"")</f>
        <v/>
      </c>
      <c r="T755" t="str">
        <f>'[2]DATOS DOCENTES'!$D754</f>
        <v>Moret Alcázar, Rosa María</v>
      </c>
    </row>
    <row r="756" spans="19:20">
      <c r="S756" t="str">
        <f>IF('[1]REGISTRO ECTS TFT'!$J761&gt;0,'[1]REGISTRO ECTS TFT'!$B761,"")</f>
        <v/>
      </c>
      <c r="T756" t="str">
        <f>'[2]DATOS DOCENTES'!$D755</f>
        <v>Moret Tatay, Maria del Carmen</v>
      </c>
    </row>
    <row r="757" spans="19:20">
      <c r="S757" t="str">
        <f>IF('[1]REGISTRO ECTS TFT'!$J762&gt;0,'[1]REGISTRO ECTS TFT'!$B762,"")</f>
        <v/>
      </c>
      <c r="T757" t="str">
        <f>'[2]DATOS DOCENTES'!$D756</f>
        <v>Morilla Rivero, Loida Elizabeth</v>
      </c>
    </row>
    <row r="758" spans="19:20">
      <c r="S758" t="str">
        <f>IF('[1]REGISTRO ECTS TFT'!$J763&gt;0,'[1]REGISTRO ECTS TFT'!$B763,"")</f>
        <v/>
      </c>
      <c r="T758" t="str">
        <f>'[2]DATOS DOCENTES'!$D757</f>
        <v>Moyano Gómez, Ana</v>
      </c>
    </row>
    <row r="759" spans="19:20">
      <c r="S759" t="str">
        <f>IF('[1]REGISTRO ECTS TFT'!$J764&gt;0,'[1]REGISTRO ECTS TFT'!$B764,"")</f>
        <v/>
      </c>
      <c r="T759" t="str">
        <f>'[2]DATOS DOCENTES'!$D758</f>
        <v>Muiños Durán, Mónica</v>
      </c>
    </row>
    <row r="760" spans="19:20">
      <c r="S760" t="str">
        <f>IF('[1]REGISTRO ECTS TFT'!$J765&gt;0,'[1]REGISTRO ECTS TFT'!$B765,"")</f>
        <v/>
      </c>
      <c r="T760" t="str">
        <f>'[2]DATOS DOCENTES'!$D759</f>
        <v>Mula Falcón, Javier</v>
      </c>
    </row>
    <row r="761" spans="19:20">
      <c r="S761" t="str">
        <f>IF('[1]REGISTRO ECTS TFT'!$J766&gt;0,'[1]REGISTRO ECTS TFT'!$B766,"")</f>
        <v/>
      </c>
      <c r="T761" t="str">
        <f>'[2]DATOS DOCENTES'!$D760</f>
        <v>Mullor Ponce, David</v>
      </c>
    </row>
    <row r="762" spans="19:20">
      <c r="S762" t="str">
        <f>IF('[1]REGISTRO ECTS TFT'!$J767&gt;0,'[1]REGISTRO ECTS TFT'!$B767,"")</f>
        <v/>
      </c>
      <c r="T762" t="str">
        <f>'[2]DATOS DOCENTES'!$D761</f>
        <v>Muñoz Castillejo, Ángela</v>
      </c>
    </row>
    <row r="763" spans="19:20">
      <c r="S763" t="str">
        <f>IF('[1]REGISTRO ECTS TFT'!$J768&gt;0,'[1]REGISTRO ECTS TFT'!$B768,"")</f>
        <v/>
      </c>
      <c r="T763" t="str">
        <f>'[2]DATOS DOCENTES'!$D762</f>
        <v>Muñoz Cortés, Rubén</v>
      </c>
    </row>
    <row r="764" spans="19:20">
      <c r="S764" t="str">
        <f>IF('[1]REGISTRO ECTS TFT'!$J769&gt;0,'[1]REGISTRO ECTS TFT'!$B769,"")</f>
        <v/>
      </c>
      <c r="T764" t="str">
        <f>'[2]DATOS DOCENTES'!$D763</f>
        <v>Muñoz González, María Dolores</v>
      </c>
    </row>
    <row r="765" spans="19:20">
      <c r="S765" t="str">
        <f>IF('[1]REGISTRO ECTS TFT'!$J770&gt;0,'[1]REGISTRO ECTS TFT'!$B770,"")</f>
        <v/>
      </c>
      <c r="T765" t="str">
        <f>'[2]DATOS DOCENTES'!$D764</f>
        <v>Muñoz Ladrón de Guevara, Cristina</v>
      </c>
    </row>
    <row r="766" spans="19:20">
      <c r="S766" t="str">
        <f>IF('[1]REGISTRO ECTS TFT'!$J771&gt;0,'[1]REGISTRO ECTS TFT'!$B771,"")</f>
        <v/>
      </c>
      <c r="T766" t="str">
        <f>'[2]DATOS DOCENTES'!$D765</f>
        <v>Muñoz Miguel, Julio</v>
      </c>
    </row>
    <row r="767" spans="19:20">
      <c r="S767" t="str">
        <f>IF('[1]REGISTRO ECTS TFT'!$J772&gt;0,'[1]REGISTRO ECTS TFT'!$B772,"")</f>
        <v/>
      </c>
      <c r="T767" t="str">
        <f>'[2]DATOS DOCENTES'!$D766</f>
        <v>Muñoz Pozo, Adrián</v>
      </c>
    </row>
    <row r="768" spans="19:20">
      <c r="S768" t="str">
        <f>IF('[1]REGISTRO ECTS TFT'!$J773&gt;0,'[1]REGISTRO ECTS TFT'!$B773,"")</f>
        <v/>
      </c>
      <c r="T768" t="str">
        <f>'[2]DATOS DOCENTES'!$D767</f>
        <v>Muñoz Rodríguez, Paula</v>
      </c>
    </row>
    <row r="769" spans="19:20">
      <c r="S769" t="str">
        <f>IF('[1]REGISTRO ECTS TFT'!$J774&gt;0,'[1]REGISTRO ECTS TFT'!$B774,"")</f>
        <v/>
      </c>
      <c r="T769" t="str">
        <f>'[2]DATOS DOCENTES'!$D768</f>
        <v>Muresan Oltean, Bianca Tabita</v>
      </c>
    </row>
    <row r="770" spans="19:20">
      <c r="S770" t="str">
        <f>IF('[1]REGISTRO ECTS TFT'!$J775&gt;0,'[1]REGISTRO ECTS TFT'!$B775,"")</f>
        <v/>
      </c>
      <c r="T770" t="str">
        <f>'[2]DATOS DOCENTES'!$D769</f>
        <v>Murillo García, Nancy</v>
      </c>
    </row>
    <row r="771" spans="19:20">
      <c r="S771" t="str">
        <f>IF('[1]REGISTRO ECTS TFT'!$J776&gt;0,'[1]REGISTRO ECTS TFT'!$B776,"")</f>
        <v/>
      </c>
      <c r="T771" t="str">
        <f>'[2]DATOS DOCENTES'!$D770</f>
        <v>Muro Pérez Aradros, Cecilia</v>
      </c>
    </row>
    <row r="772" spans="19:20">
      <c r="S772" t="str">
        <f>IF('[1]REGISTRO ECTS TFT'!$J777&gt;0,'[1]REGISTRO ECTS TFT'!$B777,"")</f>
        <v/>
      </c>
      <c r="T772" t="str">
        <f>'[2]DATOS DOCENTES'!$D771</f>
        <v>Murray, Johari</v>
      </c>
    </row>
    <row r="773" spans="19:20">
      <c r="S773" t="str">
        <f>IF('[1]REGISTRO ECTS TFT'!$J778&gt;0,'[1]REGISTRO ECTS TFT'!$B778,"")</f>
        <v/>
      </c>
      <c r="T773" t="str">
        <f>'[2]DATOS DOCENTES'!$D772</f>
        <v>Musullulu -, Hande</v>
      </c>
    </row>
    <row r="774" spans="19:20">
      <c r="S774" t="str">
        <f>IF('[1]REGISTRO ECTS TFT'!$J779&gt;0,'[1]REGISTRO ECTS TFT'!$B779,"")</f>
        <v/>
      </c>
      <c r="T774" t="str">
        <f>'[2]DATOS DOCENTES'!$D773</f>
        <v>Mut Ronda, Salvador</v>
      </c>
    </row>
    <row r="775" spans="19:20">
      <c r="S775" t="str">
        <f>IF('[1]REGISTRO ECTS TFT'!$J780&gt;0,'[1]REGISTRO ECTS TFT'!$B780,"")</f>
        <v/>
      </c>
      <c r="T775" t="str">
        <f>'[2]DATOS DOCENTES'!$D774</f>
        <v>Múzquiz Arias, Mónica</v>
      </c>
    </row>
    <row r="776" spans="19:20">
      <c r="S776" t="str">
        <f>IF('[1]REGISTRO ECTS TFT'!$J781&gt;0,'[1]REGISTRO ECTS TFT'!$B781,"")</f>
        <v/>
      </c>
      <c r="T776" t="str">
        <f>'[2]DATOS DOCENTES'!$D775</f>
        <v>Nadal Delgado, Marta</v>
      </c>
    </row>
    <row r="777" spans="19:20">
      <c r="S777" t="str">
        <f>IF('[1]REGISTRO ECTS TFT'!$J782&gt;0,'[1]REGISTRO ECTS TFT'!$B782,"")</f>
        <v/>
      </c>
      <c r="T777" t="str">
        <f>'[2]DATOS DOCENTES'!$D776</f>
        <v>Naranjo Cobo, Pedro</v>
      </c>
    </row>
    <row r="778" spans="19:20">
      <c r="S778" t="str">
        <f>IF('[1]REGISTRO ECTS TFT'!$J783&gt;0,'[1]REGISTRO ECTS TFT'!$B783,"")</f>
        <v>Zúñiga Trejos, Sheila</v>
      </c>
      <c r="T778" t="str">
        <f>'[2]DATOS DOCENTES'!$D777</f>
        <v>Narbona González, Natividad</v>
      </c>
    </row>
    <row r="779" spans="19:20">
      <c r="S779" t="str">
        <f>IF('[1]REGISTRO ECTS TFT'!$J784&gt;0,'[1]REGISTRO ECTS TFT'!$B784,"")</f>
        <v/>
      </c>
      <c r="T779" t="str">
        <f>'[2]DATOS DOCENTES'!$D778</f>
        <v>Nava Chirinos, Ángel</v>
      </c>
    </row>
    <row r="780" spans="19:20">
      <c r="S780" t="str">
        <f>IF('[1]REGISTRO ECTS TFT'!$J785&gt;0,'[1]REGISTRO ECTS TFT'!$B785,"")</f>
        <v/>
      </c>
      <c r="T780" t="str">
        <f>'[2]DATOS DOCENTES'!$D779</f>
        <v>Naval, Julieta</v>
      </c>
    </row>
    <row r="781" spans="19:20">
      <c r="S781" t="str">
        <f>IF('[1]REGISTRO ECTS TFT'!$J786&gt;0,'[1]REGISTRO ECTS TFT'!$B786,"")</f>
        <v/>
      </c>
      <c r="T781" t="str">
        <f>'[2]DATOS DOCENTES'!$D780</f>
        <v>Navarro Ariza, Maria Teresa</v>
      </c>
    </row>
    <row r="782" spans="19:20">
      <c r="S782" t="str">
        <f>IF('[1]REGISTRO ECTS TFT'!$J787&gt;0,'[1]REGISTRO ECTS TFT'!$B787,"")</f>
        <v/>
      </c>
      <c r="T782" t="str">
        <f>'[2]DATOS DOCENTES'!$D781</f>
        <v>Navarro Garrido, Jessica</v>
      </c>
    </row>
    <row r="783" spans="19:20">
      <c r="S783" t="str">
        <f>IF('[1]REGISTRO ECTS TFT'!$J788&gt;0,'[1]REGISTRO ECTS TFT'!$B788,"")</f>
        <v/>
      </c>
      <c r="T783" t="str">
        <f>'[2]DATOS DOCENTES'!$D782</f>
        <v>Navarro Martínez, María Jesús</v>
      </c>
    </row>
    <row r="784" spans="19:20">
      <c r="S784" t="str">
        <f>IF('[1]REGISTRO ECTS TFT'!$J789&gt;0,'[1]REGISTRO ECTS TFT'!$B789,"")</f>
        <v/>
      </c>
      <c r="T784" t="str">
        <f>'[2]DATOS DOCENTES'!$D783</f>
        <v>Navarro Murcia, Silvia Victoria</v>
      </c>
    </row>
    <row r="785" spans="19:20">
      <c r="S785" t="str">
        <f>IF('[1]REGISTRO ECTS TFT'!$J790&gt;0,'[1]REGISTRO ECTS TFT'!$B790,"")</f>
        <v/>
      </c>
      <c r="T785" t="str">
        <f>'[2]DATOS DOCENTES'!$D784</f>
        <v>Navarro Ortega, Eva María</v>
      </c>
    </row>
    <row r="786" spans="19:20">
      <c r="S786" t="str">
        <f>IF('[1]REGISTRO ECTS TFT'!$J791&gt;0,'[1]REGISTRO ECTS TFT'!$B791,"")</f>
        <v/>
      </c>
      <c r="T786" t="str">
        <f>'[2]DATOS DOCENTES'!$D785</f>
        <v>Navarro Pérez, María Dolores</v>
      </c>
    </row>
    <row r="787" spans="19:20">
      <c r="S787" t="str">
        <f>IF('[1]REGISTRO ECTS TFT'!$J792&gt;0,'[1]REGISTRO ECTS TFT'!$B792,"")</f>
        <v/>
      </c>
      <c r="T787" t="str">
        <f>'[2]DATOS DOCENTES'!$D786</f>
        <v>Navarro Rubio, Gemma</v>
      </c>
    </row>
    <row r="788" spans="19:20">
      <c r="S788" t="str">
        <f>IF('[1]REGISTRO ECTS TFT'!$J793&gt;0,'[1]REGISTRO ECTS TFT'!$B793,"")</f>
        <v/>
      </c>
      <c r="T788" t="str">
        <f>'[2]DATOS DOCENTES'!$D787</f>
        <v>Navarro Sánchez, Ainoha Fuensanta</v>
      </c>
    </row>
    <row r="789" spans="19:20">
      <c r="S789" t="str">
        <f>IF('[1]REGISTRO ECTS TFT'!$J794&gt;0,'[1]REGISTRO ECTS TFT'!$B794,"")</f>
        <v/>
      </c>
      <c r="T789" t="str">
        <f>'[2]DATOS DOCENTES'!$D788</f>
        <v>Navarro Serna, Celia</v>
      </c>
    </row>
    <row r="790" spans="19:20">
      <c r="S790" t="str">
        <f>IF('[1]REGISTRO ECTS TFT'!$J795&gt;0,'[1]REGISTRO ECTS TFT'!$B795,"")</f>
        <v/>
      </c>
      <c r="T790" t="str">
        <f>'[2]DATOS DOCENTES'!$D789</f>
        <v>Navarro Soriano, Silvia</v>
      </c>
    </row>
    <row r="791" spans="19:20">
      <c r="S791" t="str">
        <f>IF('[1]REGISTRO ECTS TFT'!$J796&gt;0,'[1]REGISTRO ECTS TFT'!$B796,"")</f>
        <v/>
      </c>
      <c r="T791" t="str">
        <f>'[2]DATOS DOCENTES'!$D790</f>
        <v>Navarro Tapia, Elisabet</v>
      </c>
    </row>
    <row r="792" spans="19:20">
      <c r="S792" t="str">
        <f>IF('[1]REGISTRO ECTS TFT'!$J797&gt;0,'[1]REGISTRO ECTS TFT'!$B797,"")</f>
        <v/>
      </c>
      <c r="T792" t="str">
        <f>'[2]DATOS DOCENTES'!$D791</f>
        <v>Navas Martínez, María José</v>
      </c>
    </row>
    <row r="793" spans="19:20">
      <c r="S793" t="str">
        <f>IF('[1]REGISTRO ECTS TFT'!$J798&gt;0,'[1]REGISTRO ECTS TFT'!$B798,"")</f>
        <v/>
      </c>
      <c r="T793" t="str">
        <f>'[2]DATOS DOCENTES'!$D792</f>
        <v>Navío Serrano, Luis Francisco</v>
      </c>
    </row>
    <row r="794" spans="19:20">
      <c r="S794" t="str">
        <f>IF('[1]REGISTRO ECTS TFT'!$J799&gt;0,'[1]REGISTRO ECTS TFT'!$B799,"")</f>
        <v/>
      </c>
      <c r="T794" t="str">
        <f>'[2]DATOS DOCENTES'!$D793</f>
        <v>Nebot Ibáñez, Sara</v>
      </c>
    </row>
    <row r="795" spans="19:20">
      <c r="S795" t="str">
        <f>IF('[1]REGISTRO ECTS TFT'!$J800&gt;0,'[1]REGISTRO ECTS TFT'!$B800,"")</f>
        <v/>
      </c>
      <c r="T795" t="str">
        <f>'[2]DATOS DOCENTES'!$D794</f>
        <v>Neef, Alexander</v>
      </c>
    </row>
    <row r="796" spans="19:20">
      <c r="S796" t="str">
        <f>IF('[1]REGISTRO ECTS TFT'!$J801&gt;0,'[1]REGISTRO ECTS TFT'!$B801,"")</f>
        <v/>
      </c>
      <c r="T796" t="str">
        <f>'[2]DATOS DOCENTES'!$D795</f>
        <v>Niclós López, Gracia</v>
      </c>
    </row>
    <row r="797" spans="19:20">
      <c r="S797" t="str">
        <f>IF('[1]REGISTRO ECTS TFT'!$J802&gt;0,'[1]REGISTRO ECTS TFT'!$B802,"")</f>
        <v/>
      </c>
      <c r="T797" t="str">
        <f>'[2]DATOS DOCENTES'!$D796</f>
        <v>Nieto Fuentes, Juan Antonio</v>
      </c>
    </row>
    <row r="798" spans="19:20">
      <c r="S798" t="str">
        <f>IF('[1]REGISTRO ECTS TFT'!$J803&gt;0,'[1]REGISTRO ECTS TFT'!$B803,"")</f>
        <v/>
      </c>
      <c r="T798" t="str">
        <f>'[2]DATOS DOCENTES'!$D797</f>
        <v>Nieto Muñoz, Covadonga</v>
      </c>
    </row>
    <row r="799" spans="19:20">
      <c r="S799" t="str">
        <f>IF('[1]REGISTRO ECTS TFT'!$J804&gt;0,'[1]REGISTRO ECTS TFT'!$B804,"")</f>
        <v/>
      </c>
      <c r="T799" t="str">
        <f>'[2]DATOS DOCENTES'!$D798</f>
        <v>Nieto Ruiz, Ana</v>
      </c>
    </row>
    <row r="800" spans="19:20">
      <c r="S800" t="str">
        <f>IF('[1]REGISTRO ECTS TFT'!$J805&gt;0,'[1]REGISTRO ECTS TFT'!$B805,"")</f>
        <v/>
      </c>
      <c r="T800" t="str">
        <f>'[2]DATOS DOCENTES'!$D799</f>
        <v>Nieto Sachica, Juan</v>
      </c>
    </row>
    <row r="801" spans="19:20">
      <c r="S801" t="str">
        <f>IF('[1]REGISTRO ECTS TFT'!$J806&gt;0,'[1]REGISTRO ECTS TFT'!$B806,"")</f>
        <v/>
      </c>
      <c r="T801" t="str">
        <f>'[2]DATOS DOCENTES'!$D800</f>
        <v>Nikolaeva Koleva, Magdalena</v>
      </c>
    </row>
    <row r="802" spans="19:20">
      <c r="S802" t="str">
        <f>IF('[1]REGISTRO ECTS TFT'!$J807&gt;0,'[1]REGISTRO ECTS TFT'!$B807,"")</f>
        <v/>
      </c>
      <c r="T802" t="str">
        <f>'[2]DATOS DOCENTES'!$D801</f>
        <v>Nolasco Hernández, Alberto</v>
      </c>
    </row>
    <row r="803" spans="19:20">
      <c r="S803" t="str">
        <f>IF('[1]REGISTRO ECTS TFT'!$J808&gt;0,'[1]REGISTRO ECTS TFT'!$B808,"")</f>
        <v/>
      </c>
      <c r="T803" t="str">
        <f>'[2]DATOS DOCENTES'!$D802</f>
        <v>Nolé Fajardo, María Luisa</v>
      </c>
    </row>
    <row r="804" spans="19:20">
      <c r="S804" t="str">
        <f>IF('[1]REGISTRO ECTS TFT'!$J809&gt;0,'[1]REGISTRO ECTS TFT'!$B809,"")</f>
        <v/>
      </c>
      <c r="T804" t="str">
        <f>'[2]DATOS DOCENTES'!$D803</f>
        <v>Núñez Arias, Diego</v>
      </c>
    </row>
    <row r="805" spans="19:20">
      <c r="S805" t="str">
        <f>IF('[1]REGISTRO ECTS TFT'!$J810&gt;0,'[1]REGISTRO ECTS TFT'!$B810,"")</f>
        <v/>
      </c>
      <c r="T805" t="str">
        <f>'[2]DATOS DOCENTES'!$D804</f>
        <v>Núñez Sánchez, Carolina</v>
      </c>
    </row>
    <row r="806" spans="19:20">
      <c r="S806" t="str">
        <f>IF('[1]REGISTRO ECTS TFT'!$J811&gt;0,'[1]REGISTRO ECTS TFT'!$B811,"")</f>
        <v/>
      </c>
      <c r="T806" t="str">
        <f>'[2]DATOS DOCENTES'!$D805</f>
        <v>Núñez Sánchez, Juan Manuel</v>
      </c>
    </row>
    <row r="807" spans="19:20">
      <c r="S807" t="str">
        <f>IF('[1]REGISTRO ECTS TFT'!$J812&gt;0,'[1]REGISTRO ECTS TFT'!$B812,"")</f>
        <v/>
      </c>
      <c r="T807" t="str">
        <f>'[2]DATOS DOCENTES'!$D806</f>
        <v>Ocampo González, Aldo Ariel</v>
      </c>
    </row>
    <row r="808" spans="19:20">
      <c r="S808" t="str">
        <f>IF('[1]REGISTRO ECTS TFT'!$J813&gt;0,'[1]REGISTRO ECTS TFT'!$B813,"")</f>
        <v/>
      </c>
      <c r="T808" t="str">
        <f>'[2]DATOS DOCENTES'!$D807</f>
        <v>Ochoa Maxi, David</v>
      </c>
    </row>
    <row r="809" spans="19:20">
      <c r="S809" t="str">
        <f>IF('[1]REGISTRO ECTS TFT'!$J814&gt;0,'[1]REGISTRO ECTS TFT'!$B814,"")</f>
        <v/>
      </c>
      <c r="T809" t="str">
        <f>'[2]DATOS DOCENTES'!$D808</f>
        <v>Ojeda Sánchez, Carlos</v>
      </c>
    </row>
    <row r="810" spans="19:20">
      <c r="S810" t="str">
        <f>IF('[1]REGISTRO ECTS TFT'!$J815&gt;0,'[1]REGISTRO ECTS TFT'!$B815,"")</f>
        <v/>
      </c>
      <c r="T810" t="str">
        <f>'[2]DATOS DOCENTES'!$D809</f>
        <v>Olarte Sánchez, Cristian Manuel</v>
      </c>
    </row>
    <row r="811" spans="19:20">
      <c r="S811" t="str">
        <f>IF('[1]REGISTRO ECTS TFT'!$J816&gt;0,'[1]REGISTRO ECTS TFT'!$B816,"")</f>
        <v/>
      </c>
      <c r="T811" t="str">
        <f>'[2]DATOS DOCENTES'!$D810</f>
        <v>Olave Porrúa, Leticia María</v>
      </c>
    </row>
    <row r="812" spans="19:20">
      <c r="S812" t="str">
        <f>IF('[1]REGISTRO ECTS TFT'!$J817&gt;0,'[1]REGISTRO ECTS TFT'!$B817,"")</f>
        <v/>
      </c>
      <c r="T812" t="str">
        <f>'[2]DATOS DOCENTES'!$D811</f>
        <v>Oliva Femenia, Pablo</v>
      </c>
    </row>
    <row r="813" spans="19:20">
      <c r="S813" t="str">
        <f>IF('[1]REGISTRO ECTS TFT'!$J818&gt;0,'[1]REGISTRO ECTS TFT'!$B818,"")</f>
        <v/>
      </c>
      <c r="T813" t="str">
        <f>'[2]DATOS DOCENTES'!$D812</f>
        <v>Olivares González, Lorena</v>
      </c>
    </row>
    <row r="814" spans="19:20">
      <c r="S814" t="str">
        <f>IF('[1]REGISTRO ECTS TFT'!$J819&gt;0,'[1]REGISTRO ECTS TFT'!$B819,"")</f>
        <v/>
      </c>
      <c r="T814" t="str">
        <f>'[2]DATOS DOCENTES'!$D813</f>
        <v>Oliveros Fernández, Beatriz</v>
      </c>
    </row>
    <row r="815" spans="19:20">
      <c r="S815" t="str">
        <f>IF('[1]REGISTRO ECTS TFT'!$J820&gt;0,'[1]REGISTRO ECTS TFT'!$B820,"")</f>
        <v/>
      </c>
      <c r="T815" t="str">
        <f>'[2]DATOS DOCENTES'!$D814</f>
        <v>Olivo Franco, José Luis</v>
      </c>
    </row>
    <row r="816" spans="19:20">
      <c r="S816" t="str">
        <f>IF('[1]REGISTRO ECTS TFT'!$J821&gt;0,'[1]REGISTRO ECTS TFT'!$B821,"")</f>
        <v/>
      </c>
      <c r="T816" t="str">
        <f>'[2]DATOS DOCENTES'!$D815</f>
        <v>Olvera Domínguez, María Elena</v>
      </c>
    </row>
    <row r="817" spans="19:20">
      <c r="S817" t="str">
        <f>IF('[1]REGISTRO ECTS TFT'!$J822&gt;0,'[1]REGISTRO ECTS TFT'!$B822,"")</f>
        <v/>
      </c>
      <c r="T817" t="str">
        <f>'[2]DATOS DOCENTES'!$D816</f>
        <v>Olvera Trejo, Hans Oleg</v>
      </c>
    </row>
    <row r="818" spans="19:20">
      <c r="S818" t="str">
        <f>IF('[1]REGISTRO ECTS TFT'!$J823&gt;0,'[1]REGISTRO ECTS TFT'!$B823,"")</f>
        <v/>
      </c>
      <c r="T818" t="str">
        <f>'[2]DATOS DOCENTES'!$D817</f>
        <v>Onandia Hinchado, Iban</v>
      </c>
    </row>
    <row r="819" spans="19:20">
      <c r="S819" t="str">
        <f>IF('[1]REGISTRO ECTS TFT'!$J824&gt;0,'[1]REGISTRO ECTS TFT'!$B824,"")</f>
        <v/>
      </c>
      <c r="T819" t="str">
        <f>'[2]DATOS DOCENTES'!$D818</f>
        <v>Orgaz Agüera, Francisco</v>
      </c>
    </row>
    <row r="820" spans="19:20">
      <c r="S820" t="str">
        <f>IF('[1]REGISTRO ECTS TFT'!$J825&gt;0,'[1]REGISTRO ECTS TFT'!$B825,"")</f>
        <v/>
      </c>
      <c r="T820" t="str">
        <f>'[2]DATOS DOCENTES'!$D819</f>
        <v>Ortega Caballero, Antonia</v>
      </c>
    </row>
    <row r="821" spans="19:20">
      <c r="S821" t="str">
        <f>IF('[1]REGISTRO ECTS TFT'!$J826&gt;0,'[1]REGISTRO ECTS TFT'!$B826,"")</f>
        <v/>
      </c>
      <c r="T821" t="str">
        <f>'[2]DATOS DOCENTES'!$D820</f>
        <v>Ortega Castro, Nerea</v>
      </c>
    </row>
    <row r="822" spans="19:20">
      <c r="S822" t="str">
        <f>IF('[1]REGISTRO ECTS TFT'!$J827&gt;0,'[1]REGISTRO ECTS TFT'!$B827,"")</f>
        <v/>
      </c>
      <c r="T822" t="str">
        <f>'[2]DATOS DOCENTES'!$D821</f>
        <v>Ortega Gutiérrez, Ana</v>
      </c>
    </row>
    <row r="823" spans="19:20">
      <c r="S823" t="str">
        <f>IF('[1]REGISTRO ECTS TFT'!$J828&gt;0,'[1]REGISTRO ECTS TFT'!$B828,"")</f>
        <v/>
      </c>
      <c r="T823" t="str">
        <f>'[2]DATOS DOCENTES'!$D822</f>
        <v>Ortega Legarreta, Asier</v>
      </c>
    </row>
    <row r="824" spans="19:20">
      <c r="S824" t="str">
        <f>IF('[1]REGISTRO ECTS TFT'!$J829&gt;0,'[1]REGISTRO ECTS TFT'!$B829,"")</f>
        <v/>
      </c>
      <c r="T824" t="str">
        <f>'[2]DATOS DOCENTES'!$D823</f>
        <v>Ortega Pérez de Villar, Lucía</v>
      </c>
    </row>
    <row r="825" spans="19:20">
      <c r="S825" t="str">
        <f>IF('[1]REGISTRO ECTS TFT'!$J830&gt;0,'[1]REGISTRO ECTS TFT'!$B830,"")</f>
        <v/>
      </c>
      <c r="T825" t="str">
        <f>'[2]DATOS DOCENTES'!$D824</f>
        <v>Ortega Segura, Almudena</v>
      </c>
    </row>
    <row r="826" spans="19:20">
      <c r="S826" t="str">
        <f>IF('[1]REGISTRO ECTS TFT'!$J831&gt;0,'[1]REGISTRO ECTS TFT'!$B831,"")</f>
        <v/>
      </c>
      <c r="T826" t="str">
        <f>'[2]DATOS DOCENTES'!$D825</f>
        <v>Ortiz Gil, Jordi</v>
      </c>
    </row>
    <row r="827" spans="19:20">
      <c r="S827" t="str">
        <f>IF('[1]REGISTRO ECTS TFT'!$J832&gt;0,'[1]REGISTRO ECTS TFT'!$B832,"")</f>
        <v/>
      </c>
      <c r="T827" t="str">
        <f>'[2]DATOS DOCENTES'!$D826</f>
        <v>Ortiz Marcos, José Manuel</v>
      </c>
    </row>
    <row r="828" spans="19:20">
      <c r="S828" t="str">
        <f>IF('[1]REGISTRO ECTS TFT'!$J833&gt;0,'[1]REGISTRO ECTS TFT'!$B833,"")</f>
        <v/>
      </c>
      <c r="T828" t="str">
        <f>'[2]DATOS DOCENTES'!$D827</f>
        <v>Ortiz Mengual, Montserrat</v>
      </c>
    </row>
    <row r="829" spans="19:20">
      <c r="S829" t="str">
        <f>IF('[1]REGISTRO ECTS TFT'!$J834&gt;0,'[1]REGISTRO ECTS TFT'!$B834,"")</f>
        <v/>
      </c>
      <c r="T829" t="str">
        <f>'[2]DATOS DOCENTES'!$D828</f>
        <v>Orts Jorquera, Beatriz</v>
      </c>
    </row>
    <row r="830" spans="19:20">
      <c r="S830" t="str">
        <f>IF('[1]REGISTRO ECTS TFT'!$J835&gt;0,'[1]REGISTRO ECTS TFT'!$B835,"")</f>
        <v/>
      </c>
      <c r="T830" t="str">
        <f>'[2]DATOS DOCENTES'!$D829</f>
        <v>Osorio García, Carlos Manuel</v>
      </c>
    </row>
    <row r="831" spans="19:20">
      <c r="S831" t="str">
        <f>IF('[1]REGISTRO ECTS TFT'!$J836&gt;0,'[1]REGISTRO ECTS TFT'!$B836,"")</f>
        <v/>
      </c>
      <c r="T831" t="str">
        <f>'[2]DATOS DOCENTES'!$D830</f>
        <v>Otero Castellanos, Daniela</v>
      </c>
    </row>
    <row r="832" spans="19:20">
      <c r="S832" t="str">
        <f>IF('[1]REGISTRO ECTS TFT'!$J837&gt;0,'[1]REGISTRO ECTS TFT'!$B837,"")</f>
        <v/>
      </c>
      <c r="T832" t="str">
        <f>'[2]DATOS DOCENTES'!$D831</f>
        <v>Otero Dadin, Cecilia</v>
      </c>
    </row>
    <row r="833" spans="19:20">
      <c r="S833" t="str">
        <f>IF('[1]REGISTRO ECTS TFT'!$J838&gt;0,'[1]REGISTRO ECTS TFT'!$B838,"")</f>
        <v/>
      </c>
      <c r="T833" t="str">
        <f>'[2]DATOS DOCENTES'!$D832</f>
        <v>Otero Fuertes, María Paz</v>
      </c>
    </row>
    <row r="834" spans="19:20">
      <c r="S834" t="str">
        <f>IF('[1]REGISTRO ECTS TFT'!$J839&gt;0,'[1]REGISTRO ECTS TFT'!$B839,"")</f>
        <v/>
      </c>
      <c r="T834" t="str">
        <f>'[2]DATOS DOCENTES'!$D833</f>
        <v>Otero Requeijo, Miriam</v>
      </c>
    </row>
    <row r="835" spans="19:20">
      <c r="S835" t="str">
        <f>IF('[1]REGISTRO ECTS TFT'!$J840&gt;0,'[1]REGISTRO ECTS TFT'!$B840,"")</f>
        <v/>
      </c>
      <c r="T835" t="str">
        <f>'[2]DATOS DOCENTES'!$D834</f>
        <v>Ovalles Villegas, Adriana Josefina</v>
      </c>
    </row>
    <row r="836" spans="19:20">
      <c r="S836" t="str">
        <f>IF('[1]REGISTRO ECTS TFT'!$J841&gt;0,'[1]REGISTRO ECTS TFT'!$B841,"")</f>
        <v/>
      </c>
      <c r="T836" t="str">
        <f>'[2]DATOS DOCENTES'!$D835</f>
        <v>Pacheco Romero, Ana Mar</v>
      </c>
    </row>
    <row r="837" spans="19:20">
      <c r="S837" t="str">
        <f>IF('[1]REGISTRO ECTS TFT'!$J842&gt;0,'[1]REGISTRO ECTS TFT'!$B842,"")</f>
        <v/>
      </c>
      <c r="T837" t="str">
        <f>'[2]DATOS DOCENTES'!$D836</f>
        <v>Pacho Hernández, Juan Carlos</v>
      </c>
    </row>
    <row r="838" spans="19:20">
      <c r="S838" t="str">
        <f>IF('[1]REGISTRO ECTS TFT'!$J843&gt;0,'[1]REGISTRO ECTS TFT'!$B843,"")</f>
        <v/>
      </c>
      <c r="T838" t="str">
        <f>'[2]DATOS DOCENTES'!$D837</f>
        <v>Padilla Díaz, Maria</v>
      </c>
    </row>
    <row r="839" spans="19:20">
      <c r="S839" t="str">
        <f>IF('[1]REGISTRO ECTS TFT'!$J844&gt;0,'[1]REGISTRO ECTS TFT'!$B844,"")</f>
        <v/>
      </c>
      <c r="T839" t="str">
        <f>'[2]DATOS DOCENTES'!$D838</f>
        <v>Palacios López, Mari Carmen</v>
      </c>
    </row>
    <row r="840" spans="19:20">
      <c r="S840" t="str">
        <f>IF('[1]REGISTRO ECTS TFT'!$J845&gt;0,'[1]REGISTRO ECTS TFT'!$B845,"")</f>
        <v/>
      </c>
      <c r="T840" t="str">
        <f>'[2]DATOS DOCENTES'!$D839</f>
        <v>Palao Loayza, Luis</v>
      </c>
    </row>
    <row r="841" spans="19:20">
      <c r="S841" t="str">
        <f>IF('[1]REGISTRO ECTS TFT'!$J846&gt;0,'[1]REGISTRO ECTS TFT'!$B846,"")</f>
        <v/>
      </c>
      <c r="T841" t="str">
        <f>'[2]DATOS DOCENTES'!$D840</f>
        <v>Palerm Martínez, Mónica</v>
      </c>
    </row>
    <row r="842" spans="19:20">
      <c r="S842" t="str">
        <f>IF('[1]REGISTRO ECTS TFT'!$J847&gt;0,'[1]REGISTRO ECTS TFT'!$B847,"")</f>
        <v/>
      </c>
      <c r="T842" t="str">
        <f>'[2]DATOS DOCENTES'!$D841</f>
        <v>Pallás Sanz, Sergio</v>
      </c>
    </row>
    <row r="843" spans="19:20">
      <c r="S843" t="str">
        <f>IF('[1]REGISTRO ECTS TFT'!$J848&gt;0,'[1]REGISTRO ECTS TFT'!$B848,"")</f>
        <v/>
      </c>
      <c r="T843" t="str">
        <f>'[2]DATOS DOCENTES'!$D842</f>
        <v>Palomares Rodríguez, Gemma</v>
      </c>
    </row>
    <row r="844" spans="19:20">
      <c r="S844" t="str">
        <f>IF('[1]REGISTRO ECTS TFT'!$J849&gt;0,'[1]REGISTRO ECTS TFT'!$B849,"")</f>
        <v/>
      </c>
      <c r="T844" t="str">
        <f>'[2]DATOS DOCENTES'!$D843</f>
        <v>Pan Corrales, Francisco</v>
      </c>
    </row>
    <row r="845" spans="19:20">
      <c r="S845" t="str">
        <f>IF('[1]REGISTRO ECTS TFT'!$J850&gt;0,'[1]REGISTRO ECTS TFT'!$B850,"")</f>
        <v/>
      </c>
      <c r="T845" t="str">
        <f>'[2]DATOS DOCENTES'!$D844</f>
        <v>Pañellas Álvarez, Daybel</v>
      </c>
    </row>
    <row r="846" spans="19:20">
      <c r="S846" t="str">
        <f>IF('[1]REGISTRO ECTS TFT'!$J851&gt;0,'[1]REGISTRO ECTS TFT'!$B851,"")</f>
        <v/>
      </c>
      <c r="T846" t="str">
        <f>'[2]DATOS DOCENTES'!$D845</f>
        <v>Parada Fernández, Pamela</v>
      </c>
    </row>
    <row r="847" spans="19:20">
      <c r="S847" t="str">
        <f>IF('[1]REGISTRO ECTS TFT'!$J852&gt;0,'[1]REGISTRO ECTS TFT'!$B852,"")</f>
        <v/>
      </c>
      <c r="T847" t="str">
        <f>'[2]DATOS DOCENTES'!$D846</f>
        <v>Paramio Leiva, Alberto</v>
      </c>
    </row>
    <row r="848" spans="19:20">
      <c r="S848" t="str">
        <f>IF('[1]REGISTRO ECTS TFT'!$J853&gt;0,'[1]REGISTRO ECTS TFT'!$B853,"")</f>
        <v/>
      </c>
      <c r="T848" t="str">
        <f>'[2]DATOS DOCENTES'!$D847</f>
        <v>Pardo Salamanca, Ana Belén</v>
      </c>
    </row>
    <row r="849" spans="19:20">
      <c r="S849" t="str">
        <f>IF('[1]REGISTRO ECTS TFT'!$J854&gt;0,'[1]REGISTRO ECTS TFT'!$B854,"")</f>
        <v/>
      </c>
      <c r="T849" t="str">
        <f>'[2]DATOS DOCENTES'!$D848</f>
        <v>Paredes Garza, Francisco</v>
      </c>
    </row>
    <row r="850" spans="19:20">
      <c r="S850" t="str">
        <f>IF('[1]REGISTRO ECTS TFT'!$J855&gt;0,'[1]REGISTRO ECTS TFT'!$B855,"")</f>
        <v/>
      </c>
      <c r="T850" t="str">
        <f>'[2]DATOS DOCENTES'!$D849</f>
        <v>Parejo Cano, Álvaro</v>
      </c>
    </row>
    <row r="851" spans="19:20">
      <c r="S851" t="str">
        <f>IF('[1]REGISTRO ECTS TFT'!$J856&gt;0,'[1]REGISTRO ECTS TFT'!$B856,"")</f>
        <v/>
      </c>
      <c r="T851" t="str">
        <f>'[2]DATOS DOCENTES'!$D850</f>
        <v>Parejo Pedrajas, Sergi</v>
      </c>
    </row>
    <row r="852" spans="19:20">
      <c r="S852" t="str">
        <f>IF('[1]REGISTRO ECTS TFT'!$J857&gt;0,'[1]REGISTRO ECTS TFT'!$B857,"")</f>
        <v/>
      </c>
      <c r="T852" t="str">
        <f>'[2]DATOS DOCENTES'!$D851</f>
        <v>Parellada, Cristian Abraham</v>
      </c>
    </row>
    <row r="853" spans="19:20">
      <c r="S853" t="str">
        <f>IF('[1]REGISTRO ECTS TFT'!$J858&gt;0,'[1]REGISTRO ECTS TFT'!$B858,"")</f>
        <v/>
      </c>
      <c r="T853" t="str">
        <f>'[2]DATOS DOCENTES'!$D852</f>
        <v>Parra Ortiz, María Camila</v>
      </c>
    </row>
    <row r="854" spans="19:20">
      <c r="S854" t="str">
        <f>IF('[1]REGISTRO ECTS TFT'!$J859&gt;0,'[1]REGISTRO ECTS TFT'!$B859,"")</f>
        <v/>
      </c>
      <c r="T854" t="str">
        <f>'[2]DATOS DOCENTES'!$D853</f>
        <v>Parra Rizo, María Antonia</v>
      </c>
    </row>
    <row r="855" spans="19:20">
      <c r="S855" t="str">
        <f>IF('[1]REGISTRO ECTS TFT'!$J860&gt;0,'[1]REGISTRO ECTS TFT'!$B860,"")</f>
        <v/>
      </c>
      <c r="T855" t="str">
        <f>'[2]DATOS DOCENTES'!$D854</f>
        <v>Pascu Bardot, Suzana</v>
      </c>
    </row>
    <row r="856" spans="19:20">
      <c r="S856" t="str">
        <f>IF('[1]REGISTRO ECTS TFT'!$J861&gt;0,'[1]REGISTRO ECTS TFT'!$B861,"")</f>
        <v/>
      </c>
      <c r="T856" t="str">
        <f>'[2]DATOS DOCENTES'!$D855</f>
        <v>Passi Concha, Nicole Andrea</v>
      </c>
    </row>
    <row r="857" spans="19:20">
      <c r="S857" t="str">
        <f>IF('[1]REGISTRO ECTS TFT'!$J862&gt;0,'[1]REGISTRO ECTS TFT'!$B862,"")</f>
        <v/>
      </c>
      <c r="T857" t="str">
        <f>'[2]DATOS DOCENTES'!$D856</f>
        <v>Pazos Cabaleiro, Florencio</v>
      </c>
    </row>
    <row r="858" spans="19:20">
      <c r="S858" t="str">
        <f>IF('[1]REGISTRO ECTS TFT'!$J863&gt;0,'[1]REGISTRO ECTS TFT'!$B863,"")</f>
        <v/>
      </c>
      <c r="T858" t="str">
        <f>'[2]DATOS DOCENTES'!$D857</f>
        <v>Pedelini Gassmann, Leda</v>
      </c>
    </row>
    <row r="859" spans="19:20">
      <c r="S859" t="str">
        <f>IF('[1]REGISTRO ECTS TFT'!$J864&gt;0,'[1]REGISTRO ECTS TFT'!$B864,"")</f>
        <v/>
      </c>
      <c r="T859" t="str">
        <f>'[2]DATOS DOCENTES'!$D858</f>
        <v>Pedrero Tomé, Roberto</v>
      </c>
    </row>
    <row r="860" spans="19:20">
      <c r="S860" t="str">
        <f>IF('[1]REGISTRO ECTS TFT'!$J865&gt;0,'[1]REGISTRO ECTS TFT'!$B865,"")</f>
        <v/>
      </c>
      <c r="T860" t="str">
        <f>'[2]DATOS DOCENTES'!$D859</f>
        <v>Pedroso Chaparro, María del Sequeros</v>
      </c>
    </row>
    <row r="861" spans="19:20">
      <c r="S861" t="str">
        <f>IF('[1]REGISTRO ECTS TFT'!$J866&gt;0,'[1]REGISTRO ECTS TFT'!$B866,"")</f>
        <v/>
      </c>
      <c r="T861" t="str">
        <f>'[2]DATOS DOCENTES'!$D860</f>
        <v>Pellín Amorós, María</v>
      </c>
    </row>
    <row r="862" spans="19:20">
      <c r="S862" t="str">
        <f>IF('[1]REGISTRO ECTS TFT'!$J867&gt;0,'[1]REGISTRO ECTS TFT'!$B867,"")</f>
        <v/>
      </c>
      <c r="T862" t="str">
        <f>'[2]DATOS DOCENTES'!$D861</f>
        <v>Pellín Carcelén, Ana</v>
      </c>
    </row>
    <row r="863" spans="19:20">
      <c r="S863" t="str">
        <f>IF('[1]REGISTRO ECTS TFT'!$J868&gt;0,'[1]REGISTRO ECTS TFT'!$B868,"")</f>
        <v/>
      </c>
      <c r="T863" t="str">
        <f>'[2]DATOS DOCENTES'!$D862</f>
        <v>Peña Herrera, Bernardo</v>
      </c>
    </row>
    <row r="864" spans="19:20">
      <c r="S864" t="str">
        <f>IF('[1]REGISTRO ECTS TFT'!$J869&gt;0,'[1]REGISTRO ECTS TFT'!$B869,"")</f>
        <v/>
      </c>
      <c r="T864" t="str">
        <f>'[2]DATOS DOCENTES'!$D863</f>
        <v>Peña Martínez, Juliana</v>
      </c>
    </row>
    <row r="865" spans="19:20">
      <c r="S865" t="str">
        <f>IF('[1]REGISTRO ECTS TFT'!$J870&gt;0,'[1]REGISTRO ECTS TFT'!$B870,"")</f>
        <v/>
      </c>
      <c r="T865" t="str">
        <f>'[2]DATOS DOCENTES'!$D864</f>
        <v>Peña Ramos, Marta</v>
      </c>
    </row>
    <row r="866" spans="19:20">
      <c r="S866" t="str">
        <f>IF('[1]REGISTRO ECTS TFT'!$J871&gt;0,'[1]REGISTRO ECTS TFT'!$B871,"")</f>
        <v/>
      </c>
      <c r="T866" t="str">
        <f>'[2]DATOS DOCENTES'!$D865</f>
        <v>Peñalver González, Jonatan</v>
      </c>
    </row>
    <row r="867" spans="19:20">
      <c r="S867" t="str">
        <f>IF('[1]REGISTRO ECTS TFT'!$J872&gt;0,'[1]REGISTRO ECTS TFT'!$B872,"")</f>
        <v/>
      </c>
      <c r="T867" t="str">
        <f>'[2]DATOS DOCENTES'!$D866</f>
        <v>Peral Pérez, Javier</v>
      </c>
    </row>
    <row r="868" spans="19:20">
      <c r="S868" t="str">
        <f>IF('[1]REGISTRO ECTS TFT'!$J873&gt;0,'[1]REGISTRO ECTS TFT'!$B873,"")</f>
        <v/>
      </c>
      <c r="T868" t="str">
        <f>'[2]DATOS DOCENTES'!$D867</f>
        <v>Perdomo Colina, Hugo Ernesto</v>
      </c>
    </row>
    <row r="869" spans="19:20">
      <c r="S869" t="str">
        <f>IF('[1]REGISTRO ECTS TFT'!$J874&gt;0,'[1]REGISTRO ECTS TFT'!$B874,"")</f>
        <v/>
      </c>
      <c r="T869" t="str">
        <f>'[2]DATOS DOCENTES'!$D868</f>
        <v>Pereira Priego, Cristina</v>
      </c>
    </row>
    <row r="870" spans="19:20">
      <c r="S870" t="str">
        <f>IF('[1]REGISTRO ECTS TFT'!$J875&gt;0,'[1]REGISTRO ECTS TFT'!$B875,"")</f>
        <v/>
      </c>
      <c r="T870" t="str">
        <f>'[2]DATOS DOCENTES'!$D869</f>
        <v>Perelló Berenguer, Gemma</v>
      </c>
    </row>
    <row r="871" spans="19:20">
      <c r="S871" t="str">
        <f>IF('[1]REGISTRO ECTS TFT'!$J876&gt;0,'[1]REGISTRO ECTS TFT'!$B876,"")</f>
        <v/>
      </c>
      <c r="T871" t="str">
        <f>'[2]DATOS DOCENTES'!$D870</f>
        <v>Pérez, Joana Vanesa</v>
      </c>
    </row>
    <row r="872" spans="19:20">
      <c r="S872" t="str">
        <f>IF('[1]REGISTRO ECTS TFT'!$J877&gt;0,'[1]REGISTRO ECTS TFT'!$B877,"")</f>
        <v/>
      </c>
      <c r="T872" t="str">
        <f>'[2]DATOS DOCENTES'!$D871</f>
        <v>Pérez Alonso, Antonio</v>
      </c>
    </row>
    <row r="873" spans="19:20">
      <c r="S873" t="str">
        <f>IF('[1]REGISTRO ECTS TFT'!$J878&gt;0,'[1]REGISTRO ECTS TFT'!$B878,"")</f>
        <v/>
      </c>
      <c r="T873" t="str">
        <f>'[2]DATOS DOCENTES'!$D872</f>
        <v>Pérez Álvarez, Manuel</v>
      </c>
    </row>
    <row r="874" spans="19:20">
      <c r="S874" t="str">
        <f>IF('[1]REGISTRO ECTS TFT'!$J879&gt;0,'[1]REGISTRO ECTS TFT'!$B879,"")</f>
        <v/>
      </c>
      <c r="T874" t="str">
        <f>'[2]DATOS DOCENTES'!$D873</f>
        <v>Pérez Camps, Mireia</v>
      </c>
    </row>
    <row r="875" spans="19:20">
      <c r="S875" t="str">
        <f>IF('[1]REGISTRO ECTS TFT'!$J880&gt;0,'[1]REGISTRO ECTS TFT'!$B880,"")</f>
        <v/>
      </c>
      <c r="T875" t="str">
        <f>'[2]DATOS DOCENTES'!$D874</f>
        <v>Pérez Cervelló, Alfonso</v>
      </c>
    </row>
    <row r="876" spans="19:20">
      <c r="S876" t="str">
        <f>IF('[1]REGISTRO ECTS TFT'!$J881&gt;0,'[1]REGISTRO ECTS TFT'!$B881,"")</f>
        <v/>
      </c>
      <c r="T876" t="str">
        <f>'[2]DATOS DOCENTES'!$D875</f>
        <v>Pérez Chacón, Manuela</v>
      </c>
    </row>
    <row r="877" spans="19:20">
      <c r="S877" t="str">
        <f>IF('[1]REGISTRO ECTS TFT'!$J882&gt;0,'[1]REGISTRO ECTS TFT'!$B882,"")</f>
        <v/>
      </c>
      <c r="T877" t="str">
        <f>'[2]DATOS DOCENTES'!$D876</f>
        <v>Pérez Chacón, Antonio</v>
      </c>
    </row>
    <row r="878" spans="19:20">
      <c r="S878" t="str">
        <f>IF('[1]REGISTRO ECTS TFT'!$J883&gt;0,'[1]REGISTRO ECTS TFT'!$B883,"")</f>
        <v/>
      </c>
      <c r="T878" t="str">
        <f>'[2]DATOS DOCENTES'!$D877</f>
        <v>Pérez Cobas, Ana Elena</v>
      </c>
    </row>
    <row r="879" spans="19:20">
      <c r="S879" t="str">
        <f>IF('[1]REGISTRO ECTS TFT'!$J884&gt;0,'[1]REGISTRO ECTS TFT'!$B884,"")</f>
        <v/>
      </c>
      <c r="T879" t="str">
        <f>'[2]DATOS DOCENTES'!$D878</f>
        <v>Pérez Corella, Daniel</v>
      </c>
    </row>
    <row r="880" spans="19:20">
      <c r="S880" t="str">
        <f>IF('[1]REGISTRO ECTS TFT'!$J885&gt;0,'[1]REGISTRO ECTS TFT'!$B885,"")</f>
        <v/>
      </c>
      <c r="T880" t="str">
        <f>'[2]DATOS DOCENTES'!$D879</f>
        <v>Pérez de la Cruz, Sagrario</v>
      </c>
    </row>
    <row r="881" spans="19:20">
      <c r="S881" t="str">
        <f>IF('[1]REGISTRO ECTS TFT'!$J886&gt;0,'[1]REGISTRO ECTS TFT'!$B886,"")</f>
        <v/>
      </c>
      <c r="T881" t="str">
        <f>'[2]DATOS DOCENTES'!$D880</f>
        <v>Pérez Escobedo, Paloma</v>
      </c>
    </row>
    <row r="882" spans="19:20">
      <c r="S882" t="str">
        <f>IF('[1]REGISTRO ECTS TFT'!$J887&gt;0,'[1]REGISTRO ECTS TFT'!$B887,"")</f>
        <v/>
      </c>
      <c r="T882" t="str">
        <f>'[2]DATOS DOCENTES'!$D881</f>
        <v>Pérez Flores, Javier José</v>
      </c>
    </row>
    <row r="883" spans="19:20">
      <c r="S883" t="str">
        <f>IF('[1]REGISTRO ECTS TFT'!$J888&gt;0,'[1]REGISTRO ECTS TFT'!$B888,"")</f>
        <v/>
      </c>
      <c r="T883" t="str">
        <f>'[2]DATOS DOCENTES'!$D882</f>
        <v>Pérez Gálvez, Bartolomé</v>
      </c>
    </row>
    <row r="884" spans="19:20">
      <c r="S884" t="str">
        <f>IF('[1]REGISTRO ECTS TFT'!$J889&gt;0,'[1]REGISTRO ECTS TFT'!$B889,"")</f>
        <v/>
      </c>
      <c r="T884" t="str">
        <f>'[2]DATOS DOCENTES'!$D883</f>
        <v>Pérez Hernández, Javier</v>
      </c>
    </row>
    <row r="885" spans="19:20">
      <c r="S885" t="str">
        <f>IF('[1]REGISTRO ECTS TFT'!$J890&gt;0,'[1]REGISTRO ECTS TFT'!$B890,"")</f>
        <v/>
      </c>
      <c r="T885" t="str">
        <f>'[2]DATOS DOCENTES'!$D884</f>
        <v>Pérez López, Lydia</v>
      </c>
    </row>
    <row r="886" spans="19:20">
      <c r="S886" t="str">
        <f>IF('[1]REGISTRO ECTS TFT'!$J891&gt;0,'[1]REGISTRO ECTS TFT'!$B891,"")</f>
        <v/>
      </c>
      <c r="T886" t="str">
        <f>'[2]DATOS DOCENTES'!$D885</f>
        <v>Pérez Maletzki, José</v>
      </c>
    </row>
    <row r="887" spans="19:20">
      <c r="S887" t="str">
        <f>IF('[1]REGISTRO ECTS TFT'!$J892&gt;0,'[1]REGISTRO ECTS TFT'!$B892,"")</f>
        <v/>
      </c>
      <c r="T887" t="str">
        <f>'[2]DATOS DOCENTES'!$D886</f>
        <v>Pérez Martínez, Armenio</v>
      </c>
    </row>
    <row r="888" spans="19:20">
      <c r="S888" t="str">
        <f>IF('[1]REGISTRO ECTS TFT'!$J893&gt;0,'[1]REGISTRO ECTS TFT'!$B893,"")</f>
        <v/>
      </c>
      <c r="T888" t="str">
        <f>'[2]DATOS DOCENTES'!$D887</f>
        <v>Pérez Muñoz, Alfonso</v>
      </c>
    </row>
    <row r="889" spans="19:20">
      <c r="S889" t="str">
        <f>IF('[1]REGISTRO ECTS TFT'!$J894&gt;0,'[1]REGISTRO ECTS TFT'!$B894,"")</f>
        <v/>
      </c>
      <c r="T889" t="str">
        <f>'[2]DATOS DOCENTES'!$D888</f>
        <v>Pérez Núñez, Paula</v>
      </c>
    </row>
    <row r="890" spans="19:20">
      <c r="S890" t="str">
        <f>IF('[1]REGISTRO ECTS TFT'!$J895&gt;0,'[1]REGISTRO ECTS TFT'!$B895,"")</f>
        <v/>
      </c>
      <c r="T890" t="str">
        <f>'[2]DATOS DOCENTES'!$D889</f>
        <v>Pérez Pascual, David</v>
      </c>
    </row>
    <row r="891" spans="19:20">
      <c r="S891" t="str">
        <f>IF('[1]REGISTRO ECTS TFT'!$J896&gt;0,'[1]REGISTRO ECTS TFT'!$B896,"")</f>
        <v/>
      </c>
      <c r="T891" t="str">
        <f>'[2]DATOS DOCENTES'!$D890</f>
        <v>Pérez Rodríguez, Mariela Sofia</v>
      </c>
    </row>
    <row r="892" spans="19:20">
      <c r="S892" t="str">
        <f>IF('[1]REGISTRO ECTS TFT'!$J897&gt;0,'[1]REGISTRO ECTS TFT'!$B897,"")</f>
        <v/>
      </c>
      <c r="T892" t="str">
        <f>'[2]DATOS DOCENTES'!$D891</f>
        <v>Pérez Rodríguez, Sandra</v>
      </c>
    </row>
    <row r="893" spans="19:20">
      <c r="S893" t="str">
        <f>IF('[1]REGISTRO ECTS TFT'!$J898&gt;0,'[1]REGISTRO ECTS TFT'!$B898,"")</f>
        <v/>
      </c>
      <c r="T893" t="str">
        <f>'[2]DATOS DOCENTES'!$D892</f>
        <v>Pérez Soler, Óscar</v>
      </c>
    </row>
    <row r="894" spans="19:20">
      <c r="S894" t="str">
        <f>IF('[1]REGISTRO ECTS TFT'!$J899&gt;0,'[1]REGISTRO ECTS TFT'!$B899,"")</f>
        <v/>
      </c>
      <c r="T894" t="str">
        <f>'[2]DATOS DOCENTES'!$D893</f>
        <v>Pérez Tabares, Miguel</v>
      </c>
    </row>
    <row r="895" spans="19:20">
      <c r="S895" t="str">
        <f>IF('[1]REGISTRO ECTS TFT'!$J900&gt;0,'[1]REGISTRO ECTS TFT'!$B900,"")</f>
        <v/>
      </c>
      <c r="T895" t="str">
        <f>'[2]DATOS DOCENTES'!$D894</f>
        <v>Pérez Tejeda, Alberto</v>
      </c>
    </row>
    <row r="896" spans="19:20">
      <c r="S896" t="str">
        <f>IF('[1]REGISTRO ECTS TFT'!$J901&gt;0,'[1]REGISTRO ECTS TFT'!$B901,"")</f>
        <v/>
      </c>
      <c r="T896" t="str">
        <f>'[2]DATOS DOCENTES'!$D895</f>
        <v>Pérez Turégano, Fuenmaría</v>
      </c>
    </row>
    <row r="897" spans="19:20">
      <c r="S897" t="str">
        <f>IF('[1]REGISTRO ECTS TFT'!$J902&gt;0,'[1]REGISTRO ECTS TFT'!$B902,"")</f>
        <v/>
      </c>
      <c r="T897" t="str">
        <f>'[2]DATOS DOCENTES'!$D896</f>
        <v>Pérez Valle, Jorge</v>
      </c>
    </row>
    <row r="898" spans="19:20">
      <c r="S898" t="str">
        <f>IF('[1]REGISTRO ECTS TFT'!$J903&gt;0,'[1]REGISTRO ECTS TFT'!$B903,"")</f>
        <v/>
      </c>
      <c r="T898" t="str">
        <f>'[2]DATOS DOCENTES'!$D897</f>
        <v>Peris Giménez, Júlia</v>
      </c>
    </row>
    <row r="899" spans="19:20">
      <c r="S899" t="str">
        <f>IF('[1]REGISTRO ECTS TFT'!$J904&gt;0,'[1]REGISTRO ECTS TFT'!$B904,"")</f>
        <v/>
      </c>
      <c r="T899" t="str">
        <f>'[2]DATOS DOCENTES'!$D898</f>
        <v>Picado Méndez, Manuel</v>
      </c>
    </row>
    <row r="900" spans="19:20">
      <c r="S900" t="str">
        <f>IF('[1]REGISTRO ECTS TFT'!$J905&gt;0,'[1]REGISTRO ECTS TFT'!$B905,"")</f>
        <v/>
      </c>
      <c r="T900" t="str">
        <f>'[2]DATOS DOCENTES'!$D899</f>
        <v>Picazo Rubio, Belén María</v>
      </c>
    </row>
    <row r="901" spans="19:20">
      <c r="S901" t="str">
        <f>IF('[1]REGISTRO ECTS TFT'!$J906&gt;0,'[1]REGISTRO ECTS TFT'!$B906,"")</f>
        <v/>
      </c>
      <c r="T901" t="str">
        <f>'[2]DATOS DOCENTES'!$D900</f>
        <v>Pina López, David</v>
      </c>
    </row>
    <row r="902" spans="19:20">
      <c r="S902" t="str">
        <f>IF('[1]REGISTRO ECTS TFT'!$J907&gt;0,'[1]REGISTRO ECTS TFT'!$B907,"")</f>
        <v/>
      </c>
      <c r="T902" t="str">
        <f>'[2]DATOS DOCENTES'!$D901</f>
        <v>Pinazo Clapés, Carolina</v>
      </c>
    </row>
    <row r="903" spans="19:20">
      <c r="S903" t="str">
        <f>IF('[1]REGISTRO ECTS TFT'!$J908&gt;0,'[1]REGISTRO ECTS TFT'!$B908,"")</f>
        <v/>
      </c>
      <c r="T903" t="str">
        <f>'[2]DATOS DOCENTES'!$D902</f>
        <v>Pinel Arroyo, Luis</v>
      </c>
    </row>
    <row r="904" spans="19:20">
      <c r="S904" t="str">
        <f>IF('[1]REGISTRO ECTS TFT'!$J909&gt;0,'[1]REGISTRO ECTS TFT'!$B909,"")</f>
        <v/>
      </c>
      <c r="T904" t="str">
        <f>'[2]DATOS DOCENTES'!$D903</f>
        <v>Pintado Cucarella, María Sheila</v>
      </c>
    </row>
    <row r="905" spans="19:20">
      <c r="S905" t="str">
        <f>IF('[1]REGISTRO ECTS TFT'!$J910&gt;0,'[1]REGISTRO ECTS TFT'!$B910,"")</f>
        <v/>
      </c>
      <c r="T905" t="str">
        <f>'[2]DATOS DOCENTES'!$D904</f>
        <v>Pinto Álvarez, María Florencia</v>
      </c>
    </row>
    <row r="906" spans="19:20">
      <c r="S906" t="str">
        <f>IF('[1]REGISTRO ECTS TFT'!$J911&gt;0,'[1]REGISTRO ECTS TFT'!$B911,"")</f>
        <v/>
      </c>
      <c r="T906" t="str">
        <f>'[2]DATOS DOCENTES'!$D905</f>
        <v>Píriz Bartivas, José Luis</v>
      </c>
    </row>
    <row r="907" spans="19:20">
      <c r="S907" t="str">
        <f>IF('[1]REGISTRO ECTS TFT'!$J912&gt;0,'[1]REGISTRO ECTS TFT'!$B912,"")</f>
        <v/>
      </c>
      <c r="T907" t="str">
        <f>'[2]DATOS DOCENTES'!$D906</f>
        <v>Pisano, Ignacio Luis</v>
      </c>
    </row>
    <row r="908" spans="19:20">
      <c r="S908" t="str">
        <f>IF('[1]REGISTRO ECTS TFT'!$J913&gt;0,'[1]REGISTRO ECTS TFT'!$B913,"")</f>
        <v/>
      </c>
      <c r="T908" t="str">
        <f>'[2]DATOS DOCENTES'!$D907</f>
        <v>Pisano Martínez, Lucía</v>
      </c>
    </row>
    <row r="909" spans="19:20">
      <c r="S909" t="str">
        <f>IF('[1]REGISTRO ECTS TFT'!$J914&gt;0,'[1]REGISTRO ECTS TFT'!$B914,"")</f>
        <v/>
      </c>
      <c r="T909" t="str">
        <f>'[2]DATOS DOCENTES'!$D908</f>
        <v>Pitarch Albado, Carla</v>
      </c>
    </row>
    <row r="910" spans="19:20">
      <c r="S910" t="str">
        <f>IF('[1]REGISTRO ECTS TFT'!$J915&gt;0,'[1]REGISTRO ECTS TFT'!$B915,"")</f>
        <v/>
      </c>
      <c r="T910" t="str">
        <f>'[2]DATOS DOCENTES'!$D909</f>
        <v>Plaza Moreno, Elena</v>
      </c>
    </row>
    <row r="911" spans="19:20">
      <c r="S911" t="str">
        <f>IF('[1]REGISTRO ECTS TFT'!$J916&gt;0,'[1]REGISTRO ECTS TFT'!$B916,"")</f>
        <v/>
      </c>
      <c r="T911" t="str">
        <f>'[2]DATOS DOCENTES'!$D910</f>
        <v>Ponce Márquez, Sara</v>
      </c>
    </row>
    <row r="912" spans="19:20">
      <c r="S912" t="str">
        <f>IF('[1]REGISTRO ECTS TFT'!$J917&gt;0,'[1]REGISTRO ECTS TFT'!$B917,"")</f>
        <v/>
      </c>
      <c r="T912" t="str">
        <f>'[2]DATOS DOCENTES'!$D911</f>
        <v>Pórcar Gozalbo, Nadia</v>
      </c>
    </row>
    <row r="913" spans="19:20">
      <c r="S913" t="str">
        <f>IF('[1]REGISTRO ECTS TFT'!$J918&gt;0,'[1]REGISTRO ECTS TFT'!$B918,"")</f>
        <v/>
      </c>
      <c r="T913" t="str">
        <f>'[2]DATOS DOCENTES'!$D912</f>
        <v>Portela Leiva, Yara María</v>
      </c>
    </row>
    <row r="914" spans="19:20">
      <c r="S914" t="str">
        <f>IF('[1]REGISTRO ECTS TFT'!$J919&gt;0,'[1]REGISTRO ECTS TFT'!$B919,"")</f>
        <v/>
      </c>
      <c r="T914" t="str">
        <f>'[2]DATOS DOCENTES'!$D913</f>
        <v>Postigo Martínez, Javier</v>
      </c>
    </row>
    <row r="915" spans="19:20">
      <c r="S915" t="str">
        <f>IF('[1]REGISTRO ECTS TFT'!$J920&gt;0,'[1]REGISTRO ECTS TFT'!$B920,"")</f>
        <v/>
      </c>
      <c r="T915" t="str">
        <f>'[2]DATOS DOCENTES'!$D914</f>
        <v>Poveda García, Ana</v>
      </c>
    </row>
    <row r="916" spans="19:20">
      <c r="S916" t="str">
        <f>IF('[1]REGISTRO ECTS TFT'!$J921&gt;0,'[1]REGISTRO ECTS TFT'!$B921,"")</f>
        <v/>
      </c>
      <c r="T916" t="str">
        <f>'[2]DATOS DOCENTES'!$D915</f>
        <v>Poveda Moral, Silvia</v>
      </c>
    </row>
    <row r="917" spans="19:20">
      <c r="S917" t="str">
        <f>IF('[1]REGISTRO ECTS TFT'!$J922&gt;0,'[1]REGISTRO ECTS TFT'!$B922,"")</f>
        <v/>
      </c>
      <c r="T917" t="str">
        <f>'[2]DATOS DOCENTES'!$D916</f>
        <v>Poyato Vega, Natalia</v>
      </c>
    </row>
    <row r="918" spans="19:20">
      <c r="S918" t="str">
        <f>IF('[1]REGISTRO ECTS TFT'!$J923&gt;0,'[1]REGISTRO ECTS TFT'!$B923,"")</f>
        <v/>
      </c>
      <c r="T918" t="str">
        <f>'[2]DATOS DOCENTES'!$D917</f>
        <v>Pradas Montilla, Silvia</v>
      </c>
    </row>
    <row r="919" spans="19:20">
      <c r="S919" t="str">
        <f>IF('[1]REGISTRO ECTS TFT'!$J924&gt;0,'[1]REGISTRO ECTS TFT'!$B924,"")</f>
        <v/>
      </c>
      <c r="T919" t="str">
        <f>'[2]DATOS DOCENTES'!$D918</f>
        <v>Preciado Mora, Mónica María</v>
      </c>
    </row>
    <row r="920" spans="19:20">
      <c r="S920" t="str">
        <f>IF('[1]REGISTRO ECTS TFT'!$J925&gt;0,'[1]REGISTRO ECTS TFT'!$B925,"")</f>
        <v/>
      </c>
      <c r="T920" t="str">
        <f>'[2]DATOS DOCENTES'!$D919</f>
        <v>Prieto Fernández, Paula</v>
      </c>
    </row>
    <row r="921" spans="19:20">
      <c r="S921" t="str">
        <f>IF('[1]REGISTRO ECTS TFT'!$J926&gt;0,'[1]REGISTRO ECTS TFT'!$B926,"")</f>
        <v/>
      </c>
      <c r="T921" t="str">
        <f>'[2]DATOS DOCENTES'!$D920</f>
        <v>Privado Zamorano, Jesús</v>
      </c>
    </row>
    <row r="922" spans="19:20">
      <c r="S922" t="str">
        <f>IF('[1]REGISTRO ECTS TFT'!$J927&gt;0,'[1]REGISTRO ECTS TFT'!$B927,"")</f>
        <v/>
      </c>
      <c r="T922" t="str">
        <f>'[2]DATOS DOCENTES'!$D921</f>
        <v>Puchol Soriano, Sara</v>
      </c>
    </row>
    <row r="923" spans="19:20">
      <c r="S923" t="str">
        <f>IF('[1]REGISTRO ECTS TFT'!$J928&gt;0,'[1]REGISTRO ECTS TFT'!$B928,"")</f>
        <v/>
      </c>
      <c r="T923" t="str">
        <f>'[2]DATOS DOCENTES'!$D922</f>
        <v>Puertas Martín, Verónica</v>
      </c>
    </row>
    <row r="924" spans="19:20">
      <c r="S924" t="str">
        <f>IF('[1]REGISTRO ECTS TFT'!$J929&gt;0,'[1]REGISTRO ECTS TFT'!$B929,"")</f>
        <v/>
      </c>
      <c r="T924" t="str">
        <f>'[2]DATOS DOCENTES'!$D923</f>
        <v>Puertas Yáñez, María Amaya</v>
      </c>
    </row>
    <row r="925" spans="19:20">
      <c r="S925" t="str">
        <f>IF('[1]REGISTRO ECTS TFT'!$J930&gt;0,'[1]REGISTRO ECTS TFT'!$B930,"")</f>
        <v/>
      </c>
      <c r="T925" t="str">
        <f>'[2]DATOS DOCENTES'!$D924</f>
        <v>Puig Herreros, Clara</v>
      </c>
    </row>
    <row r="926" spans="19:20">
      <c r="S926" t="str">
        <f>IF('[1]REGISTRO ECTS TFT'!$J931&gt;0,'[1]REGISTRO ECTS TFT'!$B931,"")</f>
        <v/>
      </c>
      <c r="T926" t="str">
        <f>'[2]DATOS DOCENTES'!$D925</f>
        <v>Puig Pérez, Sara</v>
      </c>
    </row>
    <row r="927" spans="19:20">
      <c r="S927" t="str">
        <f>IF('[1]REGISTRO ECTS TFT'!$J932&gt;0,'[1]REGISTRO ECTS TFT'!$B932,"")</f>
        <v/>
      </c>
      <c r="T927" t="str">
        <f>'[2]DATOS DOCENTES'!$D926</f>
        <v>Pujol Fuentes, Clara</v>
      </c>
    </row>
    <row r="928" spans="19:20">
      <c r="S928" t="str">
        <f>IF('[1]REGISTRO ECTS TFT'!$J933&gt;0,'[1]REGISTRO ECTS TFT'!$B933,"")</f>
        <v/>
      </c>
      <c r="T928" t="str">
        <f>'[2]DATOS DOCENTES'!$D927</f>
        <v>Querol Reverte, Anabel</v>
      </c>
    </row>
    <row r="929" spans="19:20">
      <c r="S929" t="str">
        <f>IF('[1]REGISTRO ECTS TFT'!$J934&gt;0,'[1]REGISTRO ECTS TFT'!$B934,"")</f>
        <v/>
      </c>
      <c r="T929" t="str">
        <f>'[2]DATOS DOCENTES'!$D928</f>
        <v>Quifer Rada, Paula</v>
      </c>
    </row>
    <row r="930" spans="19:20">
      <c r="S930" t="str">
        <f>IF('[1]REGISTRO ECTS TFT'!$J935&gt;0,'[1]REGISTRO ECTS TFT'!$B935,"")</f>
        <v/>
      </c>
      <c r="T930" t="str">
        <f>'[2]DATOS DOCENTES'!$D929</f>
        <v>Quiles Catalá, Amparo</v>
      </c>
    </row>
    <row r="931" spans="19:20">
      <c r="S931" t="str">
        <f>IF('[1]REGISTRO ECTS TFT'!$J936&gt;0,'[1]REGISTRO ECTS TFT'!$B936,"")</f>
        <v/>
      </c>
      <c r="T931" t="str">
        <f>'[2]DATOS DOCENTES'!$D930</f>
        <v>Quílez Robres, Alberto</v>
      </c>
    </row>
    <row r="932" spans="19:20">
      <c r="S932" t="str">
        <f>IF('[1]REGISTRO ECTS TFT'!$J937&gt;0,'[1]REGISTRO ECTS TFT'!$B937,"")</f>
        <v/>
      </c>
      <c r="T932" t="str">
        <f>'[2]DATOS DOCENTES'!$D931</f>
        <v>Quintana Hernández, Domingo Jesús</v>
      </c>
    </row>
    <row r="933" spans="19:20">
      <c r="S933" t="str">
        <f>IF('[1]REGISTRO ECTS TFT'!$J938&gt;0,'[1]REGISTRO ECTS TFT'!$B938,"")</f>
        <v/>
      </c>
      <c r="T933" t="str">
        <f>'[2]DATOS DOCENTES'!$D932</f>
        <v>Quintana López, Alida Verónica</v>
      </c>
    </row>
    <row r="934" spans="19:20">
      <c r="S934" t="str">
        <f>IF('[1]REGISTRO ECTS TFT'!$J939&gt;0,'[1]REGISTRO ECTS TFT'!$B939,"")</f>
        <v/>
      </c>
      <c r="T934" t="str">
        <f>'[2]DATOS DOCENTES'!$D933</f>
        <v>Quiun Montes, Laura Fabiola</v>
      </c>
    </row>
    <row r="935" spans="19:20">
      <c r="S935" t="str">
        <f>IF('[1]REGISTRO ECTS TFT'!$J940&gt;0,'[1]REGISTRO ECTS TFT'!$B940,"")</f>
        <v/>
      </c>
      <c r="T935" t="str">
        <f>'[2]DATOS DOCENTES'!$D934</f>
        <v>Rama Galdón, Encarnación</v>
      </c>
    </row>
    <row r="936" spans="19:20">
      <c r="S936" t="str">
        <f>IF('[1]REGISTRO ECTS TFT'!$J941&gt;0,'[1]REGISTRO ECTS TFT'!$B941,"")</f>
        <v/>
      </c>
      <c r="T936" t="str">
        <f>'[2]DATOS DOCENTES'!$D935</f>
        <v>Ramírez Pérez, Paula</v>
      </c>
    </row>
    <row r="937" spans="19:20">
      <c r="S937" t="str">
        <f>IF('[1]REGISTRO ECTS TFT'!$J942&gt;0,'[1]REGISTRO ECTS TFT'!$B942,"")</f>
        <v/>
      </c>
      <c r="T937" t="str">
        <f>'[2]DATOS DOCENTES'!$D936</f>
        <v>Ramiro Cortijo, David</v>
      </c>
    </row>
    <row r="938" spans="19:20">
      <c r="S938" t="str">
        <f>IF('[1]REGISTRO ECTS TFT'!$J943&gt;0,'[1]REGISTRO ECTS TFT'!$B943,"")</f>
        <v/>
      </c>
      <c r="T938" t="str">
        <f>'[2]DATOS DOCENTES'!$D937</f>
        <v>Ramiro Mena, Francisco de Borja</v>
      </c>
    </row>
    <row r="939" spans="19:20">
      <c r="S939" t="str">
        <f>IF('[1]REGISTRO ECTS TFT'!$J944&gt;0,'[1]REGISTRO ECTS TFT'!$B944,"")</f>
        <v/>
      </c>
      <c r="T939" t="str">
        <f>'[2]DATOS DOCENTES'!$D938</f>
        <v>Ramón Arbués, Enrique</v>
      </c>
    </row>
    <row r="940" spans="19:20">
      <c r="S940" t="str">
        <f>IF('[1]REGISTRO ECTS TFT'!$J945&gt;0,'[1]REGISTRO ECTS TFT'!$B945,"")</f>
        <v/>
      </c>
      <c r="T940" t="str">
        <f>'[2]DATOS DOCENTES'!$D939</f>
        <v>Ramos Cantó, Juana</v>
      </c>
    </row>
    <row r="941" spans="19:20">
      <c r="S941" t="str">
        <f>IF('[1]REGISTRO ECTS TFT'!$J946&gt;0,'[1]REGISTRO ECTS TFT'!$B946,"")</f>
        <v/>
      </c>
      <c r="T941" t="str">
        <f>'[2]DATOS DOCENTES'!$D940</f>
        <v>Ramos Josa, Pedro Francisco</v>
      </c>
    </row>
    <row r="942" spans="19:20">
      <c r="S942" t="str">
        <f>IF('[1]REGISTRO ECTS TFT'!$J947&gt;0,'[1]REGISTRO ECTS TFT'!$B947,"")</f>
        <v/>
      </c>
      <c r="T942" t="str">
        <f>'[2]DATOS DOCENTES'!$D941</f>
        <v>Ramos Serra, Lidia María</v>
      </c>
    </row>
    <row r="943" spans="19:20">
      <c r="S943" t="str">
        <f>IF('[1]REGISTRO ECTS TFT'!$J948&gt;0,'[1]REGISTRO ECTS TFT'!$B948,"")</f>
        <v/>
      </c>
      <c r="T943" t="str">
        <f>'[2]DATOS DOCENTES'!$D942</f>
        <v>Ramos Usuga, Daniela</v>
      </c>
    </row>
    <row r="944" spans="19:20">
      <c r="S944" t="str">
        <f>IF('[1]REGISTRO ECTS TFT'!$J949&gt;0,'[1]REGISTRO ECTS TFT'!$B949,"")</f>
        <v/>
      </c>
      <c r="T944" t="str">
        <f>'[2]DATOS DOCENTES'!$D943</f>
        <v>Randazzo, Walter</v>
      </c>
    </row>
    <row r="945" spans="19:20">
      <c r="S945" t="str">
        <f>IF('[1]REGISTRO ECTS TFT'!$J950&gt;0,'[1]REGISTRO ECTS TFT'!$B950,"")</f>
        <v/>
      </c>
      <c r="T945" t="str">
        <f>'[2]DATOS DOCENTES'!$D944</f>
        <v>Rasal Cantó, Paloma</v>
      </c>
    </row>
    <row r="946" spans="19:20">
      <c r="S946" t="str">
        <f>IF('[1]REGISTRO ECTS TFT'!$J951&gt;0,'[1]REGISTRO ECTS TFT'!$B951,"")</f>
        <v/>
      </c>
      <c r="T946" t="str">
        <f>'[2]DATOS DOCENTES'!$D945</f>
        <v>Raspa, Giannantonio</v>
      </c>
    </row>
    <row r="947" spans="19:20">
      <c r="S947" t="str">
        <f>IF('[1]REGISTRO ECTS TFT'!$J952&gt;0,'[1]REGISTRO ECTS TFT'!$B952,"")</f>
        <v/>
      </c>
      <c r="T947" t="str">
        <f>'[2]DATOS DOCENTES'!$D946</f>
        <v>Rebolleda Gil, Carlos</v>
      </c>
    </row>
    <row r="948" spans="19:20">
      <c r="S948" t="str">
        <f>IF('[1]REGISTRO ECTS TFT'!$J953&gt;0,'[1]REGISTRO ECTS TFT'!$B953,"")</f>
        <v/>
      </c>
      <c r="T948" t="str">
        <f>'[2]DATOS DOCENTES'!$D947</f>
        <v>Recio Barbero, María</v>
      </c>
    </row>
    <row r="949" spans="19:20">
      <c r="S949" t="str">
        <f>IF('[1]REGISTRO ECTS TFT'!$J954&gt;0,'[1]REGISTRO ECTS TFT'!$B954,"")</f>
        <v/>
      </c>
      <c r="T949" t="str">
        <f>'[2]DATOS DOCENTES'!$D948</f>
        <v>Reig García-Galbis, Manuel</v>
      </c>
    </row>
    <row r="950" spans="19:20">
      <c r="S950" t="str">
        <f>IF('[1]REGISTRO ECTS TFT'!$J955&gt;0,'[1]REGISTRO ECTS TFT'!$B955,"")</f>
        <v/>
      </c>
      <c r="T950" t="str">
        <f>'[2]DATOS DOCENTES'!$D949</f>
        <v>Rentero Garrido, Pilar</v>
      </c>
    </row>
    <row r="951" spans="19:20">
      <c r="S951" t="str">
        <f>IF('[1]REGISTRO ECTS TFT'!$J956&gt;0,'[1]REGISTRO ECTS TFT'!$B956,"")</f>
        <v/>
      </c>
      <c r="T951" t="str">
        <f>'[2]DATOS DOCENTES'!$D950</f>
        <v>Requena Ocaña, Nerea</v>
      </c>
    </row>
    <row r="952" spans="19:20">
      <c r="S952" t="str">
        <f>IF('[1]REGISTRO ECTS TFT'!$J957&gt;0,'[1]REGISTRO ECTS TFT'!$B957,"")</f>
        <v/>
      </c>
      <c r="T952" t="str">
        <f>'[2]DATOS DOCENTES'!$D951</f>
        <v>Revenga Frauca, Juan</v>
      </c>
    </row>
    <row r="953" spans="19:20">
      <c r="S953" t="str">
        <f>IF('[1]REGISTRO ECTS TFT'!$J958&gt;0,'[1]REGISTRO ECTS TFT'!$B958,"")</f>
        <v/>
      </c>
      <c r="T953" t="str">
        <f>'[2]DATOS DOCENTES'!$D952</f>
        <v>Rey López, Juan Pablo</v>
      </c>
    </row>
    <row r="954" spans="19:20">
      <c r="S954" t="str">
        <f>IF('[1]REGISTRO ECTS TFT'!$J959&gt;0,'[1]REGISTRO ECTS TFT'!$B959,"")</f>
        <v/>
      </c>
      <c r="T954" t="str">
        <f>'[2]DATOS DOCENTES'!$D953</f>
        <v>Reyes Rodríguez, Paulina Alejandra</v>
      </c>
    </row>
    <row r="955" spans="19:20">
      <c r="S955" t="str">
        <f>IF('[1]REGISTRO ECTS TFT'!$J960&gt;0,'[1]REGISTRO ECTS TFT'!$B960,"")</f>
        <v/>
      </c>
      <c r="T955" t="str">
        <f>'[2]DATOS DOCENTES'!$D954</f>
        <v>Ribes Fortanet, Diana</v>
      </c>
    </row>
    <row r="956" spans="19:20">
      <c r="S956" t="str">
        <f>IF('[1]REGISTRO ECTS TFT'!$J961&gt;0,'[1]REGISTRO ECTS TFT'!$B961,"")</f>
        <v/>
      </c>
      <c r="T956" t="str">
        <f>'[2]DATOS DOCENTES'!$D955</f>
        <v>Riffo Campos, Ángela L.</v>
      </c>
    </row>
    <row r="957" spans="19:20">
      <c r="S957" t="str">
        <f>IF('[1]REGISTRO ECTS TFT'!$J962&gt;0,'[1]REGISTRO ECTS TFT'!$B962,"")</f>
        <v/>
      </c>
      <c r="T957" t="str">
        <f>'[2]DATOS DOCENTES'!$D956</f>
        <v>Rincón Neira, Liliana</v>
      </c>
    </row>
    <row r="958" spans="19:20">
      <c r="S958" t="str">
        <f>IF('[1]REGISTRO ECTS TFT'!$J963&gt;0,'[1]REGISTRO ECTS TFT'!$B963,"")</f>
        <v/>
      </c>
      <c r="T958" t="str">
        <f>'[2]DATOS DOCENTES'!$D957</f>
        <v>Río Martínez, Laura</v>
      </c>
    </row>
    <row r="959" spans="19:20">
      <c r="S959" t="str">
        <f>IF('[1]REGISTRO ECTS TFT'!$J964&gt;0,'[1]REGISTRO ECTS TFT'!$B964,"")</f>
        <v/>
      </c>
      <c r="T959" t="str">
        <f>'[2]DATOS DOCENTES'!$D958</f>
        <v>Riobello Suárez, Cristina</v>
      </c>
    </row>
    <row r="960" spans="19:20">
      <c r="S960" t="str">
        <f>IF('[1]REGISTRO ECTS TFT'!$J965&gt;0,'[1]REGISTRO ECTS TFT'!$B965,"")</f>
        <v/>
      </c>
      <c r="T960" t="str">
        <f>'[2]DATOS DOCENTES'!$D959</f>
        <v>Rioja Moreno, Laura</v>
      </c>
    </row>
    <row r="961" spans="19:20">
      <c r="S961" t="str">
        <f>IF('[1]REGISTRO ECTS TFT'!$J966&gt;0,'[1]REGISTRO ECTS TFT'!$B966,"")</f>
        <v/>
      </c>
      <c r="T961" t="str">
        <f>'[2]DATOS DOCENTES'!$D960</f>
        <v>Ríos Blázquez, José Carlos</v>
      </c>
    </row>
    <row r="962" spans="19:20">
      <c r="S962" t="str">
        <f>IF('[1]REGISTRO ECTS TFT'!$J967&gt;0,'[1]REGISTRO ECTS TFT'!$B967,"")</f>
        <v/>
      </c>
      <c r="T962" t="str">
        <f>'[2]DATOS DOCENTES'!$D961</f>
        <v>Rivas García, Francisco</v>
      </c>
    </row>
    <row r="963" spans="19:20">
      <c r="S963" t="str">
        <f>IF('[1]REGISTRO ECTS TFT'!$J968&gt;0,'[1]REGISTRO ECTS TFT'!$B968,"")</f>
        <v/>
      </c>
      <c r="T963" t="str">
        <f>'[2]DATOS DOCENTES'!$D962</f>
        <v>Rivas García, Sandra María</v>
      </c>
    </row>
    <row r="964" spans="19:20">
      <c r="S964" t="str">
        <f>IF('[1]REGISTRO ECTS TFT'!$J969&gt;0,'[1]REGISTRO ECTS TFT'!$B969,"")</f>
        <v/>
      </c>
      <c r="T964" t="str">
        <f>'[2]DATOS DOCENTES'!$D963</f>
        <v>Rivas García, Lorenzo</v>
      </c>
    </row>
    <row r="965" spans="19:20">
      <c r="S965" t="str">
        <f>IF('[1]REGISTRO ECTS TFT'!$J970&gt;0,'[1]REGISTRO ECTS TFT'!$B970,"")</f>
        <v/>
      </c>
      <c r="T965" t="str">
        <f>'[2]DATOS DOCENTES'!$D964</f>
        <v>Roca Morales, Pablo</v>
      </c>
    </row>
    <row r="966" spans="19:20">
      <c r="S966" t="str">
        <f>IF('[1]REGISTRO ECTS TFT'!$J971&gt;0,'[1]REGISTRO ECTS TFT'!$B971,"")</f>
        <v/>
      </c>
      <c r="T966" t="str">
        <f>'[2]DATOS DOCENTES'!$D965</f>
        <v>Roca Santos, Mariona</v>
      </c>
    </row>
    <row r="967" spans="19:20">
      <c r="S967" t="str">
        <f>IF('[1]REGISTRO ECTS TFT'!$J972&gt;0,'[1]REGISTRO ECTS TFT'!$B972,"")</f>
        <v/>
      </c>
      <c r="T967" t="str">
        <f>'[2]DATOS DOCENTES'!$D966</f>
        <v>Rocabado Rocha, José Francisco</v>
      </c>
    </row>
    <row r="968" spans="19:20">
      <c r="S968" t="str">
        <f>IF('[1]REGISTRO ECTS TFT'!$J973&gt;0,'[1]REGISTRO ECTS TFT'!$B973,"")</f>
        <v/>
      </c>
      <c r="T968" t="str">
        <f>'[2]DATOS DOCENTES'!$D967</f>
        <v>Rocamora González, Cristina</v>
      </c>
    </row>
    <row r="969" spans="19:20">
      <c r="S969" t="str">
        <f>IF('[1]REGISTRO ECTS TFT'!$J974&gt;0,'[1]REGISTRO ECTS TFT'!$B974,"")</f>
        <v/>
      </c>
      <c r="T969" t="str">
        <f>'[2]DATOS DOCENTES'!$D968</f>
        <v>Ródenas González, Francisco</v>
      </c>
    </row>
    <row r="970" spans="19:20">
      <c r="S970" t="str">
        <f>IF('[1]REGISTRO ECTS TFT'!$J975&gt;0,'[1]REGISTRO ECTS TFT'!$B975,"")</f>
        <v/>
      </c>
      <c r="T970" t="str">
        <f>'[2]DATOS DOCENTES'!$D969</f>
        <v>Rodríguez Álvarez, Sonia Elisa</v>
      </c>
    </row>
    <row r="971" spans="19:20">
      <c r="S971" t="str">
        <f>IF('[1]REGISTRO ECTS TFT'!$J976&gt;0,'[1]REGISTRO ECTS TFT'!$B976,"")</f>
        <v/>
      </c>
      <c r="T971" t="str">
        <f>'[2]DATOS DOCENTES'!$D970</f>
        <v>Rodríguez Beltrán, Jerónimo</v>
      </c>
    </row>
    <row r="972" spans="19:20">
      <c r="S972" t="str">
        <f>IF('[1]REGISTRO ECTS TFT'!$J977&gt;0,'[1]REGISTRO ECTS TFT'!$B977,"")</f>
        <v/>
      </c>
      <c r="T972" t="str">
        <f>'[2]DATOS DOCENTES'!$D971</f>
        <v>Rodríguez Bermejo, Alicia Aurora</v>
      </c>
    </row>
    <row r="973" spans="19:20">
      <c r="S973" t="str">
        <f>IF('[1]REGISTRO ECTS TFT'!$J978&gt;0,'[1]REGISTRO ECTS TFT'!$B978,"")</f>
        <v/>
      </c>
      <c r="T973" t="str">
        <f>'[2]DATOS DOCENTES'!$D972</f>
        <v>Rodríguez Cifuentes, Francisco</v>
      </c>
    </row>
    <row r="974" spans="19:20">
      <c r="S974" t="str">
        <f>IF('[1]REGISTRO ECTS TFT'!$J979&gt;0,'[1]REGISTRO ECTS TFT'!$B979,"")</f>
        <v/>
      </c>
      <c r="T974" t="str">
        <f>'[2]DATOS DOCENTES'!$D973</f>
        <v>Rodríguez Cobo, Iria</v>
      </c>
    </row>
    <row r="975" spans="19:20">
      <c r="S975" t="str">
        <f>IF('[1]REGISTRO ECTS TFT'!$J980&gt;0,'[1]REGISTRO ECTS TFT'!$B980,"")</f>
        <v/>
      </c>
      <c r="T975" t="str">
        <f>'[2]DATOS DOCENTES'!$D974</f>
        <v>Rodríguez Domínguez, María del Carmen</v>
      </c>
    </row>
    <row r="976" spans="19:20">
      <c r="S976" t="str">
        <f>IF('[1]REGISTRO ECTS TFT'!$J981&gt;0,'[1]REGISTRO ECTS TFT'!$B981,"")</f>
        <v/>
      </c>
      <c r="T976" t="str">
        <f>'[2]DATOS DOCENTES'!$D975</f>
        <v>Rodríguez Eguren, Adolfo</v>
      </c>
    </row>
    <row r="977" spans="19:20">
      <c r="S977" t="str">
        <f>IF('[1]REGISTRO ECTS TFT'!$J982&gt;0,'[1]REGISTRO ECTS TFT'!$B982,"")</f>
        <v/>
      </c>
      <c r="T977" t="str">
        <f>'[2]DATOS DOCENTES'!$D976</f>
        <v>Rodríguez Fernández, Lucía</v>
      </c>
    </row>
    <row r="978" spans="19:20">
      <c r="S978" t="str">
        <f>IF('[1]REGISTRO ECTS TFT'!$J983&gt;0,'[1]REGISTRO ECTS TFT'!$B983,"")</f>
        <v/>
      </c>
      <c r="T978" t="str">
        <f>'[2]DATOS DOCENTES'!$D977</f>
        <v>Rodríguez Ferrer, José Miguel</v>
      </c>
    </row>
    <row r="979" spans="19:20">
      <c r="S979" t="str">
        <f>IF('[1]REGISTRO ECTS TFT'!$J984&gt;0,'[1]REGISTRO ECTS TFT'!$B984,"")</f>
        <v/>
      </c>
      <c r="T979" t="str">
        <f>'[2]DATOS DOCENTES'!$D978</f>
        <v>Rodríguez Fuentes, Antonio Vicente</v>
      </c>
    </row>
    <row r="980" spans="19:20">
      <c r="S980" t="str">
        <f>IF('[1]REGISTRO ECTS TFT'!$J985&gt;0,'[1]REGISTRO ECTS TFT'!$B985,"")</f>
        <v/>
      </c>
      <c r="T980" t="str">
        <f>'[2]DATOS DOCENTES'!$D979</f>
        <v>Rodríguez Gil, María de las Mercedes</v>
      </c>
    </row>
    <row r="981" spans="19:20">
      <c r="S981" t="str">
        <f>IF('[1]REGISTRO ECTS TFT'!$J986&gt;0,'[1]REGISTRO ECTS TFT'!$B986,"")</f>
        <v/>
      </c>
      <c r="T981" t="str">
        <f>'[2]DATOS DOCENTES'!$D980</f>
        <v>Rodríguez Hernández, Valerie Nicole</v>
      </c>
    </row>
    <row r="982" spans="19:20">
      <c r="S982" t="str">
        <f>IF('[1]REGISTRO ECTS TFT'!$J987&gt;0,'[1]REGISTRO ECTS TFT'!$B987,"")</f>
        <v/>
      </c>
      <c r="T982" t="str">
        <f>'[2]DATOS DOCENTES'!$D981</f>
        <v>Rodríguez Herrera, María Ángeles</v>
      </c>
    </row>
    <row r="983" spans="19:20">
      <c r="S983" t="str">
        <f>IF('[1]REGISTRO ECTS TFT'!$J988&gt;0,'[1]REGISTRO ECTS TFT'!$B988,"")</f>
        <v/>
      </c>
      <c r="T983" t="str">
        <f>'[2]DATOS DOCENTES'!$D982</f>
        <v>Rodríguez Herrero, Verónica</v>
      </c>
    </row>
    <row r="984" spans="19:20">
      <c r="S984" t="str">
        <f>IF('[1]REGISTRO ECTS TFT'!$J989&gt;0,'[1]REGISTRO ECTS TFT'!$B989,"")</f>
        <v/>
      </c>
      <c r="T984" t="str">
        <f>'[2]DATOS DOCENTES'!$D983</f>
        <v>Rodríguez Machado, Eduardo Rafael</v>
      </c>
    </row>
    <row r="985" spans="19:20">
      <c r="S985" t="str">
        <f>IF('[1]REGISTRO ECTS TFT'!$J990&gt;0,'[1]REGISTRO ECTS TFT'!$B990,"")</f>
        <v/>
      </c>
      <c r="T985" t="str">
        <f>'[2]DATOS DOCENTES'!$D984</f>
        <v>Rodríguez Riesco, Lorenzo</v>
      </c>
    </row>
    <row r="986" spans="19:20">
      <c r="S986" t="str">
        <f>IF('[1]REGISTRO ECTS TFT'!$J991&gt;0,'[1]REGISTRO ECTS TFT'!$B991,"")</f>
        <v/>
      </c>
      <c r="T986" t="str">
        <f>'[2]DATOS DOCENTES'!$D985</f>
        <v>Rodríguez Suárez, Antia</v>
      </c>
    </row>
    <row r="987" spans="19:20">
      <c r="S987" t="str">
        <f>IF('[1]REGISTRO ECTS TFT'!$J992&gt;0,'[1]REGISTRO ECTS TFT'!$B992,"")</f>
        <v/>
      </c>
      <c r="T987" t="str">
        <f>'[2]DATOS DOCENTES'!$D986</f>
        <v>Rodríguez Valenzuela, María del Valle</v>
      </c>
    </row>
    <row r="988" spans="19:20">
      <c r="S988" t="str">
        <f>IF('[1]REGISTRO ECTS TFT'!$J993&gt;0,'[1]REGISTRO ECTS TFT'!$B993,"")</f>
        <v/>
      </c>
      <c r="T988" t="str">
        <f>'[2]DATOS DOCENTES'!$D987</f>
        <v>Rojas Vistorte, Ángel Olider</v>
      </c>
    </row>
    <row r="989" spans="19:20">
      <c r="S989" t="str">
        <f>IF('[1]REGISTRO ECTS TFT'!$J994&gt;0,'[1]REGISTRO ECTS TFT'!$B994,"")</f>
        <v/>
      </c>
      <c r="T989" t="str">
        <f>'[2]DATOS DOCENTES'!$D988</f>
        <v>Rolán González, Katia</v>
      </c>
    </row>
    <row r="990" spans="19:20">
      <c r="S990" t="str">
        <f>IF('[1]REGISTRO ECTS TFT'!$J995&gt;0,'[1]REGISTRO ECTS TFT'!$B995,"")</f>
        <v/>
      </c>
      <c r="T990" t="str">
        <f>'[2]DATOS DOCENTES'!$D989</f>
        <v>Roldán Pardo, Manuel</v>
      </c>
    </row>
    <row r="991" spans="19:20">
      <c r="S991" t="str">
        <f>IF('[1]REGISTRO ECTS TFT'!$J996&gt;0,'[1]REGISTRO ECTS TFT'!$B996,"")</f>
        <v/>
      </c>
      <c r="T991" t="str">
        <f>'[2]DATOS DOCENTES'!$D990</f>
        <v>Rollán García, Pedro</v>
      </c>
    </row>
    <row r="992" spans="19:20">
      <c r="S992" t="str">
        <f>IF('[1]REGISTRO ECTS TFT'!$J997&gt;0,'[1]REGISTRO ECTS TFT'!$B997,"")</f>
        <v/>
      </c>
      <c r="T992" t="str">
        <f>'[2]DATOS DOCENTES'!$D991</f>
        <v>Romero Acosta, Kelly Carolina</v>
      </c>
    </row>
    <row r="993" spans="19:20">
      <c r="S993" t="str">
        <f>IF('[1]REGISTRO ECTS TFT'!$J998&gt;0,'[1]REGISTRO ECTS TFT'!$B998,"")</f>
        <v/>
      </c>
      <c r="T993" t="str">
        <f>'[2]DATOS DOCENTES'!$D992</f>
        <v>Romero Cuadrado, Antonia Maria</v>
      </c>
    </row>
    <row r="994" spans="19:20">
      <c r="S994" t="str">
        <f>IF('[1]REGISTRO ECTS TFT'!$J999&gt;0,'[1]REGISTRO ECTS TFT'!$B999,"")</f>
        <v/>
      </c>
      <c r="T994" t="str">
        <f>'[2]DATOS DOCENTES'!$D993</f>
        <v>Romero González, Borja</v>
      </c>
    </row>
    <row r="995" spans="19:20">
      <c r="S995" t="str">
        <f>IF('[1]REGISTRO ECTS TFT'!$J1000&gt;0,'[1]REGISTRO ECTS TFT'!$B1000,"")</f>
        <v/>
      </c>
      <c r="T995" t="str">
        <f>'[2]DATOS DOCENTES'!$D994</f>
        <v>Romero Lorenzo, Juan Manuel</v>
      </c>
    </row>
    <row r="996" spans="19:20">
      <c r="S996" t="str">
        <f>IF('[1]REGISTRO ECTS TFT'!$J1001&gt;0,'[1]REGISTRO ECTS TFT'!$B1001,"")</f>
        <v/>
      </c>
      <c r="T996" t="str">
        <f>'[2]DATOS DOCENTES'!$D995</f>
        <v>Rosaleny Castell, Ramón</v>
      </c>
    </row>
    <row r="997" spans="19:20">
      <c r="S997" t="str">
        <f>IF('[1]REGISTRO ECTS TFT'!$J1002&gt;0,'[1]REGISTRO ECTS TFT'!$B1002,"")</f>
        <v/>
      </c>
      <c r="T997" t="str">
        <f>'[2]DATOS DOCENTES'!$D996</f>
        <v>Rosas García, María Daniela</v>
      </c>
    </row>
    <row r="998" spans="19:20">
      <c r="S998" t="str">
        <f>IF('[1]REGISTRO ECTS TFT'!$J1003&gt;0,'[1]REGISTRO ECTS TFT'!$B1003,"")</f>
        <v/>
      </c>
      <c r="T998" t="str">
        <f>'[2]DATOS DOCENTES'!$D997</f>
        <v>Rosas Tapia, María Elizabeth</v>
      </c>
    </row>
    <row r="999" spans="19:20">
      <c r="S999" t="str">
        <f>IF('[1]REGISTRO ECTS TFT'!$J1004&gt;0,'[1]REGISTRO ECTS TFT'!$B1004,"")</f>
        <v/>
      </c>
      <c r="T999" t="str">
        <f>'[2]DATOS DOCENTES'!$D998</f>
        <v>Rosón Burgo, Beatriz</v>
      </c>
    </row>
    <row r="1000" spans="19:20">
      <c r="S1000" t="str">
        <f>IF('[1]REGISTRO ECTS TFT'!$J1005&gt;0,'[1]REGISTRO ECTS TFT'!$B1005,"")</f>
        <v/>
      </c>
      <c r="T1000" t="str">
        <f>'[2]DATOS DOCENTES'!$D999</f>
        <v>Rubiño Díaz, José Ángel</v>
      </c>
    </row>
    <row r="1001" spans="19:20">
      <c r="S1001" t="str">
        <f>IF('[1]REGISTRO ECTS TFT'!$J1006&gt;0,'[1]REGISTRO ECTS TFT'!$B1006,"")</f>
        <v/>
      </c>
      <c r="T1001" t="str">
        <f>'[2]DATOS DOCENTES'!$D1000</f>
        <v>Rubinstein Agunin, Adrienne Karina</v>
      </c>
    </row>
    <row r="1002" spans="19:20">
      <c r="S1002" t="str">
        <f>IF('[1]REGISTRO ECTS TFT'!$J1007&gt;0,'[1]REGISTRO ECTS TFT'!$B1007,"")</f>
        <v/>
      </c>
      <c r="T1002" t="str">
        <f>'[2]DATOS DOCENTES'!$D1001</f>
        <v>Rubió Alguacil, Francesca</v>
      </c>
    </row>
    <row r="1003" spans="19:20">
      <c r="S1003" t="str">
        <f>IF('[1]REGISTRO ECTS TFT'!$J1008&gt;0,'[1]REGISTRO ECTS TFT'!$B1008,"")</f>
        <v/>
      </c>
      <c r="T1003" t="str">
        <f>'[2]DATOS DOCENTES'!$D1002</f>
        <v>Rubio Esparza, Esther</v>
      </c>
    </row>
    <row r="1004" spans="19:20">
      <c r="S1004" t="str">
        <f>IF('[1]REGISTRO ECTS TFT'!$J1009&gt;0,'[1]REGISTRO ECTS TFT'!$B1009,"")</f>
        <v/>
      </c>
      <c r="T1004" t="str">
        <f>'[2]DATOS DOCENTES'!$D1003</f>
        <v>Rubio Mangas, David</v>
      </c>
    </row>
    <row r="1005" spans="19:20">
      <c r="S1005" t="str">
        <f>IF('[1]REGISTRO ECTS TFT'!$J1010&gt;0,'[1]REGISTRO ECTS TFT'!$B1010,"")</f>
        <v/>
      </c>
      <c r="T1005" t="str">
        <f>'[2]DATOS DOCENTES'!$D1004</f>
        <v>Ruiz Cortés, Marta</v>
      </c>
    </row>
    <row r="1006" spans="19:20">
      <c r="S1006" t="str">
        <f>IF('[1]REGISTRO ECTS TFT'!$J1011&gt;0,'[1]REGISTRO ECTS TFT'!$B1011,"")</f>
        <v/>
      </c>
      <c r="T1006" t="str">
        <f>'[2]DATOS DOCENTES'!$D1005</f>
        <v>Ruiz de los Mozos, Igor</v>
      </c>
    </row>
    <row r="1007" spans="19:20">
      <c r="S1007" t="str">
        <f>IF('[1]REGISTRO ECTS TFT'!$J1012&gt;0,'[1]REGISTRO ECTS TFT'!$B1012,"")</f>
        <v/>
      </c>
      <c r="T1007" t="str">
        <f>'[2]DATOS DOCENTES'!$D1006</f>
        <v>Ruiz Figueroa, Ismael</v>
      </c>
    </row>
    <row r="1008" spans="19:20">
      <c r="S1008" t="str">
        <f>IF('[1]REGISTRO ECTS TFT'!$J1013&gt;0,'[1]REGISTRO ECTS TFT'!$B1013,"")</f>
        <v/>
      </c>
      <c r="T1008" t="str">
        <f>'[2]DATOS DOCENTES'!$D1007</f>
        <v>Ruiz García, Antonio</v>
      </c>
    </row>
    <row r="1009" spans="19:20">
      <c r="S1009" t="str">
        <f>IF('[1]REGISTRO ECTS TFT'!$J1014&gt;0,'[1]REGISTRO ECTS TFT'!$B1014,"")</f>
        <v/>
      </c>
      <c r="T1009" t="str">
        <f>'[2]DATOS DOCENTES'!$D1008</f>
        <v>Ruiz García, Álvaro</v>
      </c>
    </row>
    <row r="1010" spans="19:20">
      <c r="S1010" t="str">
        <f>IF('[1]REGISTRO ECTS TFT'!$J1015&gt;0,'[1]REGISTRO ECTS TFT'!$B1015,"")</f>
        <v/>
      </c>
      <c r="T1010" t="str">
        <f>'[2]DATOS DOCENTES'!$D1009</f>
        <v>Ruiz García, Jesús</v>
      </c>
    </row>
    <row r="1011" spans="19:20">
      <c r="S1011" t="str">
        <f>IF('[1]REGISTRO ECTS TFT'!$J1016&gt;0,'[1]REGISTRO ECTS TFT'!$B1016,"")</f>
        <v/>
      </c>
      <c r="T1011" t="str">
        <f>'[2]DATOS DOCENTES'!$D1010</f>
        <v>Ruiz Hontangas, Antonio</v>
      </c>
    </row>
    <row r="1012" spans="19:20">
      <c r="S1012" t="str">
        <f>IF('[1]REGISTRO ECTS TFT'!$J1017&gt;0,'[1]REGISTRO ECTS TFT'!$B1017,"")</f>
        <v/>
      </c>
      <c r="T1012" t="str">
        <f>'[2]DATOS DOCENTES'!$D1011</f>
        <v>Ruiz Oliva, Elena</v>
      </c>
    </row>
    <row r="1013" spans="19:20">
      <c r="S1013" t="str">
        <f>IF('[1]REGISTRO ECTS TFT'!$J1018&gt;0,'[1]REGISTRO ECTS TFT'!$B1018,"")</f>
        <v/>
      </c>
      <c r="T1013" t="str">
        <f>'[2]DATOS DOCENTES'!$D1012</f>
        <v>Ruiz Rodríguez, José María</v>
      </c>
    </row>
    <row r="1014" spans="19:20">
      <c r="S1014" t="str">
        <f>IF('[1]REGISTRO ECTS TFT'!$J1019&gt;0,'[1]REGISTRO ECTS TFT'!$B1019,"")</f>
        <v/>
      </c>
      <c r="T1014" t="str">
        <f>'[2]DATOS DOCENTES'!$D1013</f>
        <v>Ruiz Romero, Victoria</v>
      </c>
    </row>
    <row r="1015" spans="19:20">
      <c r="S1015" t="str">
        <f>IF('[1]REGISTRO ECTS TFT'!$J1020&gt;0,'[1]REGISTRO ECTS TFT'!$B1020,"")</f>
        <v/>
      </c>
      <c r="T1015" t="str">
        <f>'[2]DATOS DOCENTES'!$D1014</f>
        <v>Ruiz Ruiz, José María</v>
      </c>
    </row>
    <row r="1016" spans="19:20">
      <c r="S1016" t="str">
        <f>IF('[1]REGISTRO ECTS TFT'!$J1021&gt;0,'[1]REGISTRO ECTS TFT'!$B1021,"")</f>
        <v/>
      </c>
      <c r="T1016" t="str">
        <f>'[2]DATOS DOCENTES'!$D1015</f>
        <v>Ruiz-Herrera Rebollo, Isabella Magdala</v>
      </c>
    </row>
    <row r="1017" spans="19:20">
      <c r="S1017" t="str">
        <f>IF('[1]REGISTRO ECTS TFT'!$J1022&gt;0,'[1]REGISTRO ECTS TFT'!$B1022,"")</f>
        <v/>
      </c>
      <c r="T1017" t="str">
        <f>'[2]DATOS DOCENTES'!$D1016</f>
        <v>Ruzzoli, Manuela</v>
      </c>
    </row>
    <row r="1018" spans="19:20">
      <c r="S1018" t="str">
        <f>IF('[1]REGISTRO ECTS TFT'!$J1023&gt;0,'[1]REGISTRO ECTS TFT'!$B1023,"")</f>
        <v/>
      </c>
      <c r="T1018" t="str">
        <f>'[2]DATOS DOCENTES'!$D1017</f>
        <v>Saa Casal, Alba</v>
      </c>
    </row>
    <row r="1019" spans="19:20">
      <c r="S1019" t="str">
        <f>IF('[1]REGISTRO ECTS TFT'!$J1024&gt;0,'[1]REGISTRO ECTS TFT'!$B1024,"")</f>
        <v/>
      </c>
      <c r="T1019" t="str">
        <f>'[2]DATOS DOCENTES'!$D1018</f>
        <v>Sabater Olivas, Laura</v>
      </c>
    </row>
    <row r="1020" spans="19:20">
      <c r="S1020" t="str">
        <f>IF('[1]REGISTRO ECTS TFT'!$J1025&gt;0,'[1]REGISTRO ECTS TFT'!$B1025,"")</f>
        <v/>
      </c>
      <c r="T1020" t="str">
        <f>'[2]DATOS DOCENTES'!$D1019</f>
        <v>Sabater Sala, Ana Isabel</v>
      </c>
    </row>
    <row r="1021" spans="19:20">
      <c r="S1021" t="str">
        <f>IF('[1]REGISTRO ECTS TFT'!$J1026&gt;0,'[1]REGISTRO ECTS TFT'!$B1026,"")</f>
        <v/>
      </c>
      <c r="T1021" t="str">
        <f>'[2]DATOS DOCENTES'!$D1020</f>
        <v>Sacristán Horcajada, Eva</v>
      </c>
    </row>
    <row r="1022" spans="19:20">
      <c r="S1022" t="str">
        <f>IF('[1]REGISTRO ECTS TFT'!$J1027&gt;0,'[1]REGISTRO ECTS TFT'!$B1027,"")</f>
        <v/>
      </c>
      <c r="T1022" t="str">
        <f>'[2]DATOS DOCENTES'!$D1021</f>
        <v>Sáez Durán, Sandra</v>
      </c>
    </row>
    <row r="1023" spans="19:20">
      <c r="S1023" t="str">
        <f>IF('[1]REGISTRO ECTS TFT'!$J1028&gt;0,'[1]REGISTRO ECTS TFT'!$B1028,"")</f>
        <v/>
      </c>
      <c r="T1023" t="str">
        <f>'[2]DATOS DOCENTES'!$D1022</f>
        <v>Sáez Rodríguez, Diego José</v>
      </c>
    </row>
    <row r="1024" spans="19:20">
      <c r="S1024" t="str">
        <f>IF('[1]REGISTRO ECTS TFT'!$J1029&gt;0,'[1]REGISTRO ECTS TFT'!$B1029,"")</f>
        <v/>
      </c>
      <c r="T1024" t="str">
        <f>'[2]DATOS DOCENTES'!$D1023</f>
        <v>Sáez Sáez, Noelia Teresa</v>
      </c>
    </row>
    <row r="1025" spans="19:20">
      <c r="S1025" t="str">
        <f>IF('[1]REGISTRO ECTS TFT'!$J1030&gt;0,'[1]REGISTRO ECTS TFT'!$B1030,"")</f>
        <v/>
      </c>
      <c r="T1025" t="str">
        <f>'[2]DATOS DOCENTES'!$D1024</f>
        <v>Sainz Ruiz, Pablo Alberto</v>
      </c>
    </row>
    <row r="1026" spans="19:20">
      <c r="S1026" t="str">
        <f>IF('[1]REGISTRO ECTS TFT'!$J1031&gt;0,'[1]REGISTRO ECTS TFT'!$B1031,"")</f>
        <v/>
      </c>
      <c r="T1026" t="str">
        <f>'[2]DATOS DOCENTES'!$D1025</f>
        <v>Saiz Clar, Elena</v>
      </c>
    </row>
    <row r="1027" spans="19:20">
      <c r="S1027" t="str">
        <f>IF('[1]REGISTRO ECTS TFT'!$J1032&gt;0,'[1]REGISTRO ECTS TFT'!$B1032,"")</f>
        <v/>
      </c>
      <c r="T1027" t="str">
        <f>'[2]DATOS DOCENTES'!$D1026</f>
        <v>Salamanca Fernández, Alicia</v>
      </c>
    </row>
    <row r="1028" spans="19:20">
      <c r="S1028" t="str">
        <f>IF('[1]REGISTRO ECTS TFT'!$J1033&gt;0,'[1]REGISTRO ECTS TFT'!$B1033,"")</f>
        <v/>
      </c>
      <c r="T1028" t="str">
        <f>'[2]DATOS DOCENTES'!$D1027</f>
        <v>Salinas Granell, Mireya Beatriz</v>
      </c>
    </row>
    <row r="1029" spans="19:20">
      <c r="S1029" t="str">
        <f>IF('[1]REGISTRO ECTS TFT'!$J1034&gt;0,'[1]REGISTRO ECTS TFT'!$B1034,"")</f>
        <v/>
      </c>
      <c r="T1029" t="str">
        <f>'[2]DATOS DOCENTES'!$D1028</f>
        <v>Salom Borrás, Rafael</v>
      </c>
    </row>
    <row r="1030" spans="19:20">
      <c r="S1030" t="str">
        <f>IF('[1]REGISTRO ECTS TFT'!$J1035&gt;0,'[1]REGISTRO ECTS TFT'!$B1035,"")</f>
        <v/>
      </c>
      <c r="T1030" t="str">
        <f>'[2]DATOS DOCENTES'!$D1029</f>
        <v>Salvador Candau, Ester</v>
      </c>
    </row>
    <row r="1031" spans="19:20">
      <c r="S1031" t="str">
        <f>IF('[1]REGISTRO ECTS TFT'!$J1036&gt;0,'[1]REGISTRO ECTS TFT'!$B1036,"")</f>
        <v/>
      </c>
      <c r="T1031" t="str">
        <f>'[2]DATOS DOCENTES'!$D1030</f>
        <v>Salvador Simon, Benjamín</v>
      </c>
    </row>
    <row r="1032" spans="19:20">
      <c r="S1032" t="str">
        <f>IF('[1]REGISTRO ECTS TFT'!$J1037&gt;0,'[1]REGISTRO ECTS TFT'!$B1037,"")</f>
        <v/>
      </c>
      <c r="T1032" t="str">
        <f>'[2]DATOS DOCENTES'!$D1031</f>
        <v>Samaniego Gisbert, Juan Andrés</v>
      </c>
    </row>
    <row r="1033" spans="19:20">
      <c r="S1033" t="str">
        <f>IF('[1]REGISTRO ECTS TFT'!$J1038&gt;0,'[1]REGISTRO ECTS TFT'!$B1038,"")</f>
        <v/>
      </c>
      <c r="T1033" t="str">
        <f>'[2]DATOS DOCENTES'!$D1032</f>
        <v>Sampedro Piquero, Patricia</v>
      </c>
    </row>
    <row r="1034" spans="19:20">
      <c r="S1034" t="str">
        <f>IF('[1]REGISTRO ECTS TFT'!$J1039&gt;0,'[1]REGISTRO ECTS TFT'!$B1039,"")</f>
        <v/>
      </c>
      <c r="T1034" t="str">
        <f>'[2]DATOS DOCENTES'!$D1033</f>
        <v>San José Tárrega, Jorge</v>
      </c>
    </row>
    <row r="1035" spans="19:20">
      <c r="S1035" t="str">
        <f>IF('[1]REGISTRO ECTS TFT'!$J1040&gt;0,'[1]REGISTRO ECTS TFT'!$B1040,"")</f>
        <v/>
      </c>
      <c r="T1035" t="str">
        <f>'[2]DATOS DOCENTES'!$D1034</f>
        <v>Sánchez Burón, Adolfo</v>
      </c>
    </row>
    <row r="1036" spans="19:20">
      <c r="S1036" t="str">
        <f>IF('[1]REGISTRO ECTS TFT'!$J1041&gt;0,'[1]REGISTRO ECTS TFT'!$B1041,"")</f>
        <v/>
      </c>
      <c r="T1036" t="str">
        <f>'[2]DATOS DOCENTES'!$D1035</f>
        <v>Sánchez Castillo, Carla</v>
      </c>
    </row>
    <row r="1037" spans="19:20">
      <c r="S1037" t="str">
        <f>IF('[1]REGISTRO ECTS TFT'!$J1042&gt;0,'[1]REGISTRO ECTS TFT'!$B1042,"")</f>
        <v/>
      </c>
      <c r="T1037" t="str">
        <f>'[2]DATOS DOCENTES'!$D1036</f>
        <v>Sánchez Chiva, Desirée</v>
      </c>
    </row>
    <row r="1038" spans="19:20">
      <c r="S1038" t="str">
        <f>IF('[1]REGISTRO ECTS TFT'!$J1043&gt;0,'[1]REGISTRO ECTS TFT'!$B1043,"")</f>
        <v/>
      </c>
      <c r="T1038" t="str">
        <f>'[2]DATOS DOCENTES'!$D1037</f>
        <v>Sánchez Cuevas, Gema</v>
      </c>
    </row>
    <row r="1039" spans="19:20">
      <c r="S1039" t="str">
        <f>IF('[1]REGISTRO ECTS TFT'!$J1044&gt;0,'[1]REGISTRO ECTS TFT'!$B1044,"")</f>
        <v/>
      </c>
      <c r="T1039" t="str">
        <f>'[2]DATOS DOCENTES'!$D1038</f>
        <v>Sánchez Fernández, Magdalena</v>
      </c>
    </row>
    <row r="1040" spans="19:20">
      <c r="S1040" t="str">
        <f>IF('[1]REGISTRO ECTS TFT'!$J1045&gt;0,'[1]REGISTRO ECTS TFT'!$B1045,"")</f>
        <v/>
      </c>
      <c r="T1040" t="str">
        <f>'[2]DATOS DOCENTES'!$D1039</f>
        <v>Sánchez García, Sergio</v>
      </c>
    </row>
    <row r="1041" spans="19:20">
      <c r="S1041" t="str">
        <f>IF('[1]REGISTRO ECTS TFT'!$J1046&gt;0,'[1]REGISTRO ECTS TFT'!$B1046,"")</f>
        <v/>
      </c>
      <c r="T1041" t="str">
        <f>'[2]DATOS DOCENTES'!$D1040</f>
        <v>Sánchez Gómez, Martín</v>
      </c>
    </row>
    <row r="1042" spans="19:20">
      <c r="S1042" t="str">
        <f>IF('[1]REGISTRO ECTS TFT'!$J1047&gt;0,'[1]REGISTRO ECTS TFT'!$B1047,"")</f>
        <v/>
      </c>
      <c r="T1042" t="str">
        <f>'[2]DATOS DOCENTES'!$D1041</f>
        <v>Sánchez González, Juan Luis</v>
      </c>
    </row>
    <row r="1043" spans="19:20">
      <c r="S1043" t="str">
        <f>IF('[1]REGISTRO ECTS TFT'!$J1048&gt;0,'[1]REGISTRO ECTS TFT'!$B1048,"")</f>
        <v/>
      </c>
      <c r="T1043" t="str">
        <f>'[2]DATOS DOCENTES'!$D1042</f>
        <v>Sánchez Hernando, Beatriz</v>
      </c>
    </row>
    <row r="1044" spans="19:20">
      <c r="S1044" t="str">
        <f>IF('[1]REGISTRO ECTS TFT'!$J1049&gt;0,'[1]REGISTRO ECTS TFT'!$B1049,"")</f>
        <v/>
      </c>
      <c r="T1044" t="str">
        <f>'[2]DATOS DOCENTES'!$D1043</f>
        <v>Sánchez Lara, Encarnación María</v>
      </c>
    </row>
    <row r="1045" spans="19:20">
      <c r="S1045" t="str">
        <f>IF('[1]REGISTRO ECTS TFT'!$J1050&gt;0,'[1]REGISTRO ECTS TFT'!$B1050,"")</f>
        <v/>
      </c>
      <c r="T1045" t="str">
        <f>'[2]DATOS DOCENTES'!$D1044</f>
        <v>Sánchez Martínez, Iván</v>
      </c>
    </row>
    <row r="1046" spans="19:20">
      <c r="S1046" t="str">
        <f>IF('[1]REGISTRO ECTS TFT'!$J1051&gt;0,'[1]REGISTRO ECTS TFT'!$B1051,"")</f>
        <v/>
      </c>
      <c r="T1046" t="str">
        <f>'[2]DATOS DOCENTES'!$D1045</f>
        <v>Sánchez Olid, José Manuel</v>
      </c>
    </row>
    <row r="1047" spans="19:20">
      <c r="S1047" t="str">
        <f>IF('[1]REGISTRO ECTS TFT'!$J1052&gt;0,'[1]REGISTRO ECTS TFT'!$B1052,"")</f>
        <v/>
      </c>
      <c r="T1047" t="str">
        <f>'[2]DATOS DOCENTES'!$D1046</f>
        <v>Sánchez Ortí, Joan Vicent</v>
      </c>
    </row>
    <row r="1048" spans="19:20">
      <c r="S1048" t="str">
        <f>IF('[1]REGISTRO ECTS TFT'!$J1053&gt;0,'[1]REGISTRO ECTS TFT'!$B1053,"")</f>
        <v/>
      </c>
      <c r="T1048" t="str">
        <f>'[2]DATOS DOCENTES'!$D1047</f>
        <v>Sánchez Reza, Danahe Virginia</v>
      </c>
    </row>
    <row r="1049" spans="19:20">
      <c r="S1049" t="str">
        <f>IF('[1]REGISTRO ECTS TFT'!$J1054&gt;0,'[1]REGISTRO ECTS TFT'!$B1054,"")</f>
        <v/>
      </c>
      <c r="T1049" t="str">
        <f>'[2]DATOS DOCENTES'!$D1048</f>
        <v>Sánchez Ros, Anaís</v>
      </c>
    </row>
    <row r="1050" spans="19:20">
      <c r="S1050" t="str">
        <f>IF('[1]REGISTRO ECTS TFT'!$J1055&gt;0,'[1]REGISTRO ECTS TFT'!$B1055,"")</f>
        <v/>
      </c>
      <c r="T1050" t="str">
        <f>'[2]DATOS DOCENTES'!$D1049</f>
        <v>Sánchez Sauco, Miguel Felipe</v>
      </c>
    </row>
    <row r="1051" spans="19:20">
      <c r="S1051" t="str">
        <f>IF('[1]REGISTRO ECTS TFT'!$J1056&gt;0,'[1]REGISTRO ECTS TFT'!$B1056,"")</f>
        <v/>
      </c>
      <c r="T1051" t="str">
        <f>'[2]DATOS DOCENTES'!$D1050</f>
        <v>Sánchez Solano, Sonia</v>
      </c>
    </row>
    <row r="1052" spans="19:20">
      <c r="S1052" t="str">
        <f>IF('[1]REGISTRO ECTS TFT'!$J1057&gt;0,'[1]REGISTRO ECTS TFT'!$B1057,"")</f>
        <v/>
      </c>
      <c r="T1052" t="str">
        <f>'[2]DATOS DOCENTES'!$D1051</f>
        <v>Sánchez Soriano, María Jesús</v>
      </c>
    </row>
    <row r="1053" spans="19:20">
      <c r="S1053" t="str">
        <f>IF('[1]REGISTRO ECTS TFT'!$J1058&gt;0,'[1]REGISTRO ECTS TFT'!$B1058,"")</f>
        <v/>
      </c>
      <c r="T1053" t="str">
        <f>'[2]DATOS DOCENTES'!$D1052</f>
        <v>Sánchez-Ferrer Sánchez, Silvia</v>
      </c>
    </row>
    <row r="1054" spans="19:20">
      <c r="S1054" t="str">
        <f>IF('[1]REGISTRO ECTS TFT'!$J1059&gt;0,'[1]REGISTRO ECTS TFT'!$B1059,"")</f>
        <v/>
      </c>
      <c r="T1054" t="str">
        <f>'[2]DATOS DOCENTES'!$D1053</f>
        <v>Sánchez-Toledo Ledesma, Agustín</v>
      </c>
    </row>
    <row r="1055" spans="19:20">
      <c r="S1055" t="str">
        <f>IF('[1]REGISTRO ECTS TFT'!$J1060&gt;0,'[1]REGISTRO ECTS TFT'!$B1060,"")</f>
        <v/>
      </c>
      <c r="T1055" t="str">
        <f>'[2]DATOS DOCENTES'!$D1054</f>
        <v>Sancho Ferrando, Elena</v>
      </c>
    </row>
    <row r="1056" spans="19:20">
      <c r="S1056" t="str">
        <f>IF('[1]REGISTRO ECTS TFT'!$J1061&gt;0,'[1]REGISTRO ECTS TFT'!$B1061,"")</f>
        <v/>
      </c>
      <c r="T1056" t="str">
        <f>'[2]DATOS DOCENTES'!$D1055</f>
        <v>Sand, Solange</v>
      </c>
    </row>
    <row r="1057" spans="19:20">
      <c r="S1057" t="str">
        <f>IF('[1]REGISTRO ECTS TFT'!$J1062&gt;0,'[1]REGISTRO ECTS TFT'!$B1062,"")</f>
        <v/>
      </c>
      <c r="T1057" t="str">
        <f>'[2]DATOS DOCENTES'!$D1056</f>
        <v>Sanmarco Vázquez, Jessica</v>
      </c>
    </row>
    <row r="1058" spans="19:20">
      <c r="S1058" t="str">
        <f>IF('[1]REGISTRO ECTS TFT'!$J1063&gt;0,'[1]REGISTRO ECTS TFT'!$B1063,"")</f>
        <v/>
      </c>
      <c r="T1058" t="str">
        <f>'[2]DATOS DOCENTES'!$D1057</f>
        <v>Sanmartín Feijóo, Sandra</v>
      </c>
    </row>
    <row r="1059" spans="19:20">
      <c r="S1059" t="str">
        <f>IF('[1]REGISTRO ECTS TFT'!$J1064&gt;0,'[1]REGISTRO ECTS TFT'!$B1064,"")</f>
        <v/>
      </c>
      <c r="T1059" t="str">
        <f>'[2]DATOS DOCENTES'!$D1058</f>
        <v>Santillán García, Azucena</v>
      </c>
    </row>
    <row r="1060" spans="19:20">
      <c r="S1060" t="str">
        <f>IF('[1]REGISTRO ECTS TFT'!$J1065&gt;0,'[1]REGISTRO ECTS TFT'!$B1065,"")</f>
        <v/>
      </c>
      <c r="T1060" t="str">
        <f>'[2]DATOS DOCENTES'!$D1059</f>
        <v>Santillán Torres Torija, Carolina</v>
      </c>
    </row>
    <row r="1061" spans="19:20">
      <c r="S1061" t="str">
        <f>IF('[1]REGISTRO ECTS TFT'!$J1066&gt;0,'[1]REGISTRO ECTS TFT'!$B1066,"")</f>
        <v/>
      </c>
      <c r="T1061" t="str">
        <f>'[2]DATOS DOCENTES'!$D1060</f>
        <v>Santiso Bellón, Cristina</v>
      </c>
    </row>
    <row r="1062" spans="19:20">
      <c r="S1062" t="str">
        <f>IF('[1]REGISTRO ECTS TFT'!$J1067&gt;0,'[1]REGISTRO ECTS TFT'!$B1067,"")</f>
        <v/>
      </c>
      <c r="T1062" t="str">
        <f>'[2]DATOS DOCENTES'!$D1061</f>
        <v>Santos González, María Cristina</v>
      </c>
    </row>
    <row r="1063" spans="19:20">
      <c r="S1063" t="str">
        <f>IF('[1]REGISTRO ECTS TFT'!$J1068&gt;0,'[1]REGISTRO ECTS TFT'!$B1068,"")</f>
        <v/>
      </c>
      <c r="T1063" t="str">
        <f>'[2]DATOS DOCENTES'!$D1062</f>
        <v>Santurino Fontecha, Cristina</v>
      </c>
    </row>
    <row r="1064" spans="19:20">
      <c r="S1064" t="str">
        <f>IF('[1]REGISTRO ECTS TFT'!$J1069&gt;0,'[1]REGISTRO ECTS TFT'!$B1069,"")</f>
        <v/>
      </c>
      <c r="T1064" t="str">
        <f>'[2]DATOS DOCENTES'!$D1063</f>
        <v>Sanz Gómez, Sergio</v>
      </c>
    </row>
    <row r="1065" spans="19:20">
      <c r="S1065" t="str">
        <f>IF('[1]REGISTRO ECTS TFT'!$J1070&gt;0,'[1]REGISTRO ECTS TFT'!$B1070,"")</f>
        <v/>
      </c>
      <c r="T1065" t="str">
        <f>'[2]DATOS DOCENTES'!$D1064</f>
        <v>Sanz González, Silvia</v>
      </c>
    </row>
    <row r="1066" spans="19:20">
      <c r="S1066" t="str">
        <f>IF('[1]REGISTRO ECTS TFT'!$J1071&gt;0,'[1]REGISTRO ECTS TFT'!$B1071,"")</f>
        <v/>
      </c>
      <c r="T1066" t="str">
        <f>'[2]DATOS DOCENTES'!$D1065</f>
        <v>Sanz Martínez, Patricia</v>
      </c>
    </row>
    <row r="1067" spans="19:20">
      <c r="S1067" t="str">
        <f>IF('[1]REGISTRO ECTS TFT'!$J1072&gt;0,'[1]REGISTRO ECTS TFT'!$B1072,"")</f>
        <v/>
      </c>
      <c r="T1067" t="str">
        <f>'[2]DATOS DOCENTES'!$D1066</f>
        <v>Sarmento Henrique, Renata Lenise</v>
      </c>
    </row>
    <row r="1068" spans="19:20">
      <c r="S1068" t="str">
        <f>IF('[1]REGISTRO ECTS TFT'!$J1073&gt;0,'[1]REGISTRO ECTS TFT'!$B1073,"")</f>
        <v/>
      </c>
      <c r="T1068" t="str">
        <f>'[2]DATOS DOCENTES'!$D1067</f>
        <v>Sarrias Arrabal, Esteban</v>
      </c>
    </row>
    <row r="1069" spans="19:20">
      <c r="S1069" t="str">
        <f>IF('[1]REGISTRO ECTS TFT'!$J1074&gt;0,'[1]REGISTRO ECTS TFT'!$B1074,"")</f>
        <v/>
      </c>
      <c r="T1069" t="str">
        <f>'[2]DATOS DOCENTES'!$D1068</f>
        <v>Saturnini Pacheco, Norelvis Cecilia</v>
      </c>
    </row>
    <row r="1070" spans="19:20">
      <c r="S1070" t="str">
        <f>IF('[1]REGISTRO ECTS TFT'!$J1075&gt;0,'[1]REGISTRO ECTS TFT'!$B1075,"")</f>
        <v/>
      </c>
      <c r="T1070" t="str">
        <f>'[2]DATOS DOCENTES'!$D1069</f>
        <v>Schor-Landman, Guillermo</v>
      </c>
    </row>
    <row r="1071" spans="19:20">
      <c r="S1071" t="str">
        <f>IF('[1]REGISTRO ECTS TFT'!$J1076&gt;0,'[1]REGISTRO ECTS TFT'!$B1076,"")</f>
        <v/>
      </c>
      <c r="T1071" t="str">
        <f>'[2]DATOS DOCENTES'!$D1070</f>
        <v>Schweizer, Theresa</v>
      </c>
    </row>
    <row r="1072" spans="19:20">
      <c r="S1072" t="str">
        <f>IF('[1]REGISTRO ECTS TFT'!$J1077&gt;0,'[1]REGISTRO ECTS TFT'!$B1077,"")</f>
        <v/>
      </c>
      <c r="T1072" t="str">
        <f>'[2]DATOS DOCENTES'!$D1071</f>
        <v>Sebastiani, Giorgia</v>
      </c>
    </row>
    <row r="1073" spans="19:20">
      <c r="S1073" t="str">
        <f>IF('[1]REGISTRO ECTS TFT'!$J1078&gt;0,'[1]REGISTRO ECTS TFT'!$B1078,"")</f>
        <v/>
      </c>
      <c r="T1073" t="str">
        <f>'[2]DATOS DOCENTES'!$D1072</f>
        <v>Segovia Minguet, Oriol</v>
      </c>
    </row>
    <row r="1074" spans="19:20">
      <c r="S1074" t="str">
        <f>IF('[1]REGISTRO ECTS TFT'!$J1079&gt;0,'[1]REGISTRO ECTS TFT'!$B1079,"")</f>
        <v/>
      </c>
      <c r="T1074" t="str">
        <f>'[2]DATOS DOCENTES'!$D1073</f>
        <v>Seguí López-Peñalver, Raimundo</v>
      </c>
    </row>
    <row r="1075" spans="19:20">
      <c r="S1075" t="str">
        <f>IF('[1]REGISTRO ECTS TFT'!$J1080&gt;0,'[1]REGISTRO ECTS TFT'!$B1080,"")</f>
        <v/>
      </c>
      <c r="T1075" t="str">
        <f>'[2]DATOS DOCENTES'!$D1074</f>
        <v>Segura Sabater, Remedios</v>
      </c>
    </row>
    <row r="1076" spans="19:20">
      <c r="S1076" t="str">
        <f>IF('[1]REGISTRO ECTS TFT'!$J1081&gt;0,'[1]REGISTRO ECTS TFT'!$B1081,"")</f>
        <v/>
      </c>
      <c r="T1076" t="str">
        <f>'[2]DATOS DOCENTES'!$D1075</f>
        <v>Selaya Berodia, Adriana</v>
      </c>
    </row>
    <row r="1077" spans="19:20">
      <c r="S1077" t="str">
        <f>IF('[1]REGISTRO ECTS TFT'!$J1082&gt;0,'[1]REGISTRO ECTS TFT'!$B1082,"")</f>
        <v/>
      </c>
      <c r="T1077" t="str">
        <f>'[2]DATOS DOCENTES'!$D1076</f>
        <v>Sempere Bordes, Lluís</v>
      </c>
    </row>
    <row r="1078" spans="19:20">
      <c r="S1078" t="str">
        <f>IF('[1]REGISTRO ECTS TFT'!$J1083&gt;0,'[1]REGISTRO ECTS TFT'!$B1083,"")</f>
        <v/>
      </c>
      <c r="T1078" t="str">
        <f>'[2]DATOS DOCENTES'!$D1077</f>
        <v>Sendra Ortola, Miquel</v>
      </c>
    </row>
    <row r="1079" spans="19:20">
      <c r="S1079" t="str">
        <f>IF('[1]REGISTRO ECTS TFT'!$J1084&gt;0,'[1]REGISTRO ECTS TFT'!$B1084,"")</f>
        <v/>
      </c>
      <c r="T1079" t="str">
        <f>'[2]DATOS DOCENTES'!$D1078</f>
        <v>Senserrich Velasco, Jordi</v>
      </c>
    </row>
    <row r="1080" spans="19:20">
      <c r="S1080" t="str">
        <f>IF('[1]REGISTRO ECTS TFT'!$J1085&gt;0,'[1]REGISTRO ECTS TFT'!$B1085,"")</f>
        <v/>
      </c>
      <c r="T1080" t="str">
        <f>'[2]DATOS DOCENTES'!$D1079</f>
        <v>Sequera Martín, Manuel</v>
      </c>
    </row>
    <row r="1081" spans="19:20">
      <c r="S1081" t="str">
        <f>IF('[1]REGISTRO ECTS TFT'!$J1086&gt;0,'[1]REGISTRO ECTS TFT'!$B1086,"")</f>
        <v/>
      </c>
      <c r="T1081" t="str">
        <f>'[2]DATOS DOCENTES'!$D1080</f>
        <v>Serge Rodríguez, Andrea Cecilia</v>
      </c>
    </row>
    <row r="1082" spans="19:20">
      <c r="S1082" t="str">
        <f>IF('[1]REGISTRO ECTS TFT'!$J1087&gt;0,'[1]REGISTRO ECTS TFT'!$B1087,"")</f>
        <v/>
      </c>
      <c r="T1082" t="str">
        <f>'[2]DATOS DOCENTES'!$D1081</f>
        <v>Serra Maqueda, Aida</v>
      </c>
    </row>
    <row r="1083" spans="19:20">
      <c r="S1083" t="str">
        <f>IF('[1]REGISTRO ECTS TFT'!$J1088&gt;0,'[1]REGISTRO ECTS TFT'!$B1088,"")</f>
        <v/>
      </c>
      <c r="T1083" t="str">
        <f>'[2]DATOS DOCENTES'!$D1082</f>
        <v>Serrador Díez, Concepción</v>
      </c>
    </row>
    <row r="1084" spans="19:20">
      <c r="S1084" t="str">
        <f>IF('[1]REGISTRO ECTS TFT'!$J1089&gt;0,'[1]REGISTRO ECTS TFT'!$B1089,"")</f>
        <v/>
      </c>
      <c r="T1084" t="str">
        <f>'[2]DATOS DOCENTES'!$D1083</f>
        <v>Serralta García, Laura Beatriz</v>
      </c>
    </row>
    <row r="1085" spans="19:20">
      <c r="S1085" t="str">
        <f>IF('[1]REGISTRO ECTS TFT'!$J1090&gt;0,'[1]REGISTRO ECTS TFT'!$B1090,"")</f>
        <v/>
      </c>
      <c r="T1085" t="str">
        <f>'[2]DATOS DOCENTES'!$D1084</f>
        <v>Serrano Alcalá, Alicia</v>
      </c>
    </row>
    <row r="1086" spans="19:20">
      <c r="S1086" t="str">
        <f>IF('[1]REGISTRO ECTS TFT'!$J1091&gt;0,'[1]REGISTRO ECTS TFT'!$B1091,"")</f>
        <v/>
      </c>
      <c r="T1086" t="str">
        <f>'[2]DATOS DOCENTES'!$D1085</f>
        <v>Serrano García, Cristina</v>
      </c>
    </row>
    <row r="1087" spans="19:20">
      <c r="S1087" t="str">
        <f>IF('[1]REGISTRO ECTS TFT'!$J1092&gt;0,'[1]REGISTRO ECTS TFT'!$B1092,"")</f>
        <v/>
      </c>
      <c r="T1087" t="str">
        <f>'[2]DATOS DOCENTES'!$D1086</f>
        <v>Serrano Zárate, Berenice</v>
      </c>
    </row>
    <row r="1088" spans="19:20">
      <c r="S1088" t="str">
        <f>IF('[1]REGISTRO ECTS TFT'!$J1093&gt;0,'[1]REGISTRO ECTS TFT'!$B1093,"")</f>
        <v/>
      </c>
      <c r="T1088" t="str">
        <f>'[2]DATOS DOCENTES'!$D1087</f>
        <v>Servián Franco, Fátima</v>
      </c>
    </row>
    <row r="1089" spans="19:20">
      <c r="S1089" t="str">
        <f>IF('[1]REGISTRO ECTS TFT'!$J1094&gt;0,'[1]REGISTRO ECTS TFT'!$B1094,"")</f>
        <v/>
      </c>
      <c r="T1089" t="str">
        <f>'[2]DATOS DOCENTES'!$D1088</f>
        <v>Shub Skorniakova, Svetlana</v>
      </c>
    </row>
    <row r="1090" spans="19:20">
      <c r="S1090" t="str">
        <f>IF('[1]REGISTRO ECTS TFT'!$J1095&gt;0,'[1]REGISTRO ECTS TFT'!$B1095,"")</f>
        <v/>
      </c>
      <c r="T1090" t="str">
        <f>'[2]DATOS DOCENTES'!$D1089</f>
        <v>Silva López, Mariana</v>
      </c>
    </row>
    <row r="1091" spans="19:20">
      <c r="S1091" t="str">
        <f>IF('[1]REGISTRO ECTS TFT'!$J1096&gt;0,'[1]REGISTRO ECTS TFT'!$B1096,"")</f>
        <v/>
      </c>
      <c r="T1091" t="str">
        <f>'[2]DATOS DOCENTES'!$D1090</f>
        <v>Siquier Perelló, Antònia</v>
      </c>
    </row>
    <row r="1092" spans="19:20">
      <c r="S1092" t="str">
        <f>IF('[1]REGISTRO ECTS TFT'!$J1097&gt;0,'[1]REGISTRO ECTS TFT'!$B1097,"")</f>
        <v/>
      </c>
      <c r="T1092" t="str">
        <f>'[2]DATOS DOCENTES'!$D1091</f>
        <v>Smani, Younes</v>
      </c>
    </row>
    <row r="1093" spans="19:20">
      <c r="S1093" t="str">
        <f>IF('[1]REGISTRO ECTS TFT'!$J1098&gt;0,'[1]REGISTRO ECTS TFT'!$B1098,"")</f>
        <v/>
      </c>
      <c r="T1093" t="str">
        <f>'[2]DATOS DOCENTES'!$D1092</f>
        <v>Solano Parada, Jennifer</v>
      </c>
    </row>
    <row r="1094" spans="19:20">
      <c r="S1094" t="str">
        <f>IF('[1]REGISTRO ECTS TFT'!$J1099&gt;0,'[1]REGISTRO ECTS TFT'!$B1099,"")</f>
        <v/>
      </c>
      <c r="T1094" t="str">
        <f>'[2]DATOS DOCENTES'!$D1093</f>
        <v>Solaz García, Álvaro</v>
      </c>
    </row>
    <row r="1095" spans="19:20">
      <c r="S1095" t="str">
        <f>IF('[1]REGISTRO ECTS TFT'!$J1100&gt;0,'[1]REGISTRO ECTS TFT'!$B1100,"")</f>
        <v/>
      </c>
      <c r="T1095" t="str">
        <f>'[2]DATOS DOCENTES'!$D1094</f>
        <v>Soler Pons, Carlos</v>
      </c>
    </row>
    <row r="1096" spans="19:20">
      <c r="S1096" t="str">
        <f>IF('[1]REGISTRO ECTS TFT'!$J1101&gt;0,'[1]REGISTRO ECTS TFT'!$B1101,"")</f>
        <v/>
      </c>
      <c r="T1096" t="str">
        <f>'[2]DATOS DOCENTES'!$D1095</f>
        <v>Soler Vila, Paula</v>
      </c>
    </row>
    <row r="1097" spans="19:20">
      <c r="S1097" t="str">
        <f>IF('[1]REGISTRO ECTS TFT'!$J1102&gt;0,'[1]REGISTRO ECTS TFT'!$B1102,"")</f>
        <v/>
      </c>
      <c r="T1097" t="str">
        <f>'[2]DATOS DOCENTES'!$D1096</f>
        <v>Solís García, Gonzalo</v>
      </c>
    </row>
    <row r="1098" spans="19:20">
      <c r="S1098" t="str">
        <f>IF('[1]REGISTRO ECTS TFT'!$J1103&gt;0,'[1]REGISTRO ECTS TFT'!$B1103,"")</f>
        <v/>
      </c>
      <c r="T1098" t="str">
        <f>'[2]DATOS DOCENTES'!$D1097</f>
        <v>Soria Urios, Gema</v>
      </c>
    </row>
    <row r="1099" spans="19:20">
      <c r="S1099" t="str">
        <f>IF('[1]REGISTRO ECTS TFT'!$J1104&gt;0,'[1]REGISTRO ECTS TFT'!$B1104,"")</f>
        <v/>
      </c>
      <c r="T1099" t="str">
        <f>'[2]DATOS DOCENTES'!$D1098</f>
        <v>Soriano Álvarez, Arantxa</v>
      </c>
    </row>
    <row r="1100" spans="19:20">
      <c r="S1100" t="str">
        <f>IF('[1]REGISTRO ECTS TFT'!$J1105&gt;0,'[1]REGISTRO ECTS TFT'!$B1105,"")</f>
        <v/>
      </c>
      <c r="T1100" t="str">
        <f>'[2]DATOS DOCENTES'!$D1099</f>
        <v>Soriano Romaní, Laura</v>
      </c>
    </row>
    <row r="1101" spans="19:20">
      <c r="S1101" t="str">
        <f>IF('[1]REGISTRO ECTS TFT'!$J1106&gt;0,'[1]REGISTRO ECTS TFT'!$B1106,"")</f>
        <v/>
      </c>
      <c r="T1101" t="str">
        <f>'[2]DATOS DOCENTES'!$D1100</f>
        <v>Soriano Vidal, Francisco Javier</v>
      </c>
    </row>
    <row r="1102" spans="19:20">
      <c r="S1102" t="str">
        <f>IF('[1]REGISTRO ECTS TFT'!$J1107&gt;0,'[1]REGISTRO ECTS TFT'!$B1107,"")</f>
        <v/>
      </c>
      <c r="T1102" t="str">
        <f>'[2]DATOS DOCENTES'!$D1101</f>
        <v>Soro Domingo, Marina</v>
      </c>
    </row>
    <row r="1103" spans="19:20">
      <c r="S1103" t="str">
        <f>IF('[1]REGISTRO ECTS TFT'!$J1108&gt;0,'[1]REGISTRO ECTS TFT'!$B1108,"")</f>
        <v/>
      </c>
      <c r="T1103" t="str">
        <f>'[2]DATOS DOCENTES'!$D1102</f>
        <v>Soto Pérez, Felipe Claudio</v>
      </c>
    </row>
    <row r="1104" spans="19:20">
      <c r="S1104" t="str">
        <f>IF('[1]REGISTRO ECTS TFT'!$J1109&gt;0,'[1]REGISTRO ECTS TFT'!$B1109,"")</f>
        <v/>
      </c>
      <c r="T1104" t="str">
        <f>'[2]DATOS DOCENTES'!$D1103</f>
        <v>Soto Rubio, Ana Lucila</v>
      </c>
    </row>
    <row r="1105" spans="19:20">
      <c r="S1105" t="str">
        <f>IF('[1]REGISTRO ECTS TFT'!$J1110&gt;0,'[1]REGISTRO ECTS TFT'!$B1110,"")</f>
        <v/>
      </c>
      <c r="T1105" t="str">
        <f>'[2]DATOS DOCENTES'!$D1104</f>
        <v>Soto Sanz, Victoria</v>
      </c>
    </row>
    <row r="1106" spans="19:20">
      <c r="S1106" t="str">
        <f>IF('[1]REGISTRO ECTS TFT'!$J1111&gt;0,'[1]REGISTRO ECTS TFT'!$B1111,"")</f>
        <v/>
      </c>
      <c r="T1106" t="str">
        <f>'[2]DATOS DOCENTES'!$D1105</f>
        <v>Suárez Blay, María Dolores</v>
      </c>
    </row>
    <row r="1107" spans="19:20">
      <c r="S1107" t="str">
        <f>IF('[1]REGISTRO ECTS TFT'!$J1112&gt;0,'[1]REGISTRO ECTS TFT'!$B1112,"")</f>
        <v/>
      </c>
      <c r="T1107" t="str">
        <f>'[2]DATOS DOCENTES'!$D1106</f>
        <v>Suárez Castro, Daniel</v>
      </c>
    </row>
    <row r="1108" spans="19:20">
      <c r="S1108" t="str">
        <f>IF('[1]REGISTRO ECTS TFT'!$J1113&gt;0,'[1]REGISTRO ECTS TFT'!$B1113,"")</f>
        <v/>
      </c>
      <c r="T1108" t="str">
        <f>'[2]DATOS DOCENTES'!$D1107</f>
        <v>Suárez López, María Pilar</v>
      </c>
    </row>
    <row r="1109" spans="19:20">
      <c r="S1109" t="str">
        <f>IF('[1]REGISTRO ECTS TFT'!$J1114&gt;0,'[1]REGISTRO ECTS TFT'!$B1114,"")</f>
        <v/>
      </c>
      <c r="T1109" t="str">
        <f>'[2]DATOS DOCENTES'!$D1108</f>
        <v>Suárez Soto, Elizabeth</v>
      </c>
    </row>
    <row r="1110" spans="19:20">
      <c r="S1110" t="str">
        <f>IF('[1]REGISTRO ECTS TFT'!$J1115&gt;0,'[1]REGISTRO ECTS TFT'!$B1115,"")</f>
        <v/>
      </c>
      <c r="T1110" t="str">
        <f>'[2]DATOS DOCENTES'!$D1109</f>
        <v>Subirana Mirete, Judit</v>
      </c>
    </row>
    <row r="1111" spans="19:20">
      <c r="S1111" t="str">
        <f>IF('[1]REGISTRO ECTS TFT'!$J1116&gt;0,'[1]REGISTRO ECTS TFT'!$B1116,"")</f>
        <v/>
      </c>
      <c r="T1111" t="str">
        <f>'[2]DATOS DOCENTES'!$D1110</f>
        <v>Suso Ribera, Carlos</v>
      </c>
    </row>
    <row r="1112" spans="19:20">
      <c r="S1112" t="str">
        <f>IF('[1]REGISTRO ECTS TFT'!$J1117&gt;0,'[1]REGISTRO ECTS TFT'!$B1117,"")</f>
        <v/>
      </c>
      <c r="T1112" t="str">
        <f>'[2]DATOS DOCENTES'!$D1111</f>
        <v>Szygendowska, Marta</v>
      </c>
    </row>
    <row r="1113" spans="19:20">
      <c r="S1113" t="str">
        <f>IF('[1]REGISTRO ECTS TFT'!$J1118&gt;0,'[1]REGISTRO ECTS TFT'!$B1118,"")</f>
        <v/>
      </c>
      <c r="T1113" t="str">
        <f>'[2]DATOS DOCENTES'!$D1112</f>
        <v>Taberner Cortés, Alida</v>
      </c>
    </row>
    <row r="1114" spans="19:20">
      <c r="S1114" t="str">
        <f>IF('[1]REGISTRO ECTS TFT'!$J1119&gt;0,'[1]REGISTRO ECTS TFT'!$B1119,"")</f>
        <v/>
      </c>
      <c r="T1114" t="str">
        <f>'[2]DATOS DOCENTES'!$D1113</f>
        <v>Tamarit Chuliá, Alicia</v>
      </c>
    </row>
    <row r="1115" spans="19:20">
      <c r="S1115" t="str">
        <f>IF('[1]REGISTRO ECTS TFT'!$J1120&gt;0,'[1]REGISTRO ECTS TFT'!$B1120,"")</f>
        <v/>
      </c>
      <c r="T1115" t="str">
        <f>'[2]DATOS DOCENTES'!$D1114</f>
        <v>Tapia Iglesias, José Luis</v>
      </c>
    </row>
    <row r="1116" spans="19:20">
      <c r="S1116" t="str">
        <f>IF('[1]REGISTRO ECTS TFT'!$J1121&gt;0,'[1]REGISTRO ECTS TFT'!$B1121,"")</f>
        <v/>
      </c>
      <c r="T1116" t="str">
        <f>'[2]DATOS DOCENTES'!$D1115</f>
        <v>Tarazón Melguizo, Estefanía</v>
      </c>
    </row>
    <row r="1117" spans="19:20">
      <c r="S1117" t="str">
        <f>IF('[1]REGISTRO ECTS TFT'!$J1122&gt;0,'[1]REGISTRO ECTS TFT'!$B1122,"")</f>
        <v/>
      </c>
      <c r="T1117" t="str">
        <f>'[2]DATOS DOCENTES'!$D1116</f>
        <v>Tarazona Santabalbina, Francisco José</v>
      </c>
    </row>
    <row r="1118" spans="19:20">
      <c r="S1118" t="str">
        <f>IF('[1]REGISTRO ECTS TFT'!$J1123&gt;0,'[1]REGISTRO ECTS TFT'!$B1123,"")</f>
        <v/>
      </c>
      <c r="T1118" t="str">
        <f>'[2]DATOS DOCENTES'!$D1117</f>
        <v>Tarifa Rodríguez, Aida</v>
      </c>
    </row>
    <row r="1119" spans="19:20">
      <c r="S1119" t="str">
        <f>IF('[1]REGISTRO ECTS TFT'!$J1124&gt;0,'[1]REGISTRO ECTS TFT'!$B1124,"")</f>
        <v/>
      </c>
      <c r="T1119" t="str">
        <f>'[2]DATOS DOCENTES'!$D1118</f>
        <v>Tejada Gallardo, Claudia</v>
      </c>
    </row>
    <row r="1120" spans="19:20">
      <c r="S1120" t="str">
        <f>IF('[1]REGISTRO ECTS TFT'!$J1125&gt;0,'[1]REGISTRO ECTS TFT'!$B1125,"")</f>
        <v/>
      </c>
      <c r="T1120" t="str">
        <f>'[2]DATOS DOCENTES'!$D1119</f>
        <v>Tejedor Huerta, María Asunción</v>
      </c>
    </row>
    <row r="1121" spans="19:20">
      <c r="S1121" t="str">
        <f>IF('[1]REGISTRO ECTS TFT'!$J1126&gt;0,'[1]REGISTRO ECTS TFT'!$B1126,"")</f>
        <v/>
      </c>
      <c r="T1121" t="str">
        <f>'[2]DATOS DOCENTES'!$D1120</f>
        <v>Telechea Fernández, Marcelino</v>
      </c>
    </row>
    <row r="1122" spans="19:20">
      <c r="S1122" t="str">
        <f>IF('[1]REGISTRO ECTS TFT'!$J1127&gt;0,'[1]REGISTRO ECTS TFT'!$B1127,"")</f>
        <v/>
      </c>
      <c r="T1122" t="str">
        <f>'[2]DATOS DOCENTES'!$D1121</f>
        <v>Terreros García, Elena</v>
      </c>
    </row>
    <row r="1123" spans="19:20">
      <c r="S1123" t="str">
        <f>IF('[1]REGISTRO ECTS TFT'!$J1128&gt;0,'[1]REGISTRO ECTS TFT'!$B1128,"")</f>
        <v/>
      </c>
      <c r="T1123" t="str">
        <f>'[2]DATOS DOCENTES'!$D1122</f>
        <v>Tirado Gómez, Graciela Isabel</v>
      </c>
    </row>
    <row r="1124" spans="19:20">
      <c r="S1124" t="str">
        <f>IF('[1]REGISTRO ECTS TFT'!$J1129&gt;0,'[1]REGISTRO ECTS TFT'!$B1129,"")</f>
        <v/>
      </c>
      <c r="T1124" t="str">
        <f>'[2]DATOS DOCENTES'!$D1123</f>
        <v>Tobar Tosse, Henry Fabian</v>
      </c>
    </row>
    <row r="1125" spans="19:20">
      <c r="S1125" t="str">
        <f>IF('[1]REGISTRO ECTS TFT'!$J1130&gt;0,'[1]REGISTRO ECTS TFT'!$B1130,"")</f>
        <v/>
      </c>
      <c r="T1125" t="str">
        <f>'[2]DATOS DOCENTES'!$D1124</f>
        <v>Tormo Irún, María Pilar</v>
      </c>
    </row>
    <row r="1126" spans="19:20">
      <c r="S1126" t="str">
        <f>IF('[1]REGISTRO ECTS TFT'!$J1131&gt;0,'[1]REGISTRO ECTS TFT'!$B1131,"")</f>
        <v/>
      </c>
      <c r="T1126" t="str">
        <f>'[2]DATOS DOCENTES'!$D1125</f>
        <v>Toro Funes, Natalia</v>
      </c>
    </row>
    <row r="1127" spans="19:20">
      <c r="S1127" t="str">
        <f>IF('[1]REGISTRO ECTS TFT'!$J1132&gt;0,'[1]REGISTRO ECTS TFT'!$B1132,"")</f>
        <v/>
      </c>
      <c r="T1127" t="str">
        <f>'[2]DATOS DOCENTES'!$D1126</f>
        <v>Toro García, Virginia</v>
      </c>
    </row>
    <row r="1128" spans="19:20">
      <c r="S1128" t="str">
        <f>IF('[1]REGISTRO ECTS TFT'!$J1133&gt;0,'[1]REGISTRO ECTS TFT'!$B1133,"")</f>
        <v/>
      </c>
      <c r="T1128" t="str">
        <f>'[2]DATOS DOCENTES'!$D1127</f>
        <v>Toro Martín, Silvia</v>
      </c>
    </row>
    <row r="1129" spans="19:20">
      <c r="S1129" t="str">
        <f>IF('[1]REGISTRO ECTS TFT'!$J1134&gt;0,'[1]REGISTRO ECTS TFT'!$B1134,"")</f>
        <v/>
      </c>
      <c r="T1129" t="str">
        <f>'[2]DATOS DOCENTES'!$D1128</f>
        <v>Torondel Rivera, Sergi</v>
      </c>
    </row>
    <row r="1130" spans="19:20">
      <c r="S1130" t="str">
        <f>IF('[1]REGISTRO ECTS TFT'!$J1135&gt;0,'[1]REGISTRO ECTS TFT'!$B1135,"")</f>
        <v/>
      </c>
      <c r="T1130" t="str">
        <f>'[2]DATOS DOCENTES'!$D1129</f>
        <v>Torralba Jerez, Eva María</v>
      </c>
    </row>
    <row r="1131" spans="19:20">
      <c r="S1131" t="str">
        <f>IF('[1]REGISTRO ECTS TFT'!$J1136&gt;0,'[1]REGISTRO ECTS TFT'!$B1136,"")</f>
        <v/>
      </c>
      <c r="T1131" t="str">
        <f>'[2]DATOS DOCENTES'!$D1130</f>
        <v>Torres Apolo, Víctor Andrés</v>
      </c>
    </row>
    <row r="1132" spans="19:20">
      <c r="S1132" t="str">
        <f>IF('[1]REGISTRO ECTS TFT'!$J1137&gt;0,'[1]REGISTRO ECTS TFT'!$B1137,"")</f>
        <v/>
      </c>
      <c r="T1132" t="str">
        <f>'[2]DATOS DOCENTES'!$D1131</f>
        <v>Torres Aviño, Elena</v>
      </c>
    </row>
    <row r="1133" spans="19:20">
      <c r="S1133" t="str">
        <f>IF('[1]REGISTRO ECTS TFT'!$J1138&gt;0,'[1]REGISTRO ECTS TFT'!$B1138,"")</f>
        <v/>
      </c>
      <c r="T1133" t="str">
        <f>'[2]DATOS DOCENTES'!$D1132</f>
        <v>Torres Fernández, Gloria María</v>
      </c>
    </row>
    <row r="1134" spans="19:20">
      <c r="S1134" t="str">
        <f>IF('[1]REGISTRO ECTS TFT'!$J1139&gt;0,'[1]REGISTRO ECTS TFT'!$B1139,"")</f>
        <v/>
      </c>
      <c r="T1134" t="str">
        <f>'[2]DATOS DOCENTES'!$D1133</f>
        <v>Torres Martínez, Susana</v>
      </c>
    </row>
    <row r="1135" spans="19:20">
      <c r="S1135" t="str">
        <f>IF('[1]REGISTRO ECTS TFT'!$J1140&gt;0,'[1]REGISTRO ECTS TFT'!$B1140,"")</f>
        <v/>
      </c>
      <c r="T1135" t="str">
        <f>'[2]DATOS DOCENTES'!$D1134</f>
        <v>Torres Moral, Teresa</v>
      </c>
    </row>
    <row r="1136" spans="19:20">
      <c r="S1136" t="str">
        <f>IF('[1]REGISTRO ECTS TFT'!$J1141&gt;0,'[1]REGISTRO ECTS TFT'!$B1141,"")</f>
        <v/>
      </c>
      <c r="T1136" t="str">
        <f>'[2]DATOS DOCENTES'!$D1135</f>
        <v>Torres Prioris, María José</v>
      </c>
    </row>
    <row r="1137" spans="19:20">
      <c r="S1137" t="str">
        <f>IF('[1]REGISTRO ECTS TFT'!$J1142&gt;0,'[1]REGISTRO ECTS TFT'!$B1142,"")</f>
        <v/>
      </c>
      <c r="T1137" t="str">
        <f>'[2]DATOS DOCENTES'!$D1136</f>
        <v>Tortosa Pérez, Macarena</v>
      </c>
    </row>
    <row r="1138" spans="19:20">
      <c r="S1138" t="str">
        <f>IF('[1]REGISTRO ECTS TFT'!$J1143&gt;0,'[1]REGISTRO ECTS TFT'!$B1143,"")</f>
        <v/>
      </c>
      <c r="T1138" t="str">
        <f>'[2]DATOS DOCENTES'!$D1137</f>
        <v>Trapero González, Irene</v>
      </c>
    </row>
    <row r="1139" spans="19:20">
      <c r="S1139" t="str">
        <f>IF('[1]REGISTRO ECTS TFT'!$J1144&gt;0,'[1]REGISTRO ECTS TFT'!$B1144,"")</f>
        <v/>
      </c>
      <c r="T1139" t="str">
        <f>'[2]DATOS DOCENTES'!$D1138</f>
        <v>Tresgallo Saiz, Emilio Constantino</v>
      </c>
    </row>
    <row r="1140" spans="19:20">
      <c r="S1140" t="str">
        <f>IF('[1]REGISTRO ECTS TFT'!$J1145&gt;0,'[1]REGISTRO ECTS TFT'!$B1145,"")</f>
        <v/>
      </c>
      <c r="T1140" t="str">
        <f>'[2]DATOS DOCENTES'!$D1139</f>
        <v>Tripiana Sánchez, Iban</v>
      </c>
    </row>
    <row r="1141" spans="19:20">
      <c r="S1141" t="str">
        <f>IF('[1]REGISTRO ECTS TFT'!$J1146&gt;0,'[1]REGISTRO ECTS TFT'!$B1146,"")</f>
        <v/>
      </c>
      <c r="T1141" t="str">
        <f>'[2]DATOS DOCENTES'!$D1140</f>
        <v>Tronchoni Albert, Héctor</v>
      </c>
    </row>
    <row r="1142" spans="19:20">
      <c r="S1142" t="str">
        <f>IF('[1]REGISTRO ECTS TFT'!$J1147&gt;0,'[1]REGISTRO ECTS TFT'!$B1147,"")</f>
        <v/>
      </c>
      <c r="T1142" t="str">
        <f>'[2]DATOS DOCENTES'!$D1141</f>
        <v>Tronchoni León, Jordi</v>
      </c>
    </row>
    <row r="1143" spans="19:20">
      <c r="S1143" t="str">
        <f>IF('[1]REGISTRO ECTS TFT'!$J1148&gt;0,'[1]REGISTRO ECTS TFT'!$B1148,"")</f>
        <v/>
      </c>
      <c r="T1143" t="str">
        <f>'[2]DATOS DOCENTES'!$D1142</f>
        <v>Tur Doménech, Cintia</v>
      </c>
    </row>
    <row r="1144" spans="19:20">
      <c r="S1144" t="str">
        <f>IF('[1]REGISTRO ECTS TFT'!$J1149&gt;0,'[1]REGISTRO ECTS TFT'!$B1149,"")</f>
        <v/>
      </c>
      <c r="T1144" t="str">
        <f>'[2]DATOS DOCENTES'!$D1143</f>
        <v>Ubago Jiménez, José Luis</v>
      </c>
    </row>
    <row r="1145" spans="19:20">
      <c r="S1145" t="str">
        <f>IF('[1]REGISTRO ECTS TFT'!$J1150&gt;0,'[1]REGISTRO ECTS TFT'!$B1150,"")</f>
        <v/>
      </c>
      <c r="T1145" t="str">
        <f>'[2]DATOS DOCENTES'!$D1144</f>
        <v>Ulla Díez, Sara</v>
      </c>
    </row>
    <row r="1146" spans="19:20">
      <c r="S1146" t="str">
        <f>IF('[1]REGISTRO ECTS TFT'!$J1151&gt;0,'[1]REGISTRO ECTS TFT'!$B1151,"")</f>
        <v/>
      </c>
      <c r="T1146" t="str">
        <f>'[2]DATOS DOCENTES'!$D1145</f>
        <v>Ulloa Guerra, Óscar</v>
      </c>
    </row>
    <row r="1147" spans="19:20">
      <c r="S1147" t="str">
        <f>IF('[1]REGISTRO ECTS TFT'!$J1152&gt;0,'[1]REGISTRO ECTS TFT'!$B1152,"")</f>
        <v/>
      </c>
      <c r="T1147" t="str">
        <f>'[2]DATOS DOCENTES'!$D1146</f>
        <v>Vadillo Padilla, Miguel</v>
      </c>
    </row>
    <row r="1148" spans="19:20">
      <c r="S1148" t="str">
        <f>IF('[1]REGISTRO ECTS TFT'!$J1153&gt;0,'[1]REGISTRO ECTS TFT'!$B1153,"")</f>
        <v/>
      </c>
      <c r="T1148" t="str">
        <f>'[2]DATOS DOCENTES'!$D1147</f>
        <v>Valdés García, Enric</v>
      </c>
    </row>
    <row r="1149" spans="19:20">
      <c r="S1149" t="str">
        <f>IF('[1]REGISTRO ECTS TFT'!$J1154&gt;0,'[1]REGISTRO ECTS TFT'!$B1154,"")</f>
        <v/>
      </c>
      <c r="T1149" t="str">
        <f>'[2]DATOS DOCENTES'!$D1148</f>
        <v>Valdivia Vasco, Rafael Alejandro</v>
      </c>
    </row>
    <row r="1150" spans="19:20">
      <c r="S1150" t="str">
        <f>IF('[1]REGISTRO ECTS TFT'!$J1155&gt;0,'[1]REGISTRO ECTS TFT'!$B1155,"")</f>
        <v/>
      </c>
      <c r="T1150" t="str">
        <f>'[2]DATOS DOCENTES'!$D1149</f>
        <v>Valentín Centeno, Alberto</v>
      </c>
    </row>
    <row r="1151" spans="19:20">
      <c r="S1151" t="str">
        <f>IF('[1]REGISTRO ECTS TFT'!$J1156&gt;0,'[1]REGISTRO ECTS TFT'!$B1156,"")</f>
        <v/>
      </c>
      <c r="T1151" t="str">
        <f>'[2]DATOS DOCENTES'!$D1150</f>
        <v>Valera Lloris, Raquel</v>
      </c>
    </row>
    <row r="1152" spans="19:20">
      <c r="S1152" t="str">
        <f>IF('[1]REGISTRO ECTS TFT'!$J1157&gt;0,'[1]REGISTRO ECTS TFT'!$B1157,"")</f>
        <v/>
      </c>
      <c r="T1152" t="str">
        <f>'[2]DATOS DOCENTES'!$D1151</f>
        <v>Valero Chaves, Mónica</v>
      </c>
    </row>
    <row r="1153" spans="19:20">
      <c r="S1153" t="str">
        <f>IF('[1]REGISTRO ECTS TFT'!$J1158&gt;0,'[1]REGISTRO ECTS TFT'!$B1158,"")</f>
        <v/>
      </c>
      <c r="T1153" t="str">
        <f>'[2]DATOS DOCENTES'!$D1152</f>
        <v>Valero Rello, Ana</v>
      </c>
    </row>
    <row r="1154" spans="19:20">
      <c r="S1154" t="str">
        <f>IF('[1]REGISTRO ECTS TFT'!$J1159&gt;0,'[1]REGISTRO ECTS TFT'!$B1159,"")</f>
        <v/>
      </c>
      <c r="T1154" t="str">
        <f>'[2]DATOS DOCENTES'!$D1153</f>
        <v>Valiente Gómez, Alicia</v>
      </c>
    </row>
    <row r="1155" spans="19:20">
      <c r="S1155" t="str">
        <f>IF('[1]REGISTRO ECTS TFT'!$J1160&gt;0,'[1]REGISTRO ECTS TFT'!$B1160,"")</f>
        <v/>
      </c>
      <c r="T1155" t="str">
        <f>'[2]DATOS DOCENTES'!$D1154</f>
        <v>Valiente Parra, Nicolás</v>
      </c>
    </row>
    <row r="1156" spans="19:20">
      <c r="S1156" t="str">
        <f>IF('[1]REGISTRO ECTS TFT'!$J1161&gt;0,'[1]REGISTRO ECTS TFT'!$B1161,"")</f>
        <v/>
      </c>
      <c r="T1156" t="str">
        <f>'[2]DATOS DOCENTES'!$D1155</f>
        <v>Vallalta Rueda, Juan Francisco</v>
      </c>
    </row>
    <row r="1157" spans="19:20">
      <c r="S1157" t="str">
        <f>IF('[1]REGISTRO ECTS TFT'!$J1162&gt;0,'[1]REGISTRO ECTS TFT'!$B1162,"")</f>
        <v/>
      </c>
      <c r="T1157" t="str">
        <f>'[2]DATOS DOCENTES'!$D1156</f>
        <v>Valles González, Beatriz Rosa</v>
      </c>
    </row>
    <row r="1158" spans="19:20">
      <c r="S1158" t="str">
        <f>IF('[1]REGISTRO ECTS TFT'!$J1163&gt;0,'[1]REGISTRO ECTS TFT'!$B1163,"")</f>
        <v/>
      </c>
      <c r="T1158" t="str">
        <f>'[2]DATOS DOCENTES'!$D1157</f>
        <v>Valls Mollá, Lydia</v>
      </c>
    </row>
    <row r="1159" spans="19:20">
      <c r="S1159" t="str">
        <f>IF('[1]REGISTRO ECTS TFT'!$J1164&gt;0,'[1]REGISTRO ECTS TFT'!$B1164,"")</f>
        <v/>
      </c>
      <c r="T1159" t="str">
        <f>'[2]DATOS DOCENTES'!$D1158</f>
        <v>Vaquero Tejedor, Juan Ramón</v>
      </c>
    </row>
    <row r="1160" spans="19:20">
      <c r="S1160" t="str">
        <f>IF('[1]REGISTRO ECTS TFT'!$J1165&gt;0,'[1]REGISTRO ECTS TFT'!$B1165,"")</f>
        <v/>
      </c>
      <c r="T1160" t="str">
        <f>'[2]DATOS DOCENTES'!$D1159</f>
        <v>Vara Cilla, Alba</v>
      </c>
    </row>
    <row r="1161" spans="19:20">
      <c r="S1161" t="str">
        <f>IF('[1]REGISTRO ECTS TFT'!$J1166&gt;0,'[1]REGISTRO ECTS TFT'!$B1166,"")</f>
        <v/>
      </c>
      <c r="T1161" t="str">
        <f>'[2]DATOS DOCENTES'!$D1160</f>
        <v>Vara Ciruelos, Diana</v>
      </c>
    </row>
    <row r="1162" spans="19:20">
      <c r="S1162" t="str">
        <f>IF('[1]REGISTRO ECTS TFT'!$J1167&gt;0,'[1]REGISTRO ECTS TFT'!$B1167,"")</f>
        <v/>
      </c>
      <c r="T1162" t="str">
        <f>'[2]DATOS DOCENTES'!$D1161</f>
        <v>Varela Castiñeiras, Isabel María</v>
      </c>
    </row>
    <row r="1163" spans="19:20">
      <c r="S1163" t="str">
        <f>IF('[1]REGISTRO ECTS TFT'!$J1168&gt;0,'[1]REGISTRO ECTS TFT'!$B1168,"")</f>
        <v/>
      </c>
      <c r="T1163" t="str">
        <f>'[2]DATOS DOCENTES'!$D1162</f>
        <v>Varela Tembra, Juan José</v>
      </c>
    </row>
    <row r="1164" spans="19:20">
      <c r="S1164" t="str">
        <f>IF('[1]REGISTRO ECTS TFT'!$J1169&gt;0,'[1]REGISTRO ECTS TFT'!$B1169,"")</f>
        <v/>
      </c>
      <c r="T1164" t="str">
        <f>'[2]DATOS DOCENTES'!$D1163</f>
        <v>Vargas Salinas, Viviana Sylvia Elena</v>
      </c>
    </row>
    <row r="1165" spans="19:20">
      <c r="S1165" t="str">
        <f>IF('[1]REGISTRO ECTS TFT'!$J1170&gt;0,'[1]REGISTRO ECTS TFT'!$B1170,"")</f>
        <v/>
      </c>
      <c r="T1165" t="str">
        <f>'[2]DATOS DOCENTES'!$D1164</f>
        <v>Vásquez Amezquita, Milena</v>
      </c>
    </row>
    <row r="1166" spans="19:20">
      <c r="S1166" t="str">
        <f>IF('[1]REGISTRO ECTS TFT'!$J1171&gt;0,'[1]REGISTRO ECTS TFT'!$B1171,"")</f>
        <v/>
      </c>
      <c r="T1166" t="str">
        <f>'[2]DATOS DOCENTES'!$D1165</f>
        <v>Vásquez Vásquez, Sebastián Andrés</v>
      </c>
    </row>
    <row r="1167" spans="19:20">
      <c r="S1167" t="str">
        <f>IF('[1]REGISTRO ECTS TFT'!$J1172&gt;0,'[1]REGISTRO ECTS TFT'!$B1172,"")</f>
        <v/>
      </c>
      <c r="T1167" t="str">
        <f>'[2]DATOS DOCENTES'!$D1166</f>
        <v>Vázquez, Victoria</v>
      </c>
    </row>
    <row r="1168" spans="19:20">
      <c r="S1168" t="str">
        <f>IF('[1]REGISTRO ECTS TFT'!$J1173&gt;0,'[1]REGISTRO ECTS TFT'!$B1173,"")</f>
        <v/>
      </c>
      <c r="T1168" t="str">
        <f>'[2]DATOS DOCENTES'!$D1167</f>
        <v>Vázquez, Natalia</v>
      </c>
    </row>
    <row r="1169" spans="19:20">
      <c r="S1169" t="str">
        <f>IF('[1]REGISTRO ECTS TFT'!$J1174&gt;0,'[1]REGISTRO ECTS TFT'!$B1174,"")</f>
        <v/>
      </c>
      <c r="T1169" t="str">
        <f>'[2]DATOS DOCENTES'!$D1168</f>
        <v>Vázquez Aguilar, Laura Alejandra</v>
      </c>
    </row>
    <row r="1170" spans="19:20">
      <c r="S1170" t="str">
        <f>IF('[1]REGISTRO ECTS TFT'!$J1175&gt;0,'[1]REGISTRO ECTS TFT'!$B1175,"")</f>
        <v/>
      </c>
      <c r="T1170" t="str">
        <f>'[2]DATOS DOCENTES'!$D1169</f>
        <v>Vázquez Bello, Andrea</v>
      </c>
    </row>
    <row r="1171" spans="19:20">
      <c r="S1171" t="str">
        <f>IF('[1]REGISTRO ECTS TFT'!$J1176&gt;0,'[1]REGISTRO ECTS TFT'!$B1176,"")</f>
        <v/>
      </c>
      <c r="T1171" t="str">
        <f>'[2]DATOS DOCENTES'!$D1170</f>
        <v>Vázquez Martínez, Andrea</v>
      </c>
    </row>
    <row r="1172" spans="19:20">
      <c r="S1172" t="str">
        <f>IF('[1]REGISTRO ECTS TFT'!$J1177&gt;0,'[1]REGISTRO ECTS TFT'!$B1177,"")</f>
        <v/>
      </c>
      <c r="T1172" t="str">
        <f>'[2]DATOS DOCENTES'!$D1171</f>
        <v>Vázquez Miraz, Pedro</v>
      </c>
    </row>
    <row r="1173" spans="19:20">
      <c r="S1173" t="str">
        <f>IF('[1]REGISTRO ECTS TFT'!$J1178&gt;0,'[1]REGISTRO ECTS TFT'!$B1178,"")</f>
        <v/>
      </c>
      <c r="T1173" t="str">
        <f>'[2]DATOS DOCENTES'!$D1172</f>
        <v>Vázquez Orellana, Nuria</v>
      </c>
    </row>
    <row r="1174" spans="19:20">
      <c r="S1174" t="str">
        <f>IF('[1]REGISTRO ECTS TFT'!$J1179&gt;0,'[1]REGISTRO ECTS TFT'!$B1179,"")</f>
        <v/>
      </c>
      <c r="T1174" t="str">
        <f>'[2]DATOS DOCENTES'!$D1173</f>
        <v>Vázquez Prieto, Severo</v>
      </c>
    </row>
    <row r="1175" spans="19:20">
      <c r="S1175" t="str">
        <f>IF('[1]REGISTRO ECTS TFT'!$J1180&gt;0,'[1]REGISTRO ECTS TFT'!$B1180,"")</f>
        <v/>
      </c>
      <c r="T1175" t="str">
        <f>'[2]DATOS DOCENTES'!$D1174</f>
        <v>Vázquez Robles, José Julián</v>
      </c>
    </row>
    <row r="1176" spans="19:20">
      <c r="S1176" t="str">
        <f>IF('[1]REGISTRO ECTS TFT'!$J1181&gt;0,'[1]REGISTRO ECTS TFT'!$B1181,"")</f>
        <v/>
      </c>
      <c r="T1176" t="str">
        <f>'[2]DATOS DOCENTES'!$D1175</f>
        <v>Vega Flores, Germán</v>
      </c>
    </row>
    <row r="1177" spans="19:20">
      <c r="S1177" t="str">
        <f>IF('[1]REGISTRO ECTS TFT'!$J1182&gt;0,'[1]REGISTRO ECTS TFT'!$B1182,"")</f>
        <v/>
      </c>
      <c r="T1177" t="str">
        <f>'[2]DATOS DOCENTES'!$D1176</f>
        <v>Vega Moreno, Daniel</v>
      </c>
    </row>
    <row r="1178" spans="19:20">
      <c r="S1178" t="str">
        <f>IF('[1]REGISTRO ECTS TFT'!$J1183&gt;0,'[1]REGISTRO ECTS TFT'!$B1183,"")</f>
        <v/>
      </c>
      <c r="T1178" t="str">
        <f>'[2]DATOS DOCENTES'!$D1177</f>
        <v>Vega Sanz, María</v>
      </c>
    </row>
    <row r="1179" spans="19:20">
      <c r="S1179" t="str">
        <f>IF('[1]REGISTRO ECTS TFT'!$J1184&gt;0,'[1]REGISTRO ECTS TFT'!$B1184,"")</f>
        <v/>
      </c>
      <c r="T1179" t="str">
        <f>'[2]DATOS DOCENTES'!$D1178</f>
        <v>Vegas Pardavila, Estefanía</v>
      </c>
    </row>
    <row r="1180" spans="19:20">
      <c r="S1180" t="str">
        <f>IF('[1]REGISTRO ECTS TFT'!$J1185&gt;0,'[1]REGISTRO ECTS TFT'!$B1185,"")</f>
        <v/>
      </c>
      <c r="T1180" t="str">
        <f>'[2]DATOS DOCENTES'!$D1179</f>
        <v>Veiga Rodeiro, Sergio</v>
      </c>
    </row>
    <row r="1181" spans="19:20">
      <c r="S1181" t="str">
        <f>IF('[1]REGISTRO ECTS TFT'!$J1186&gt;0,'[1]REGISTRO ECTS TFT'!$B1186,"")</f>
        <v/>
      </c>
      <c r="T1181" t="str">
        <f>'[2]DATOS DOCENTES'!$D1180</f>
        <v>Velasco Mayol, Lydia</v>
      </c>
    </row>
    <row r="1182" spans="19:20">
      <c r="S1182" t="str">
        <f>IF('[1]REGISTRO ECTS TFT'!$J1187&gt;0,'[1]REGISTRO ECTS TFT'!$B1187,"")</f>
        <v/>
      </c>
      <c r="T1182" t="str">
        <f>'[2]DATOS DOCENTES'!$D1181</f>
        <v>Velasco Vega, Cristina</v>
      </c>
    </row>
    <row r="1183" spans="19:20">
      <c r="S1183" t="str">
        <f>IF('[1]REGISTRO ECTS TFT'!$J1188&gt;0,'[1]REGISTRO ECTS TFT'!$B1188,"")</f>
        <v/>
      </c>
      <c r="T1183" t="str">
        <f>'[2]DATOS DOCENTES'!$D1182</f>
        <v>Velázquez Martínez, Zaily Leticia</v>
      </c>
    </row>
    <row r="1184" spans="19:20">
      <c r="S1184" t="str">
        <f>IF('[1]REGISTRO ECTS TFT'!$J1189&gt;0,'[1]REGISTRO ECTS TFT'!$B1189,"")</f>
        <v/>
      </c>
      <c r="T1184" t="str">
        <f>'[2]DATOS DOCENTES'!$D1183</f>
        <v>Vera García, Rosa María</v>
      </c>
    </row>
    <row r="1185" spans="19:20">
      <c r="S1185" t="str">
        <f>IF('[1]REGISTRO ECTS TFT'!$J1190&gt;0,'[1]REGISTRO ECTS TFT'!$B1190,"")</f>
        <v/>
      </c>
      <c r="T1185" t="str">
        <f>'[2]DATOS DOCENTES'!$D1184</f>
        <v>Vera Vergara, Vivian</v>
      </c>
    </row>
    <row r="1186" spans="19:20">
      <c r="S1186" t="str">
        <f>IF('[1]REGISTRO ECTS TFT'!$J1191&gt;0,'[1]REGISTRO ECTS TFT'!$B1191,"")</f>
        <v/>
      </c>
      <c r="T1186" t="str">
        <f>'[2]DATOS DOCENTES'!$D1185</f>
        <v>Vercher Herráez, Enric</v>
      </c>
    </row>
    <row r="1187" spans="19:20">
      <c r="S1187" t="str">
        <f>IF('[1]REGISTRO ECTS TFT'!$J1192&gt;0,'[1]REGISTRO ECTS TFT'!$B1192,"")</f>
        <v/>
      </c>
      <c r="T1187" t="str">
        <f>'[2]DATOS DOCENTES'!$D1186</f>
        <v>Verdecia Carballo, Enrique</v>
      </c>
    </row>
    <row r="1188" spans="19:20">
      <c r="S1188" t="str">
        <f>IF('[1]REGISTRO ECTS TFT'!$J1193&gt;0,'[1]REGISTRO ECTS TFT'!$B1193,"")</f>
        <v/>
      </c>
      <c r="T1188" t="str">
        <f>'[2]DATOS DOCENTES'!$D1187</f>
        <v>Viana Ribeiro Monteiro Almeida, Pedro Cassiano</v>
      </c>
    </row>
    <row r="1189" spans="19:20">
      <c r="S1189" t="str">
        <f>IF('[1]REGISTRO ECTS TFT'!$J1194&gt;0,'[1]REGISTRO ECTS TFT'!$B1194,"")</f>
        <v/>
      </c>
      <c r="T1189" t="str">
        <f>'[2]DATOS DOCENTES'!$D1188</f>
        <v>Viayna Gaza, Antonio</v>
      </c>
    </row>
    <row r="1190" spans="19:20">
      <c r="S1190" t="str">
        <f>IF('[1]REGISTRO ECTS TFT'!$J1195&gt;0,'[1]REGISTRO ECTS TFT'!$B1195,"")</f>
        <v/>
      </c>
      <c r="T1190" t="str">
        <f>'[2]DATOS DOCENTES'!$D1189</f>
        <v>Vicario Badía, Patricia</v>
      </c>
    </row>
    <row r="1191" spans="19:20">
      <c r="S1191" t="str">
        <f>IF('[1]REGISTRO ECTS TFT'!$J1196&gt;0,'[1]REGISTRO ECTS TFT'!$B1196,"")</f>
        <v/>
      </c>
      <c r="T1191" t="str">
        <f>'[2]DATOS DOCENTES'!$D1190</f>
        <v>Vidal Gil, Lorena</v>
      </c>
    </row>
    <row r="1192" spans="19:20">
      <c r="S1192" t="str">
        <f>IF('[1]REGISTRO ECTS TFT'!$J1197&gt;0,'[1]REGISTRO ECTS TFT'!$B1197,"")</f>
        <v/>
      </c>
      <c r="T1192" t="str">
        <f>'[2]DATOS DOCENTES'!$D1191</f>
        <v>Vieites Leston, Tania</v>
      </c>
    </row>
    <row r="1193" spans="19:20">
      <c r="S1193" t="str">
        <f>IF('[1]REGISTRO ECTS TFT'!$J1198&gt;0,'[1]REGISTRO ECTS TFT'!$B1198,"")</f>
        <v/>
      </c>
      <c r="T1193" t="str">
        <f>'[2]DATOS DOCENTES'!$D1192</f>
        <v>Viejo Sánchez, Aitana</v>
      </c>
    </row>
    <row r="1194" spans="19:20">
      <c r="S1194" t="str">
        <f>IF('[1]REGISTRO ECTS TFT'!$J1199&gt;0,'[1]REGISTRO ECTS TFT'!$B1199,"")</f>
        <v/>
      </c>
      <c r="T1194" t="str">
        <f>'[2]DATOS DOCENTES'!$D1193</f>
        <v>Vila Candel, Rafael</v>
      </c>
    </row>
    <row r="1195" spans="19:20">
      <c r="S1195" t="str">
        <f>IF('[1]REGISTRO ECTS TFT'!$J1200&gt;0,'[1]REGISTRO ECTS TFT'!$B1200,"")</f>
        <v/>
      </c>
      <c r="T1195" t="str">
        <f>'[2]DATOS DOCENTES'!$D1194</f>
        <v>Vila López, Vanessa</v>
      </c>
    </row>
    <row r="1196" spans="19:20">
      <c r="S1196" t="str">
        <f>IF('[1]REGISTRO ECTS TFT'!$J1201&gt;0,'[1]REGISTRO ECTS TFT'!$B1201,"")</f>
        <v/>
      </c>
      <c r="T1196" t="str">
        <f>'[2]DATOS DOCENTES'!$D1195</f>
        <v>Vila Vicent, Susana</v>
      </c>
    </row>
    <row r="1197" spans="19:20">
      <c r="S1197" t="str">
        <f>IF('[1]REGISTRO ECTS TFT'!$J1202&gt;0,'[1]REGISTRO ECTS TFT'!$B1202,"")</f>
        <v/>
      </c>
      <c r="T1197" t="str">
        <f>'[2]DATOS DOCENTES'!$D1196</f>
        <v>Vílchez Tornero, José Luis</v>
      </c>
    </row>
    <row r="1198" spans="19:20">
      <c r="S1198" t="str">
        <f>IF('[1]REGISTRO ECTS TFT'!$J1203&gt;0,'[1]REGISTRO ECTS TFT'!$B1203,"")</f>
        <v/>
      </c>
      <c r="T1198" t="str">
        <f>'[2]DATOS DOCENTES'!$D1197</f>
        <v>Villada Rodríguez, Carolina</v>
      </c>
    </row>
    <row r="1199" spans="19:20">
      <c r="S1199" t="str">
        <f>IF('[1]REGISTRO ECTS TFT'!$J1204&gt;0,'[1]REGISTRO ECTS TFT'!$B1204,"")</f>
        <v/>
      </c>
      <c r="T1199" t="str">
        <f>'[2]DATOS DOCENTES'!$D1198</f>
        <v>Villagrán Venegas, Aída Mariana</v>
      </c>
    </row>
    <row r="1200" spans="19:20">
      <c r="S1200" t="str">
        <f>IF('[1]REGISTRO ECTS TFT'!$J1205&gt;0,'[1]REGISTRO ECTS TFT'!$B1205,"")</f>
        <v/>
      </c>
      <c r="T1200" t="str">
        <f>'[2]DATOS DOCENTES'!$D1199</f>
        <v>Villalba Felipe, Adrián</v>
      </c>
    </row>
    <row r="1201" spans="19:20">
      <c r="S1201" t="str">
        <f>IF('[1]REGISTRO ECTS TFT'!$J1206&gt;0,'[1]REGISTRO ECTS TFT'!$B1206,"")</f>
        <v/>
      </c>
      <c r="T1201" t="str">
        <f>'[2]DATOS DOCENTES'!$D1200</f>
        <v>Villalobos Tornero, María Dolores</v>
      </c>
    </row>
    <row r="1202" spans="19:20">
      <c r="S1202" t="str">
        <f>IF('[1]REGISTRO ECTS TFT'!$J1207&gt;0,'[1]REGISTRO ECTS TFT'!$B1207,"")</f>
        <v/>
      </c>
      <c r="T1202" t="str">
        <f>'[2]DATOS DOCENTES'!$D1201</f>
        <v>Villalón Coca, Javier</v>
      </c>
    </row>
    <row r="1203" spans="19:20">
      <c r="S1203" t="str">
        <f>IF('[1]REGISTRO ECTS TFT'!$J1208&gt;0,'[1]REGISTRO ECTS TFT'!$B1208,"")</f>
        <v/>
      </c>
      <c r="T1203" t="str">
        <f>'[2]DATOS DOCENTES'!$D1202</f>
        <v>Villanueva Blasco, Víctor José</v>
      </c>
    </row>
    <row r="1204" spans="19:20">
      <c r="S1204" t="str">
        <f>IF('[1]REGISTRO ECTS TFT'!$J1209&gt;0,'[1]REGISTRO ECTS TFT'!$B1209,"")</f>
        <v/>
      </c>
      <c r="T1204" t="str">
        <f>'[2]DATOS DOCENTES'!$D1203</f>
        <v>Villanueva Silvestre, Verónica</v>
      </c>
    </row>
    <row r="1205" spans="19:20">
      <c r="S1205" t="str">
        <f>IF('[1]REGISTRO ECTS TFT'!$J1210&gt;0,'[1]REGISTRO ECTS TFT'!$B1210,"")</f>
        <v/>
      </c>
      <c r="T1205" t="str">
        <f>'[2]DATOS DOCENTES'!$D1204</f>
        <v>Villarreal Díaz, Pablo</v>
      </c>
    </row>
    <row r="1206" spans="19:20">
      <c r="S1206" t="str">
        <f>IF('[1]REGISTRO ECTS TFT'!$J1211&gt;0,'[1]REGISTRO ECTS TFT'!$B1211,"")</f>
        <v/>
      </c>
      <c r="T1206" t="str">
        <f>'[2]DATOS DOCENTES'!$D1205</f>
        <v>Villarroel Núñez, Dinka Natacha</v>
      </c>
    </row>
    <row r="1207" spans="19:20">
      <c r="S1207" t="str">
        <f>IF('[1]REGISTRO ECTS TFT'!$J1212&gt;0,'[1]REGISTRO ECTS TFT'!$B1212,"")</f>
        <v/>
      </c>
      <c r="T1207" t="str">
        <f>'[2]DATOS DOCENTES'!$D1206</f>
        <v>Vilte Rosas, Luz Sofía</v>
      </c>
    </row>
    <row r="1208" spans="19:20">
      <c r="S1208" t="str">
        <f>IF('[1]REGISTRO ECTS TFT'!$J1213&gt;0,'[1]REGISTRO ECTS TFT'!$B1213,"")</f>
        <v/>
      </c>
      <c r="T1208" t="str">
        <f>'[2]DATOS DOCENTES'!$D1207</f>
        <v>Viqueira Gutiérrez, Laura</v>
      </c>
    </row>
    <row r="1209" spans="19:20">
      <c r="S1209" t="str">
        <f>IF('[1]REGISTRO ECTS TFT'!$J1214&gt;0,'[1]REGISTRO ECTS TFT'!$B1214,"")</f>
        <v/>
      </c>
      <c r="T1209" t="str">
        <f>'[2]DATOS DOCENTES'!$D1208</f>
        <v>Xavier, Marlon</v>
      </c>
    </row>
    <row r="1210" spans="19:20">
      <c r="S1210" t="str">
        <f>IF('[1]REGISTRO ECTS TFT'!$J1215&gt;0,'[1]REGISTRO ECTS TFT'!$B1215,"")</f>
        <v/>
      </c>
      <c r="T1210" t="str">
        <f>'[2]DATOS DOCENTES'!$D1209</f>
        <v>Ximenez de Embun Ferrer, Ingrid</v>
      </c>
    </row>
    <row r="1211" spans="19:20">
      <c r="S1211" t="str">
        <f>IF('[1]REGISTRO ECTS TFT'!$J1216&gt;0,'[1]REGISTRO ECTS TFT'!$B1216,"")</f>
        <v/>
      </c>
      <c r="T1211" t="str">
        <f>'[2]DATOS DOCENTES'!$D1210</f>
        <v>Yagüe Menéndez, Paula</v>
      </c>
    </row>
    <row r="1212" spans="19:20">
      <c r="S1212" t="str">
        <f>IF('[1]REGISTRO ECTS TFT'!$J1217&gt;0,'[1]REGISTRO ECTS TFT'!$B1217,"")</f>
        <v/>
      </c>
      <c r="T1212" t="str">
        <f>'[2]DATOS DOCENTES'!$D1211</f>
        <v>Yáñez Vilches, Aurora</v>
      </c>
    </row>
    <row r="1213" spans="19:20">
      <c r="S1213" t="str">
        <f>IF('[1]REGISTRO ECTS TFT'!$J1218&gt;0,'[1]REGISTRO ECTS TFT'!$B1218,"")</f>
        <v/>
      </c>
      <c r="T1213" t="str">
        <f>'[2]DATOS DOCENTES'!$D1212</f>
        <v>Yatim Harkous, Wissam</v>
      </c>
    </row>
    <row r="1214" spans="19:20">
      <c r="S1214" t="str">
        <f>IF('[1]REGISTRO ECTS TFT'!$J1219&gt;0,'[1]REGISTRO ECTS TFT'!$B1219,"")</f>
        <v/>
      </c>
      <c r="T1214" t="str">
        <f>'[2]DATOS DOCENTES'!$D1213</f>
        <v>Zaky Menéndez, Lorena</v>
      </c>
    </row>
    <row r="1215" spans="19:20">
      <c r="S1215" t="str">
        <f>IF('[1]REGISTRO ECTS TFT'!$J1220&gt;0,'[1]REGISTRO ECTS TFT'!$B1220,"")</f>
        <v/>
      </c>
      <c r="T1215" t="str">
        <f>'[2]DATOS DOCENTES'!$D1214</f>
        <v>Zalazar Jaime, Mauricio Federico</v>
      </c>
    </row>
    <row r="1216" spans="19:20">
      <c r="S1216" t="str">
        <f>IF('[1]REGISTRO ECTS TFT'!$J1221&gt;0,'[1]REGISTRO ECTS TFT'!$B1221,"")</f>
        <v/>
      </c>
      <c r="T1216" t="str">
        <f>'[2]DATOS DOCENTES'!$D1215</f>
        <v>Zaldívar Álvarez, José Antonio</v>
      </c>
    </row>
    <row r="1217" spans="19:20">
      <c r="S1217" t="str">
        <f>IF('[1]REGISTRO ECTS TFT'!$J1222&gt;0,'[1]REGISTRO ECTS TFT'!$B1222,"")</f>
        <v/>
      </c>
      <c r="T1217" t="str">
        <f>'[2]DATOS DOCENTES'!$D1216</f>
        <v>Zangri, Rosaria María</v>
      </c>
    </row>
    <row r="1218" spans="19:20">
      <c r="S1218" t="str">
        <f>IF('[1]REGISTRO ECTS TFT'!$J1223&gt;0,'[1]REGISTRO ECTS TFT'!$B1223,"")</f>
        <v/>
      </c>
      <c r="T1218" t="str">
        <f>'[2]DATOS DOCENTES'!$D1217</f>
        <v>Zanón Moreno, Vicente Calixto</v>
      </c>
    </row>
    <row r="1219" spans="19:20">
      <c r="S1219" t="str">
        <f>IF('[1]REGISTRO ECTS TFT'!$J1224&gt;0,'[1]REGISTRO ECTS TFT'!$B1224,"")</f>
        <v/>
      </c>
      <c r="T1219" t="str">
        <f>'[2]DATOS DOCENTES'!$D1218</f>
        <v>Zegarra Valdivia, Jonathan Adrián</v>
      </c>
    </row>
    <row r="1220" spans="19:20">
      <c r="S1220" t="str">
        <f>IF('[1]REGISTRO ECTS TFT'!$J1225&gt;0,'[1]REGISTRO ECTS TFT'!$B1225,"")</f>
        <v/>
      </c>
      <c r="T1220" t="str">
        <f>'[2]DATOS DOCENTES'!$D1219</f>
        <v>Zolog, Teodora Cosmina</v>
      </c>
    </row>
    <row r="1221" spans="19:20">
      <c r="S1221" t="str">
        <f>IF('[1]REGISTRO ECTS TFT'!$J1226&gt;0,'[1]REGISTRO ECTS TFT'!$B1226,"")</f>
        <v/>
      </c>
      <c r="T1221" t="str">
        <f>'[2]DATOS DOCENTES'!$D1220</f>
        <v>Zorrilla Larrainzar, Idoia</v>
      </c>
    </row>
    <row r="1222" spans="19:20">
      <c r="S1222" t="str">
        <f>IF('[1]REGISTRO ECTS TFT'!$J1227&gt;0,'[1]REGISTRO ECTS TFT'!$B1227,"")</f>
        <v/>
      </c>
      <c r="T1222" t="str">
        <f>'[2]DATOS DOCENTES'!$D1221</f>
        <v>Zorzo Vallina, Candela</v>
      </c>
    </row>
    <row r="1223" spans="19:20">
      <c r="S1223" t="str">
        <f>IF('[1]REGISTRO ECTS TFT'!$J1228&gt;0,'[1]REGISTRO ECTS TFT'!$B1228,"")</f>
        <v/>
      </c>
      <c r="T1223" t="str">
        <f>'[2]DATOS DOCENTES'!$D1222</f>
        <v>Zumeta Sánchez, Larraitz Nerea</v>
      </c>
    </row>
    <row r="1224" spans="19:20">
      <c r="S1224" t="str">
        <f>IF('[1]REGISTRO ECTS TFT'!$J1229&gt;0,'[1]REGISTRO ECTS TFT'!$B1229,"")</f>
        <v/>
      </c>
      <c r="T1224" t="str">
        <f>'[2]DATOS DOCENTES'!$D1223</f>
        <v>Zúñiga Trejos, Sheila</v>
      </c>
    </row>
    <row r="1225" spans="19:20">
      <c r="S1225" t="str">
        <f>IF('[1]REGISTRO ECTS TFT'!$J1230&gt;0,'[1]REGISTRO ECTS TFT'!$B1230,"")</f>
        <v/>
      </c>
      <c r="T1225" t="str">
        <f>'[2]DATOS DOCENTES'!$D1224</f>
        <v>Martínez Pérez, Beatriz</v>
      </c>
    </row>
    <row r="1226" spans="19:20">
      <c r="S1226" t="str">
        <f>IF('[1]REGISTRO ECTS TFT'!$J1231&gt;0,'[1]REGISTRO ECTS TFT'!$B1231,"")</f>
        <v/>
      </c>
      <c r="T1226" t="str">
        <f>'[2]DATOS DOCENTES'!$D1225</f>
        <v>García Munuera, Isabel María</v>
      </c>
    </row>
    <row r="1227" spans="19:20">
      <c r="S1227" t="str">
        <f>IF('[1]REGISTRO ECTS TFT'!$J1232&gt;0,'[1]REGISTRO ECTS TFT'!$B1232,"")</f>
        <v/>
      </c>
      <c r="T1227" t="str">
        <f>'[2]DATOS DOCENTES'!$D1226</f>
        <v>Moreno Jiménez, Elena</v>
      </c>
    </row>
    <row r="1228" spans="19:20">
      <c r="S1228" t="str">
        <f>IF('[1]REGISTRO ECTS TFT'!$J1233&gt;0,'[1]REGISTRO ECTS TFT'!$B1233,"")</f>
        <v/>
      </c>
      <c r="T1228" t="str">
        <f>'[2]DATOS DOCENTES'!$D1227</f>
        <v>Cinalli Ramírez, Carina</v>
      </c>
    </row>
    <row r="1229" spans="19:20">
      <c r="S1229" t="str">
        <f>IF('[1]REGISTRO ECTS TFT'!$J1234&gt;0,'[1]REGISTRO ECTS TFT'!$B1234,"")</f>
        <v/>
      </c>
      <c r="T1229" t="str">
        <f>'[2]DATOS DOCENTES'!$D1228</f>
        <v>Arévalo Martínez, Alejandro</v>
      </c>
    </row>
    <row r="1230" spans="19:20">
      <c r="S1230" t="str">
        <f>IF('[1]REGISTRO ECTS TFT'!$J1235&gt;0,'[1]REGISTRO ECTS TFT'!$B1235,"")</f>
        <v/>
      </c>
      <c r="T1230" t="str">
        <f>'[2]DATOS DOCENTES'!$D1229</f>
        <v>Marco Puche, Clara</v>
      </c>
    </row>
    <row r="1231" spans="19:20">
      <c r="S1231" t="str">
        <f>IF('[1]REGISTRO ECTS TFT'!$J1236&gt;0,'[1]REGISTRO ECTS TFT'!$B1236,"")</f>
        <v/>
      </c>
      <c r="T1231" t="str">
        <f>'[2]DATOS DOCENTES'!$D1230</f>
        <v xml:space="preserve">, </v>
      </c>
    </row>
    <row r="1232" spans="19:20">
      <c r="S1232" t="str">
        <f>IF('[1]REGISTRO ECTS TFT'!$J1237&gt;0,'[1]REGISTRO ECTS TFT'!$B1237,"")</f>
        <v/>
      </c>
      <c r="T1232">
        <f>'[2]DATOS DOCENTES'!$D1231</f>
        <v>0</v>
      </c>
    </row>
    <row r="1233" spans="19:20">
      <c r="S1233" t="str">
        <f>IF('[1]REGISTRO ECTS TFT'!$J1238&gt;0,'[1]REGISTRO ECTS TFT'!$B1238,"")</f>
        <v/>
      </c>
      <c r="T1233">
        <f>'[2]DATOS DOCENTES'!$D1232</f>
        <v>0</v>
      </c>
    </row>
    <row r="1234" spans="19:20">
      <c r="S1234" t="str">
        <f>IF('[1]REGISTRO ECTS TFT'!$J1239&gt;0,'[1]REGISTRO ECTS TFT'!$B1239,"")</f>
        <v/>
      </c>
      <c r="T1234">
        <f>'[2]DATOS DOCENTES'!$D1233</f>
        <v>0</v>
      </c>
    </row>
    <row r="1235" spans="19:20">
      <c r="S1235" t="str">
        <f>IF('[1]REGISTRO ECTS TFT'!$J1240&gt;0,'[1]REGISTRO ECTS TFT'!$B1240,"")</f>
        <v/>
      </c>
      <c r="T1235">
        <f>'[2]DATOS DOCENTES'!$D1234</f>
        <v>0</v>
      </c>
    </row>
    <row r="1236" spans="19:20">
      <c r="S1236" t="str">
        <f>IF('[1]REGISTRO ECTS TFT'!$J1241&gt;0,'[1]REGISTRO ECTS TFT'!$B1241,"")</f>
        <v/>
      </c>
      <c r="T1236">
        <f>'[2]DATOS DOCENTES'!$D1235</f>
        <v>0</v>
      </c>
    </row>
    <row r="1237" spans="19:20">
      <c r="S1237" t="str">
        <f>IF('[1]REGISTRO ECTS TFT'!$J1242&gt;0,'[1]REGISTRO ECTS TFT'!$B1242,"")</f>
        <v/>
      </c>
      <c r="T1237">
        <f>'[2]DATOS DOCENTES'!$D1236</f>
        <v>0</v>
      </c>
    </row>
    <row r="1238" spans="19:20">
      <c r="S1238" t="str">
        <f>IF('[1]REGISTRO ECTS TFT'!$J1243&gt;0,'[1]REGISTRO ECTS TFT'!$B1243,"")</f>
        <v/>
      </c>
      <c r="T1238">
        <f>'[2]DATOS DOCENTES'!$D1237</f>
        <v>0</v>
      </c>
    </row>
    <row r="1239" spans="19:20">
      <c r="S1239" t="str">
        <f>IF('[1]REGISTRO ECTS TFT'!$J1244&gt;0,'[1]REGISTRO ECTS TFT'!$B1244,"")</f>
        <v/>
      </c>
      <c r="T1239">
        <f>'[2]DATOS DOCENTES'!$D1238</f>
        <v>0</v>
      </c>
    </row>
    <row r="1240" spans="19:20">
      <c r="S1240" t="str">
        <f>IF('[1]REGISTRO ECTS TFT'!$J1245&gt;0,'[1]REGISTRO ECTS TFT'!$B1245,"")</f>
        <v/>
      </c>
      <c r="T1240">
        <f>'[2]DATOS DOCENTES'!$D1239</f>
        <v>0</v>
      </c>
    </row>
    <row r="1241" spans="19:20">
      <c r="S1241" t="str">
        <f>IF('[1]REGISTRO ECTS TFT'!$J1246&gt;0,'[1]REGISTRO ECTS TFT'!$B1246,"")</f>
        <v/>
      </c>
      <c r="T1241">
        <f>'[2]DATOS DOCENTES'!$D1240</f>
        <v>0</v>
      </c>
    </row>
    <row r="1242" spans="19:20">
      <c r="S1242" t="str">
        <f>IF('[1]REGISTRO ECTS TFT'!$J1247&gt;0,'[1]REGISTRO ECTS TFT'!$B1247,"")</f>
        <v/>
      </c>
      <c r="T1242">
        <f>'[2]DATOS DOCENTES'!$D1241</f>
        <v>0</v>
      </c>
    </row>
    <row r="1243" spans="19:20">
      <c r="S1243" t="str">
        <f>IF('[1]REGISTRO ECTS TFT'!$J1248&gt;0,'[1]REGISTRO ECTS TFT'!$B1248,"")</f>
        <v/>
      </c>
      <c r="T1243">
        <f>'[2]DATOS DOCENTES'!$D1242</f>
        <v>0</v>
      </c>
    </row>
    <row r="1244" spans="19:20">
      <c r="S1244" t="str">
        <f>IF('[1]REGISTRO ECTS TFT'!$J1249&gt;0,'[1]REGISTRO ECTS TFT'!$B1249,"")</f>
        <v/>
      </c>
      <c r="T1244">
        <f>'[2]DATOS DOCENTES'!$D1243</f>
        <v>0</v>
      </c>
    </row>
    <row r="1245" spans="19:20">
      <c r="S1245" t="str">
        <f>IF('[1]REGISTRO ECTS TFT'!$J1250&gt;0,'[1]REGISTRO ECTS TFT'!$B1250,"")</f>
        <v/>
      </c>
      <c r="T1245">
        <f>'[2]DATOS DOCENTES'!$D1244</f>
        <v>0</v>
      </c>
    </row>
    <row r="1246" spans="19:20">
      <c r="S1246" t="str">
        <f>IF('[1]REGISTRO ECTS TFT'!$J1251&gt;0,'[1]REGISTRO ECTS TFT'!$B1251,"")</f>
        <v/>
      </c>
      <c r="T1246">
        <f>'[2]DATOS DOCENTES'!$D1245</f>
        <v>0</v>
      </c>
    </row>
    <row r="1247" spans="19:20">
      <c r="S1247" t="str">
        <f>IF('[1]REGISTRO ECTS TFT'!$J1252&gt;0,'[1]REGISTRO ECTS TFT'!$B1252,"")</f>
        <v/>
      </c>
      <c r="T1247">
        <f>'[2]DATOS DOCENTES'!$D1246</f>
        <v>0</v>
      </c>
    </row>
    <row r="1248" spans="19:20">
      <c r="S1248" t="str">
        <f>IF('[1]REGISTRO ECTS TFT'!$J1253&gt;0,'[1]REGISTRO ECTS TFT'!$B1253,"")</f>
        <v/>
      </c>
      <c r="T1248">
        <f>'[2]DATOS DOCENTES'!$D1247</f>
        <v>0</v>
      </c>
    </row>
    <row r="1249" spans="19:20">
      <c r="S1249" t="str">
        <f>IF('[1]REGISTRO ECTS TFT'!$J1254&gt;0,'[1]REGISTRO ECTS TFT'!$B1254,"")</f>
        <v/>
      </c>
      <c r="T1249">
        <f>'[2]DATOS DOCENTES'!$D1248</f>
        <v>0</v>
      </c>
    </row>
    <row r="1250" spans="19:20">
      <c r="S1250" t="str">
        <f>IF('[1]REGISTRO ECTS TFT'!$J1255&gt;0,'[1]REGISTRO ECTS TFT'!$B1255,"")</f>
        <v/>
      </c>
      <c r="T1250">
        <f>'[2]DATOS DOCENTES'!$D1249</f>
        <v>0</v>
      </c>
    </row>
    <row r="1251" spans="19:20">
      <c r="S1251" t="str">
        <f>IF('[1]REGISTRO ECTS TFT'!$J1256&gt;0,'[1]REGISTRO ECTS TFT'!$B1256,"")</f>
        <v/>
      </c>
      <c r="T1251">
        <f>'[2]DATOS DOCENTES'!$D1250</f>
        <v>0</v>
      </c>
    </row>
    <row r="1252" spans="19:20">
      <c r="S1252" t="str">
        <f>IF('[1]REGISTRO ECTS TFT'!$J1257&gt;0,'[1]REGISTRO ECTS TFT'!$B1257,"")</f>
        <v/>
      </c>
      <c r="T1252">
        <f>'[2]DATOS DOCENTES'!$D1251</f>
        <v>0</v>
      </c>
    </row>
    <row r="1253" spans="19:20">
      <c r="S1253" t="str">
        <f>IF('[1]REGISTRO ECTS TFT'!$J1258&gt;0,'[1]REGISTRO ECTS TFT'!$B1258,"")</f>
        <v/>
      </c>
      <c r="T1253">
        <f>'[2]DATOS DOCENTES'!$D1252</f>
        <v>0</v>
      </c>
    </row>
    <row r="1254" spans="19:20">
      <c r="S1254" t="str">
        <f>IF('[1]REGISTRO ECTS TFT'!$J1259&gt;0,'[1]REGISTRO ECTS TFT'!$B1259,"")</f>
        <v/>
      </c>
      <c r="T1254">
        <f>'[2]DATOS DOCENTES'!$D1253</f>
        <v>0</v>
      </c>
    </row>
    <row r="1255" spans="19:20">
      <c r="S1255" t="str">
        <f>IF('[1]REGISTRO ECTS TFT'!$J1260&gt;0,'[1]REGISTRO ECTS TFT'!$B1260,"")</f>
        <v/>
      </c>
      <c r="T1255">
        <f>'[2]DATOS DOCENTES'!$D1254</f>
        <v>0</v>
      </c>
    </row>
    <row r="1256" spans="19:20">
      <c r="S1256" t="str">
        <f>IF('[1]REGISTRO ECTS TFT'!$J1261&gt;0,'[1]REGISTRO ECTS TFT'!$B1261,"")</f>
        <v/>
      </c>
      <c r="T1256">
        <f>'[2]DATOS DOCENTES'!$D1255</f>
        <v>0</v>
      </c>
    </row>
    <row r="1257" spans="19:20">
      <c r="S1257" t="str">
        <f>IF('[1]REGISTRO ECTS TFT'!$J1262&gt;0,'[1]REGISTRO ECTS TFT'!$B1262,"")</f>
        <v/>
      </c>
      <c r="T1257">
        <f>'[2]DATOS DOCENTES'!$D1256</f>
        <v>0</v>
      </c>
    </row>
    <row r="1258" spans="19:20">
      <c r="S1258" t="str">
        <f>IF('[1]REGISTRO ECTS TFT'!$J1263&gt;0,'[1]REGISTRO ECTS TFT'!$B1263,"")</f>
        <v/>
      </c>
      <c r="T1258">
        <f>'[2]DATOS DOCENTES'!$D1257</f>
        <v>0</v>
      </c>
    </row>
    <row r="1259" spans="19:20">
      <c r="S1259" t="str">
        <f>IF('[1]REGISTRO ECTS TFT'!$J1264&gt;0,'[1]REGISTRO ECTS TFT'!$B1264,"")</f>
        <v/>
      </c>
      <c r="T1259">
        <f>'[2]DATOS DOCENTES'!$D1258</f>
        <v>0</v>
      </c>
    </row>
    <row r="1260" spans="19:20">
      <c r="S1260" t="str">
        <f>IF('[1]REGISTRO ECTS TFT'!$J1265&gt;0,'[1]REGISTRO ECTS TFT'!$B1265,"")</f>
        <v/>
      </c>
      <c r="T1260">
        <f>'[2]DATOS DOCENTES'!$D1259</f>
        <v>0</v>
      </c>
    </row>
    <row r="1261" spans="19:20">
      <c r="S1261" t="str">
        <f>IF('[1]REGISTRO ECTS TFT'!$J1266&gt;0,'[1]REGISTRO ECTS TFT'!$B1266,"")</f>
        <v/>
      </c>
      <c r="T1261">
        <f>'[2]DATOS DOCENTES'!$D1260</f>
        <v>0</v>
      </c>
    </row>
    <row r="1262" spans="19:20">
      <c r="S1262" t="str">
        <f>IF('[1]REGISTRO ECTS TFT'!$J1267&gt;0,'[1]REGISTRO ECTS TFT'!$B1267,"")</f>
        <v/>
      </c>
      <c r="T1262">
        <f>'[2]DATOS DOCENTES'!$D1261</f>
        <v>0</v>
      </c>
    </row>
    <row r="1263" spans="19:20">
      <c r="S1263" t="str">
        <f>IF('[1]REGISTRO ECTS TFT'!$J1268&gt;0,'[1]REGISTRO ECTS TFT'!$B1268,"")</f>
        <v/>
      </c>
      <c r="T1263">
        <f>'[2]DATOS DOCENTES'!$D1262</f>
        <v>0</v>
      </c>
    </row>
    <row r="1264" spans="19:20">
      <c r="S1264" t="str">
        <f>IF('[1]REGISTRO ECTS TFT'!$J1269&gt;0,'[1]REGISTRO ECTS TFT'!$B1269,"")</f>
        <v/>
      </c>
      <c r="T1264">
        <f>'[2]DATOS DOCENTES'!$D1263</f>
        <v>0</v>
      </c>
    </row>
    <row r="1265" spans="19:20">
      <c r="S1265" t="str">
        <f>IF('[1]REGISTRO ECTS TFT'!$J1270&gt;0,'[1]REGISTRO ECTS TFT'!$B1270,"")</f>
        <v/>
      </c>
      <c r="T1265">
        <f>'[2]DATOS DOCENTES'!$D1264</f>
        <v>0</v>
      </c>
    </row>
    <row r="1266" spans="19:20">
      <c r="S1266" t="str">
        <f>IF('[1]REGISTRO ECTS TFT'!$J1271&gt;0,'[1]REGISTRO ECTS TFT'!$B1271,"")</f>
        <v/>
      </c>
      <c r="T1266">
        <f>'[2]DATOS DOCENTES'!$D1265</f>
        <v>0</v>
      </c>
    </row>
    <row r="1267" spans="19:20">
      <c r="S1267" t="str">
        <f>IF('[1]REGISTRO ECTS TFT'!$J1272&gt;0,'[1]REGISTRO ECTS TFT'!$B1272,"")</f>
        <v/>
      </c>
      <c r="T1267">
        <f>'[2]DATOS DOCENTES'!$D1266</f>
        <v>0</v>
      </c>
    </row>
    <row r="1268" spans="19:20">
      <c r="S1268" t="str">
        <f>IF('[1]REGISTRO ECTS TFT'!$J1273&gt;0,'[1]REGISTRO ECTS TFT'!$B1273,"")</f>
        <v/>
      </c>
      <c r="T1268">
        <f>'[2]DATOS DOCENTES'!$D1267</f>
        <v>0</v>
      </c>
    </row>
    <row r="1269" spans="19:20">
      <c r="S1269" t="str">
        <f>IF('[1]REGISTRO ECTS TFT'!$J1274&gt;0,'[1]REGISTRO ECTS TFT'!$B1274,"")</f>
        <v/>
      </c>
      <c r="T1269">
        <f>'[2]DATOS DOCENTES'!$D1268</f>
        <v>0</v>
      </c>
    </row>
    <row r="1270" spans="19:20">
      <c r="S1270" t="str">
        <f>IF('[1]REGISTRO ECTS TFT'!$J1275&gt;0,'[1]REGISTRO ECTS TFT'!$B1275,"")</f>
        <v/>
      </c>
      <c r="T1270">
        <f>'[2]DATOS DOCENTES'!$D1269</f>
        <v>0</v>
      </c>
    </row>
    <row r="1271" spans="19:20">
      <c r="S1271" t="str">
        <f>IF('[1]REGISTRO ECTS TFT'!$J1276&gt;0,'[1]REGISTRO ECTS TFT'!$B1276,"")</f>
        <v/>
      </c>
      <c r="T1271">
        <f>'[2]DATOS DOCENTES'!$D1270</f>
        <v>0</v>
      </c>
    </row>
    <row r="1272" spans="19:20">
      <c r="S1272" t="str">
        <f>IF('[1]REGISTRO ECTS TFT'!$J1277&gt;0,'[1]REGISTRO ECTS TFT'!$B1277,"")</f>
        <v/>
      </c>
      <c r="T1272">
        <f>'[2]DATOS DOCENTES'!$D1271</f>
        <v>0</v>
      </c>
    </row>
    <row r="1273" spans="19:20">
      <c r="S1273" t="str">
        <f>IF('[1]REGISTRO ECTS TFT'!$J1278&gt;0,'[1]REGISTRO ECTS TFT'!$B1278,"")</f>
        <v/>
      </c>
      <c r="T1273">
        <f>'[2]DATOS DOCENTES'!$D1272</f>
        <v>0</v>
      </c>
    </row>
    <row r="1274" spans="19:20">
      <c r="S1274" t="str">
        <f>IF('[1]REGISTRO ECTS TFT'!$J1279&gt;0,'[1]REGISTRO ECTS TFT'!$B1279,"")</f>
        <v/>
      </c>
      <c r="T1274">
        <f>'[2]DATOS DOCENTES'!$D1273</f>
        <v>0</v>
      </c>
    </row>
    <row r="1275" spans="19:20">
      <c r="S1275" t="str">
        <f>IF('[1]REGISTRO ECTS TFT'!$J1280&gt;0,'[1]REGISTRO ECTS TFT'!$B1280,"")</f>
        <v/>
      </c>
      <c r="T1275">
        <f>'[2]DATOS DOCENTES'!$D1274</f>
        <v>0</v>
      </c>
    </row>
    <row r="1276" spans="19:20">
      <c r="S1276" t="str">
        <f>IF('[1]REGISTRO ECTS TFT'!$J1281&gt;0,'[1]REGISTRO ECTS TFT'!$B1281,"")</f>
        <v/>
      </c>
      <c r="T1276">
        <f>'[2]DATOS DOCENTES'!$D1275</f>
        <v>0</v>
      </c>
    </row>
    <row r="1277" spans="19:20">
      <c r="S1277" t="str">
        <f>IF('[1]REGISTRO ECTS TFT'!$J1282&gt;0,'[1]REGISTRO ECTS TFT'!$B1282,"")</f>
        <v/>
      </c>
      <c r="T1277">
        <f>'[2]DATOS DOCENTES'!$D1276</f>
        <v>0</v>
      </c>
    </row>
    <row r="1278" spans="19:20">
      <c r="S1278" t="str">
        <f>IF('[1]REGISTRO ECTS TFT'!$J1283&gt;0,'[1]REGISTRO ECTS TFT'!$B1283,"")</f>
        <v/>
      </c>
      <c r="T1278">
        <f>'[2]DATOS DOCENTES'!$D1277</f>
        <v>0</v>
      </c>
    </row>
    <row r="1279" spans="19:20">
      <c r="S1279" t="str">
        <f>IF('[1]REGISTRO ECTS TFT'!$J1284&gt;0,'[1]REGISTRO ECTS TFT'!$B1284,"")</f>
        <v/>
      </c>
      <c r="T1279">
        <f>'[2]DATOS DOCENTES'!$D1278</f>
        <v>0</v>
      </c>
    </row>
    <row r="1280" spans="19:20">
      <c r="S1280" t="str">
        <f>IF('[1]REGISTRO ECTS TFT'!$J1285&gt;0,'[1]REGISTRO ECTS TFT'!$B1285,"")</f>
        <v/>
      </c>
      <c r="T1280">
        <f>'[2]DATOS DOCENTES'!$D1279</f>
        <v>0</v>
      </c>
    </row>
    <row r="1281" spans="19:20">
      <c r="S1281" t="str">
        <f>IF('[1]REGISTRO ECTS TFT'!$J1286&gt;0,'[1]REGISTRO ECTS TFT'!$B1286,"")</f>
        <v/>
      </c>
      <c r="T1281">
        <f>'[2]DATOS DOCENTES'!$D1280</f>
        <v>0</v>
      </c>
    </row>
    <row r="1282" spans="19:20">
      <c r="S1282" t="str">
        <f>IF('[1]REGISTRO ECTS TFT'!$J1287&gt;0,'[1]REGISTRO ECTS TFT'!$B1287,"")</f>
        <v/>
      </c>
      <c r="T1282">
        <f>'[2]DATOS DOCENTES'!$D1281</f>
        <v>0</v>
      </c>
    </row>
    <row r="1283" spans="19:20">
      <c r="S1283" t="str">
        <f>IF('[1]REGISTRO ECTS TFT'!$J1288&gt;0,'[1]REGISTRO ECTS TFT'!$B1288,"")</f>
        <v/>
      </c>
      <c r="T1283">
        <f>'[2]DATOS DOCENTES'!$D1282</f>
        <v>0</v>
      </c>
    </row>
    <row r="1284" spans="19:20">
      <c r="S1284" t="str">
        <f>IF('[1]REGISTRO ECTS TFT'!$J1289&gt;0,'[1]REGISTRO ECTS TFT'!$B1289,"")</f>
        <v/>
      </c>
      <c r="T1284">
        <f>'[2]DATOS DOCENTES'!$D1283</f>
        <v>0</v>
      </c>
    </row>
    <row r="1285" spans="19:20">
      <c r="S1285" t="str">
        <f>IF('[1]REGISTRO ECTS TFT'!$J1290&gt;0,'[1]REGISTRO ECTS TFT'!$B1290,"")</f>
        <v/>
      </c>
      <c r="T1285">
        <f>'[2]DATOS DOCENTES'!$D1284</f>
        <v>0</v>
      </c>
    </row>
    <row r="1286" spans="19:20">
      <c r="S1286" t="str">
        <f>IF('[1]REGISTRO ECTS TFT'!$J1291&gt;0,'[1]REGISTRO ECTS TFT'!$B1291,"")</f>
        <v/>
      </c>
      <c r="T1286">
        <f>'[2]DATOS DOCENTES'!$D1285</f>
        <v>0</v>
      </c>
    </row>
    <row r="1287" spans="19:20">
      <c r="S1287" t="str">
        <f>IF('[1]REGISTRO ECTS TFT'!$J1292&gt;0,'[1]REGISTRO ECTS TFT'!$B1292,"")</f>
        <v/>
      </c>
      <c r="T1287">
        <f>'[2]DATOS DOCENTES'!$D1286</f>
        <v>0</v>
      </c>
    </row>
    <row r="1288" spans="19:20">
      <c r="S1288" t="str">
        <f>IF('[1]REGISTRO ECTS TFT'!$J1293&gt;0,'[1]REGISTRO ECTS TFT'!$B1293,"")</f>
        <v/>
      </c>
      <c r="T1288">
        <f>'[2]DATOS DOCENTES'!$D1287</f>
        <v>0</v>
      </c>
    </row>
    <row r="1289" spans="19:20">
      <c r="S1289" t="str">
        <f>IF('[1]REGISTRO ECTS TFT'!$J1294&gt;0,'[1]REGISTRO ECTS TFT'!$B1294,"")</f>
        <v/>
      </c>
      <c r="T1289">
        <f>'[2]DATOS DOCENTES'!$D1288</f>
        <v>0</v>
      </c>
    </row>
    <row r="1290" spans="19:20">
      <c r="S1290" t="str">
        <f>IF('[1]REGISTRO ECTS TFT'!$J1295&gt;0,'[1]REGISTRO ECTS TFT'!$B1295,"")</f>
        <v/>
      </c>
      <c r="T1290">
        <f>'[2]DATOS DOCENTES'!$D1289</f>
        <v>0</v>
      </c>
    </row>
    <row r="1291" spans="19:20">
      <c r="S1291" t="str">
        <f>IF('[1]REGISTRO ECTS TFT'!$J1296&gt;0,'[1]REGISTRO ECTS TFT'!$B1296,"")</f>
        <v/>
      </c>
      <c r="T1291">
        <f>'[2]DATOS DOCENTES'!$D1290</f>
        <v>0</v>
      </c>
    </row>
    <row r="1292" spans="19:20">
      <c r="S1292" t="str">
        <f>IF('[1]REGISTRO ECTS TFT'!$J1297&gt;0,'[1]REGISTRO ECTS TFT'!$B1297,"")</f>
        <v/>
      </c>
      <c r="T1292">
        <f>'[2]DATOS DOCENTES'!$D1291</f>
        <v>0</v>
      </c>
    </row>
    <row r="1293" spans="19:20">
      <c r="S1293" t="str">
        <f>IF('[1]REGISTRO ECTS TFT'!$J1298&gt;0,'[1]REGISTRO ECTS TFT'!$B1298,"")</f>
        <v/>
      </c>
      <c r="T1293">
        <f>'[2]DATOS DOCENTES'!$D1292</f>
        <v>0</v>
      </c>
    </row>
    <row r="1294" spans="19:20">
      <c r="S1294" t="str">
        <f>IF('[1]REGISTRO ECTS TFT'!$J1299&gt;0,'[1]REGISTRO ECTS TFT'!$B1299,"")</f>
        <v/>
      </c>
      <c r="T1294">
        <f>'[2]DATOS DOCENTES'!$D1293</f>
        <v>0</v>
      </c>
    </row>
    <row r="1295" spans="19:20">
      <c r="S1295" t="str">
        <f>IF('[1]REGISTRO ECTS TFT'!$J1300&gt;0,'[1]REGISTRO ECTS TFT'!$B1300,"")</f>
        <v/>
      </c>
      <c r="T1295">
        <f>'[2]DATOS DOCENTES'!$D1294</f>
        <v>0</v>
      </c>
    </row>
    <row r="1296" spans="19:20">
      <c r="S1296" t="str">
        <f>IF('[1]REGISTRO ECTS TFT'!$J1301&gt;0,'[1]REGISTRO ECTS TFT'!$B1301,"")</f>
        <v/>
      </c>
      <c r="T1296">
        <f>'[2]DATOS DOCENTES'!$D1295</f>
        <v>0</v>
      </c>
    </row>
    <row r="1297" spans="19:20">
      <c r="S1297" t="str">
        <f>IF('[1]REGISTRO ECTS TFT'!$J1302&gt;0,'[1]REGISTRO ECTS TFT'!$B1302,"")</f>
        <v/>
      </c>
      <c r="T1297">
        <f>'[2]DATOS DOCENTES'!$D1296</f>
        <v>0</v>
      </c>
    </row>
    <row r="1298" spans="19:20">
      <c r="S1298" t="str">
        <f>IF('[1]REGISTRO ECTS TFT'!$J1303&gt;0,'[1]REGISTRO ECTS TFT'!$B1303,"")</f>
        <v/>
      </c>
      <c r="T1298">
        <f>'[2]DATOS DOCENTES'!$D1297</f>
        <v>0</v>
      </c>
    </row>
    <row r="1299" spans="19:20">
      <c r="S1299" t="str">
        <f>IF('[1]REGISTRO ECTS TFT'!$J1304&gt;0,'[1]REGISTRO ECTS TFT'!$B1304,"")</f>
        <v/>
      </c>
      <c r="T1299">
        <f>'[2]DATOS DOCENTES'!$D1298</f>
        <v>0</v>
      </c>
    </row>
    <row r="1300" spans="19:20">
      <c r="S1300" t="str">
        <f>IF('[1]REGISTRO ECTS TFT'!$J1305&gt;0,'[1]REGISTRO ECTS TFT'!$B1305,"")</f>
        <v/>
      </c>
      <c r="T1300">
        <f>'[2]DATOS DOCENTES'!$D1299</f>
        <v>0</v>
      </c>
    </row>
  </sheetData>
  <sheetProtection algorithmName="SHA-512" hashValue="T+TrGCSdBlsgGoFbJv+xbtMwdJaXVzs3OYLa/tG5tOsM+88HDgUVhdyMrerBpvPYxYCNP/vPDOr+BQ/6gvoLUA==" saltValue="3gWgrdpv7TZR7AaXrgoArQ==" spinCount="100000" sheet="1" objects="1" scenarios="1" autoFilter="0"/>
  <autoFilter ref="B4:I78" xr:uid="{3FD73666-9F49-49C2-869F-AB43E620CB60}"/>
  <conditionalFormatting sqref="B6:B500">
    <cfRule type="expression" dxfId="4" priority="1">
      <formula>$D6=$C6</formula>
    </cfRule>
    <cfRule type="expression" dxfId="3" priority="2">
      <formula>$D6&lt;$C6</formula>
    </cfRule>
    <cfRule type="expression" dxfId="2" priority="3">
      <formula>$D6&gt;$C6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991"/>
  <sheetViews>
    <sheetView workbookViewId="0"/>
  </sheetViews>
  <sheetFormatPr defaultColWidth="12.625" defaultRowHeight="15" customHeight="1"/>
  <cols>
    <col min="1" max="1" width="28.5" customWidth="1"/>
  </cols>
  <sheetData>
    <row r="1" spans="1:4" ht="30" customHeight="1">
      <c r="A1" s="15" t="s">
        <v>426</v>
      </c>
      <c r="B1" s="15" t="s">
        <v>434</v>
      </c>
      <c r="C1" s="15" t="s">
        <v>435</v>
      </c>
      <c r="D1" s="15" t="s">
        <v>436</v>
      </c>
    </row>
    <row r="2" spans="1:4" ht="14.25">
      <c r="A2" s="16" t="s">
        <v>437</v>
      </c>
      <c r="B2" s="16" t="s">
        <v>438</v>
      </c>
      <c r="C2" s="16" t="s">
        <v>439</v>
      </c>
      <c r="D2" s="17" t="s">
        <v>440</v>
      </c>
    </row>
    <row r="3" spans="1:4" ht="14.25">
      <c r="A3" s="16" t="str">
        <f ca="1">IFERROR(__xludf.UNSUPPORTED("""COMPUTED_VALUE"""),"Abarca Sos, Alberto")</f>
        <v>Abarca Sos, Alberto</v>
      </c>
      <c r="B3" s="16" t="str">
        <f ca="1">IFERROR(__xludf.UNSUPPORTED("""COMPUTED_VALUE"""),"Abarca Sos")</f>
        <v>Abarca Sos</v>
      </c>
      <c r="C3" s="16" t="str">
        <f ca="1">IFERROR(__xludf.UNSUPPORTED("""COMPUTED_VALUE"""),"Alberto")</f>
        <v>Alberto</v>
      </c>
      <c r="D3" s="16" t="str">
        <f ca="1">IFERROR(__xludf.UNSUPPORTED("""COMPUTED_VALUE"""),"25191300K")</f>
        <v>25191300K</v>
      </c>
    </row>
    <row r="4" spans="1:4" ht="14.25">
      <c r="A4" s="16" t="str">
        <f ca="1">IFERROR(__xludf.UNSUPPORTED("""COMPUTED_VALUE"""),"Abarca Torralba, Mari Carmen")</f>
        <v>Abarca Torralba, Mari Carmen</v>
      </c>
      <c r="B4" s="16" t="str">
        <f ca="1">IFERROR(__xludf.UNSUPPORTED("""COMPUTED_VALUE"""),"Abarca Torralba")</f>
        <v>Abarca Torralba</v>
      </c>
      <c r="C4" s="16" t="str">
        <f ca="1">IFERROR(__xludf.UNSUPPORTED("""COMPUTED_VALUE"""),"Mari Carmen")</f>
        <v>Mari Carmen</v>
      </c>
      <c r="D4" s="16" t="str">
        <f ca="1">IFERROR(__xludf.UNSUPPORTED("""COMPUTED_VALUE"""),"25412227X")</f>
        <v>25412227X</v>
      </c>
    </row>
    <row r="5" spans="1:4" ht="14.25">
      <c r="A5" s="16" t="str">
        <f ca="1">IFERROR(__xludf.UNSUPPORTED("""COMPUTED_VALUE"""),"Abellán Sánchez, María del Rosario")</f>
        <v>Abellán Sánchez, María del Rosario</v>
      </c>
      <c r="B5" s="16" t="str">
        <f ca="1">IFERROR(__xludf.UNSUPPORTED("""COMPUTED_VALUE"""),"Abellán Sánchez")</f>
        <v>Abellán Sánchez</v>
      </c>
      <c r="C5" s="16" t="str">
        <f ca="1">IFERROR(__xludf.UNSUPPORTED("""COMPUTED_VALUE"""),"María del Rosario")</f>
        <v>María del Rosario</v>
      </c>
      <c r="D5" s="16" t="str">
        <f ca="1">IFERROR(__xludf.UNSUPPORTED("""COMPUTED_VALUE"""),"46615013Q")</f>
        <v>46615013Q</v>
      </c>
    </row>
    <row r="6" spans="1:4" ht="14.25">
      <c r="A6" s="16" t="str">
        <f ca="1">IFERROR(__xludf.UNSUPPORTED("""COMPUTED_VALUE"""),"Acebes Sánchez, Jorge")</f>
        <v>Acebes Sánchez, Jorge</v>
      </c>
      <c r="B6" s="16" t="str">
        <f ca="1">IFERROR(__xludf.UNSUPPORTED("""COMPUTED_VALUE"""),"Acebes Sánchez")</f>
        <v>Acebes Sánchez</v>
      </c>
      <c r="C6" s="16" t="str">
        <f ca="1">IFERROR(__xludf.UNSUPPORTED("""COMPUTED_VALUE"""),"Jorge")</f>
        <v>Jorge</v>
      </c>
      <c r="D6" s="16" t="str">
        <f ca="1">IFERROR(__xludf.UNSUPPORTED("""COMPUTED_VALUE"""),"08933309V")</f>
        <v>08933309V</v>
      </c>
    </row>
    <row r="7" spans="1:4" ht="14.25">
      <c r="A7" s="16" t="str">
        <f ca="1">IFERROR(__xludf.UNSUPPORTED("""COMPUTED_VALUE"""),"Acosta Pérez, Irene")</f>
        <v>Acosta Pérez, Irene</v>
      </c>
      <c r="B7" s="16" t="str">
        <f ca="1">IFERROR(__xludf.UNSUPPORTED("""COMPUTED_VALUE"""),"Acosta Pérez")</f>
        <v>Acosta Pérez</v>
      </c>
      <c r="C7" s="16" t="str">
        <f ca="1">IFERROR(__xludf.UNSUPPORTED("""COMPUTED_VALUE"""),"Irene")</f>
        <v>Irene</v>
      </c>
      <c r="D7" s="16" t="str">
        <f ca="1">IFERROR(__xludf.UNSUPPORTED("""COMPUTED_VALUE"""),"54113650D")</f>
        <v>54113650D</v>
      </c>
    </row>
    <row r="8" spans="1:4" ht="14.25">
      <c r="A8" s="16" t="str">
        <f ca="1">IFERROR(__xludf.UNSUPPORTED("""COMPUTED_VALUE"""),"Acosta Pumarejo, Enrique")</f>
        <v>Acosta Pumarejo, Enrique</v>
      </c>
      <c r="B8" s="16" t="str">
        <f ca="1">IFERROR(__xludf.UNSUPPORTED("""COMPUTED_VALUE"""),"Acosta Pumarejo")</f>
        <v>Acosta Pumarejo</v>
      </c>
      <c r="C8" s="16" t="str">
        <f ca="1">IFERROR(__xludf.UNSUPPORTED("""COMPUTED_VALUE"""),"Enrique")</f>
        <v>Enrique</v>
      </c>
      <c r="D8" s="16" t="str">
        <f ca="1">IFERROR(__xludf.UNSUPPORTED("""COMPUTED_VALUE"""),"09898018Z")</f>
        <v>09898018Z</v>
      </c>
    </row>
    <row r="9" spans="1:4" ht="14.25">
      <c r="A9" s="16" t="str">
        <f ca="1">IFERROR(__xludf.UNSUPPORTED("""COMPUTED_VALUE"""),"Adam Artigues, Anna")</f>
        <v>Adam Artigues, Anna</v>
      </c>
      <c r="B9" s="16" t="str">
        <f ca="1">IFERROR(__xludf.UNSUPPORTED("""COMPUTED_VALUE"""),"Adam Artigues")</f>
        <v>Adam Artigues</v>
      </c>
      <c r="C9" s="16" t="str">
        <f ca="1">IFERROR(__xludf.UNSUPPORTED("""COMPUTED_VALUE"""),"Anna")</f>
        <v>Anna</v>
      </c>
      <c r="D9" s="16" t="str">
        <f ca="1">IFERROR(__xludf.UNSUPPORTED("""COMPUTED_VALUE"""),"53626940W")</f>
        <v>53626940W</v>
      </c>
    </row>
    <row r="10" spans="1:4" ht="14.25">
      <c r="A10" s="16" t="str">
        <f ca="1">IFERROR(__xludf.UNSUPPORTED("""COMPUTED_VALUE"""),"Aguayo Romero, Virginia")</f>
        <v>Aguayo Romero, Virginia</v>
      </c>
      <c r="B10" s="16" t="str">
        <f ca="1">IFERROR(__xludf.UNSUPPORTED("""COMPUTED_VALUE"""),"Aguayo Romero")</f>
        <v>Aguayo Romero</v>
      </c>
      <c r="C10" s="16" t="str">
        <f ca="1">IFERROR(__xludf.UNSUPPORTED("""COMPUTED_VALUE"""),"Virginia")</f>
        <v>Virginia</v>
      </c>
      <c r="D10" s="16" t="str">
        <f ca="1">IFERROR(__xludf.UNSUPPORTED("""COMPUTED_VALUE"""),"05712817P")</f>
        <v>05712817P</v>
      </c>
    </row>
    <row r="11" spans="1:4" ht="14.25">
      <c r="A11" s="16" t="str">
        <f ca="1">IFERROR(__xludf.UNSUPPORTED("""COMPUTED_VALUE"""),"Aguilera Martínez, Penélope")</f>
        <v>Aguilera Martínez, Penélope</v>
      </c>
      <c r="B11" s="16" t="str">
        <f ca="1">IFERROR(__xludf.UNSUPPORTED("""COMPUTED_VALUE"""),"Aguilera Martínez")</f>
        <v>Aguilera Martínez</v>
      </c>
      <c r="C11" s="16" t="str">
        <f ca="1">IFERROR(__xludf.UNSUPPORTED("""COMPUTED_VALUE"""),"Penélope")</f>
        <v>Penélope</v>
      </c>
      <c r="D11" s="16" t="str">
        <f ca="1">IFERROR(__xludf.UNSUPPORTED("""COMPUTED_VALUE"""),"78978032B")</f>
        <v>78978032B</v>
      </c>
    </row>
    <row r="12" spans="1:4" ht="14.25">
      <c r="A12" s="16" t="str">
        <f ca="1">IFERROR(__xludf.UNSUPPORTED("""COMPUTED_VALUE"""),"Agustí López, Ana Isabel")</f>
        <v>Agustí López, Ana Isabel</v>
      </c>
      <c r="B12" s="16" t="str">
        <f ca="1">IFERROR(__xludf.UNSUPPORTED("""COMPUTED_VALUE"""),"Agustí López")</f>
        <v>Agustí López</v>
      </c>
      <c r="C12" s="16" t="str">
        <f ca="1">IFERROR(__xludf.UNSUPPORTED("""COMPUTED_VALUE"""),"Ana Isabel")</f>
        <v>Ana Isabel</v>
      </c>
      <c r="D12" s="16" t="str">
        <f ca="1">IFERROR(__xludf.UNSUPPORTED("""COMPUTED_VALUE"""),"20457022V")</f>
        <v>20457022V</v>
      </c>
    </row>
    <row r="13" spans="1:4" ht="14.25">
      <c r="A13" s="16" t="str">
        <f ca="1">IFERROR(__xludf.UNSUPPORTED("""COMPUTED_VALUE"""),"Alabadí Pardiñes, Blanca")</f>
        <v>Alabadí Pardiñes, Blanca</v>
      </c>
      <c r="B13" s="16" t="str">
        <f ca="1">IFERROR(__xludf.UNSUPPORTED("""COMPUTED_VALUE"""),"Alabadí Pardiñes")</f>
        <v>Alabadí Pardiñes</v>
      </c>
      <c r="C13" s="16" t="str">
        <f ca="1">IFERROR(__xludf.UNSUPPORTED("""COMPUTED_VALUE"""),"Blanca")</f>
        <v>Blanca</v>
      </c>
      <c r="D13" s="16" t="str">
        <f ca="1">IFERROR(__xludf.UNSUPPORTED("""COMPUTED_VALUE"""),"45911043F")</f>
        <v>45911043F</v>
      </c>
    </row>
    <row r="14" spans="1:4" ht="14.25">
      <c r="A14" s="16" t="str">
        <f ca="1">IFERROR(__xludf.UNSUPPORTED("""COMPUTED_VALUE"""),"Alaminos Hervás, María Dolores")</f>
        <v>Alaminos Hervás, María Dolores</v>
      </c>
      <c r="B14" s="16" t="str">
        <f ca="1">IFERROR(__xludf.UNSUPPORTED("""COMPUTED_VALUE"""),"Alaminos Hervás")</f>
        <v>Alaminos Hervás</v>
      </c>
      <c r="C14" s="16" t="str">
        <f ca="1">IFERROR(__xludf.UNSUPPORTED("""COMPUTED_VALUE"""),"María Dolores")</f>
        <v>María Dolores</v>
      </c>
      <c r="D14" s="16" t="str">
        <f ca="1">IFERROR(__xludf.UNSUPPORTED("""COMPUTED_VALUE"""),"02896070W")</f>
        <v>02896070W</v>
      </c>
    </row>
    <row r="15" spans="1:4" ht="14.25">
      <c r="A15" s="16" t="str">
        <f ca="1">IFERROR(__xludf.UNSUPPORTED("""COMPUTED_VALUE"""),"Alarco Rosales, Raquel")</f>
        <v>Alarco Rosales, Raquel</v>
      </c>
      <c r="B15" s="16" t="str">
        <f ca="1">IFERROR(__xludf.UNSUPPORTED("""COMPUTED_VALUE"""),"Alarco Rosales")</f>
        <v>Alarco Rosales</v>
      </c>
      <c r="C15" s="16" t="str">
        <f ca="1">IFERROR(__xludf.UNSUPPORTED("""COMPUTED_VALUE"""),"Raquel")</f>
        <v>Raquel</v>
      </c>
      <c r="D15" s="16" t="str">
        <f ca="1">IFERROR(__xludf.UNSUPPORTED("""COMPUTED_VALUE"""),"44879197X")</f>
        <v>44879197X</v>
      </c>
    </row>
    <row r="16" spans="1:4" ht="14.25">
      <c r="A16" s="16" t="str">
        <f ca="1">IFERROR(__xludf.UNSUPPORTED("""COMPUTED_VALUE"""),"Alba Muñoz, Julen")</f>
        <v>Alba Muñoz, Julen</v>
      </c>
      <c r="B16" s="16" t="str">
        <f ca="1">IFERROR(__xludf.UNSUPPORTED("""COMPUTED_VALUE"""),"Alba Muñoz")</f>
        <v>Alba Muñoz</v>
      </c>
      <c r="C16" s="16" t="str">
        <f ca="1">IFERROR(__xludf.UNSUPPORTED("""COMPUTED_VALUE"""),"Julen")</f>
        <v>Julen</v>
      </c>
      <c r="D16" s="16" t="str">
        <f ca="1">IFERROR(__xludf.UNSUPPORTED("""COMPUTED_VALUE"""),"16071571E")</f>
        <v>16071571E</v>
      </c>
    </row>
    <row r="17" spans="1:4" ht="14.25">
      <c r="A17" s="16" t="str">
        <f ca="1">IFERROR(__xludf.UNSUPPORTED("""COMPUTED_VALUE"""),"Albaladejo Perales, Rosa María")</f>
        <v>Albaladejo Perales, Rosa María</v>
      </c>
      <c r="B17" s="16" t="str">
        <f ca="1">IFERROR(__xludf.UNSUPPORTED("""COMPUTED_VALUE"""),"Albaladejo Perales")</f>
        <v>Albaladejo Perales</v>
      </c>
      <c r="C17" s="16" t="str">
        <f ca="1">IFERROR(__xludf.UNSUPPORTED("""COMPUTED_VALUE"""),"Rosa María")</f>
        <v>Rosa María</v>
      </c>
      <c r="D17" s="16" t="str">
        <f ca="1">IFERROR(__xludf.UNSUPPORTED("""COMPUTED_VALUE"""),"45568697Q")</f>
        <v>45568697Q</v>
      </c>
    </row>
    <row r="18" spans="1:4" ht="14.25">
      <c r="A18" s="16" t="str">
        <f ca="1">IFERROR(__xludf.UNSUPPORTED("""COMPUTED_VALUE"""),"Alberola Enguix, Salvador")</f>
        <v>Alberola Enguix, Salvador</v>
      </c>
      <c r="B18" s="16" t="str">
        <f ca="1">IFERROR(__xludf.UNSUPPORTED("""COMPUTED_VALUE"""),"Alberola Enguix")</f>
        <v>Alberola Enguix</v>
      </c>
      <c r="C18" s="16" t="str">
        <f ca="1">IFERROR(__xludf.UNSUPPORTED("""COMPUTED_VALUE"""),"Salvador")</f>
        <v>Salvador</v>
      </c>
      <c r="D18" s="16" t="str">
        <f ca="1">IFERROR(__xludf.UNSUPPORTED("""COMPUTED_VALUE"""),"20035516D")</f>
        <v>20035516D</v>
      </c>
    </row>
    <row r="19" spans="1:4" ht="14.25">
      <c r="A19" s="16" t="str">
        <f ca="1">IFERROR(__xludf.UNSUPPORTED("""COMPUTED_VALUE"""),"Alconada Padilla, Roberto")</f>
        <v>Alconada Padilla, Roberto</v>
      </c>
      <c r="B19" s="16" t="str">
        <f ca="1">IFERROR(__xludf.UNSUPPORTED("""COMPUTED_VALUE"""),"Alconada Padilla")</f>
        <v>Alconada Padilla</v>
      </c>
      <c r="C19" s="16" t="str">
        <f ca="1">IFERROR(__xludf.UNSUPPORTED("""COMPUTED_VALUE"""),"Roberto")</f>
        <v>Roberto</v>
      </c>
      <c r="D19" s="16" t="str">
        <f ca="1">IFERROR(__xludf.UNSUPPORTED("""COMPUTED_VALUE"""),"20060747D")</f>
        <v>20060747D</v>
      </c>
    </row>
    <row r="20" spans="1:4" ht="14.25">
      <c r="A20" s="16" t="str">
        <f ca="1">IFERROR(__xludf.UNSUPPORTED("""COMPUTED_VALUE"""),"Alhambra Borrás, Tamara")</f>
        <v>Alhambra Borrás, Tamara</v>
      </c>
      <c r="B20" s="16" t="str">
        <f ca="1">IFERROR(__xludf.UNSUPPORTED("""COMPUTED_VALUE"""),"Alhambra Borrás")</f>
        <v>Alhambra Borrás</v>
      </c>
      <c r="C20" s="16" t="str">
        <f ca="1">IFERROR(__xludf.UNSUPPORTED("""COMPUTED_VALUE"""),"Tamara")</f>
        <v>Tamara</v>
      </c>
      <c r="D20" s="16" t="str">
        <f ca="1">IFERROR(__xludf.UNSUPPORTED("""COMPUTED_VALUE"""),"45798873P")</f>
        <v>45798873P</v>
      </c>
    </row>
    <row r="21" spans="1:4" ht="14.25">
      <c r="A21" s="16" t="str">
        <f ca="1">IFERROR(__xludf.UNSUPPORTED("""COMPUTED_VALUE"""),"Aliño Costa, Marta")</f>
        <v>Aliño Costa, Marta</v>
      </c>
      <c r="B21" s="16" t="str">
        <f ca="1">IFERROR(__xludf.UNSUPPORTED("""COMPUTED_VALUE"""),"Aliño Costa")</f>
        <v>Aliño Costa</v>
      </c>
      <c r="C21" s="16" t="str">
        <f ca="1">IFERROR(__xludf.UNSUPPORTED("""COMPUTED_VALUE"""),"Marta")</f>
        <v>Marta</v>
      </c>
      <c r="D21" s="16" t="str">
        <f ca="1">IFERROR(__xludf.UNSUPPORTED("""COMPUTED_VALUE"""),"20847305J")</f>
        <v>20847305J</v>
      </c>
    </row>
    <row r="22" spans="1:4" ht="14.25">
      <c r="A22" s="16" t="str">
        <f ca="1">IFERROR(__xludf.UNSUPPORTED("""COMPUTED_VALUE"""),"Almaraz Morocho, David")</f>
        <v>Almaraz Morocho, David</v>
      </c>
      <c r="B22" s="16" t="str">
        <f ca="1">IFERROR(__xludf.UNSUPPORTED("""COMPUTED_VALUE"""),"Almaraz Morocho")</f>
        <v>Almaraz Morocho</v>
      </c>
      <c r="C22" s="16" t="str">
        <f ca="1">IFERROR(__xludf.UNSUPPORTED("""COMPUTED_VALUE"""),"David")</f>
        <v>David</v>
      </c>
      <c r="D22" s="16" t="str">
        <f ca="1">IFERROR(__xludf.UNSUPPORTED("""COMPUTED_VALUE"""),"70902210H")</f>
        <v>70902210H</v>
      </c>
    </row>
    <row r="23" spans="1:4" ht="14.25">
      <c r="A23" s="16" t="str">
        <f ca="1">IFERROR(__xludf.UNSUPPORTED("""COMPUTED_VALUE"""),"Almeida Toledano, Laura")</f>
        <v>Almeida Toledano, Laura</v>
      </c>
      <c r="B23" s="16" t="str">
        <f ca="1">IFERROR(__xludf.UNSUPPORTED("""COMPUTED_VALUE"""),"Almeida Toledano")</f>
        <v>Almeida Toledano</v>
      </c>
      <c r="C23" s="16" t="str">
        <f ca="1">IFERROR(__xludf.UNSUPPORTED("""COMPUTED_VALUE"""),"Laura")</f>
        <v>Laura</v>
      </c>
      <c r="D23" s="16" t="str">
        <f ca="1">IFERROR(__xludf.UNSUPPORTED("""COMPUTED_VALUE"""),"53073953G")</f>
        <v>53073953G</v>
      </c>
    </row>
    <row r="24" spans="1:4" ht="14.25">
      <c r="A24" s="16" t="str">
        <f ca="1">IFERROR(__xludf.UNSUPPORTED("""COMPUTED_VALUE"""),"Alonso del Real Arias, Javier")</f>
        <v>Alonso del Real Arias, Javier</v>
      </c>
      <c r="B24" s="16" t="str">
        <f ca="1">IFERROR(__xludf.UNSUPPORTED("""COMPUTED_VALUE"""),"Alonso del Real Arias")</f>
        <v>Alonso del Real Arias</v>
      </c>
      <c r="C24" s="16" t="str">
        <f ca="1">IFERROR(__xludf.UNSUPPORTED("""COMPUTED_VALUE"""),"Javier")</f>
        <v>Javier</v>
      </c>
      <c r="D24" s="16" t="str">
        <f ca="1">IFERROR(__xludf.UNSUPPORTED("""COMPUTED_VALUE"""),"53353764C")</f>
        <v>53353764C</v>
      </c>
    </row>
    <row r="25" spans="1:4" ht="14.25">
      <c r="A25" s="16" t="str">
        <f ca="1">IFERROR(__xludf.UNSUPPORTED("""COMPUTED_VALUE"""),"Alonso Riera, María Ángeles")</f>
        <v>Alonso Riera, María Ángeles</v>
      </c>
      <c r="B25" s="16" t="str">
        <f ca="1">IFERROR(__xludf.UNSUPPORTED("""COMPUTED_VALUE"""),"Alonso Riera")</f>
        <v>Alonso Riera</v>
      </c>
      <c r="C25" s="16" t="str">
        <f ca="1">IFERROR(__xludf.UNSUPPORTED("""COMPUTED_VALUE"""),"María Ángeles")</f>
        <v>María Ángeles</v>
      </c>
      <c r="D25" s="16" t="str">
        <f ca="1">IFERROR(__xludf.UNSUPPORTED("""COMPUTED_VALUE"""),"02094621B")</f>
        <v>02094621B</v>
      </c>
    </row>
    <row r="26" spans="1:4" ht="14.25">
      <c r="A26" s="16" t="str">
        <f ca="1">IFERROR(__xludf.UNSUPPORTED("""COMPUTED_VALUE"""),"Alvarado Muñoz-Quiros, Ayla María")</f>
        <v>Alvarado Muñoz-Quiros, Ayla María</v>
      </c>
      <c r="B26" s="16" t="str">
        <f ca="1">IFERROR(__xludf.UNSUPPORTED("""COMPUTED_VALUE"""),"Alvarado Muñoz-Quiros")</f>
        <v>Alvarado Muñoz-Quiros</v>
      </c>
      <c r="C26" s="16" t="str">
        <f ca="1">IFERROR(__xludf.UNSUPPORTED("""COMPUTED_VALUE"""),"Ayla María")</f>
        <v>Ayla María</v>
      </c>
      <c r="D26" s="16" t="str">
        <f ca="1">IFERROR(__xludf.UNSUPPORTED("""COMPUTED_VALUE"""),"74368051N")</f>
        <v>74368051N</v>
      </c>
    </row>
    <row r="27" spans="1:4" ht="14.25">
      <c r="A27" s="16" t="str">
        <f ca="1">IFERROR(__xludf.UNSUPPORTED("""COMPUTED_VALUE"""),"Alvarenga Capurró, Claudia Beatriz")</f>
        <v>Alvarenga Capurró, Claudia Beatriz</v>
      </c>
      <c r="B27" s="16" t="str">
        <f ca="1">IFERROR(__xludf.UNSUPPORTED("""COMPUTED_VALUE"""),"Alvarenga Capurró")</f>
        <v>Alvarenga Capurró</v>
      </c>
      <c r="C27" s="16" t="str">
        <f ca="1">IFERROR(__xludf.UNSUPPORTED("""COMPUTED_VALUE"""),"Claudia Beatriz")</f>
        <v>Claudia Beatriz</v>
      </c>
      <c r="D27" s="16" t="str">
        <f ca="1">IFERROR(__xludf.UNSUPPORTED("""COMPUTED_VALUE"""),"47279592X")</f>
        <v>47279592X</v>
      </c>
    </row>
    <row r="28" spans="1:4" ht="14.25">
      <c r="A28" s="16" t="str">
        <f ca="1">IFERROR(__xludf.UNSUPPORTED("""COMPUTED_VALUE"""),"Álvarez de Toledo Blandon, María de la Paloma")</f>
        <v>Álvarez de Toledo Blandon, María de la Paloma</v>
      </c>
      <c r="B28" s="16" t="str">
        <f ca="1">IFERROR(__xludf.UNSUPPORTED("""COMPUTED_VALUE"""),"Álvarez de Toledo Blandon")</f>
        <v>Álvarez de Toledo Blandon</v>
      </c>
      <c r="C28" s="16" t="str">
        <f ca="1">IFERROR(__xludf.UNSUPPORTED("""COMPUTED_VALUE"""),"María de la Paloma")</f>
        <v>María de la Paloma</v>
      </c>
      <c r="D28" s="16" t="str">
        <f ca="1">IFERROR(__xludf.UNSUPPORTED("""COMPUTED_VALUE"""),"77800448G")</f>
        <v>77800448G</v>
      </c>
    </row>
    <row r="29" spans="1:4" ht="14.25">
      <c r="A29" s="16" t="str">
        <f ca="1">IFERROR(__xludf.UNSUPPORTED("""COMPUTED_VALUE"""),"Álvarez Monsalve, Elisa")</f>
        <v>Álvarez Monsalve, Elisa</v>
      </c>
      <c r="B29" s="16" t="str">
        <f ca="1">IFERROR(__xludf.UNSUPPORTED("""COMPUTED_VALUE"""),"Álvarez Monsalve")</f>
        <v>Álvarez Monsalve</v>
      </c>
      <c r="C29" s="16" t="str">
        <f ca="1">IFERROR(__xludf.UNSUPPORTED("""COMPUTED_VALUE"""),"Elisa")</f>
        <v>Elisa</v>
      </c>
      <c r="D29" s="16">
        <f ca="1">IFERROR(__xludf.UNSUPPORTED("""COMPUTED_VALUE"""),63476582)</f>
        <v>63476582</v>
      </c>
    </row>
    <row r="30" spans="1:4" ht="14.25">
      <c r="A30" s="16" t="str">
        <f ca="1">IFERROR(__xludf.UNSUPPORTED("""COMPUTED_VALUE"""),"Amaoui, Sofia")</f>
        <v>Amaoui, Sofia</v>
      </c>
      <c r="B30" s="16" t="str">
        <f ca="1">IFERROR(__xludf.UNSUPPORTED("""COMPUTED_VALUE"""),"Amaoui")</f>
        <v>Amaoui</v>
      </c>
      <c r="C30" s="16" t="str">
        <f ca="1">IFERROR(__xludf.UNSUPPORTED("""COMPUTED_VALUE"""),"Sofia")</f>
        <v>Sofia</v>
      </c>
      <c r="D30" s="16" t="str">
        <f ca="1">IFERROR(__xludf.UNSUPPORTED("""COMPUTED_VALUE"""),"Y2589177N")</f>
        <v>Y2589177N</v>
      </c>
    </row>
    <row r="31" spans="1:4" ht="14.25">
      <c r="A31" s="16" t="str">
        <f ca="1">IFERROR(__xludf.UNSUPPORTED("""COMPUTED_VALUE"""),"Amezcua Valmala, Nerea")</f>
        <v>Amezcua Valmala, Nerea</v>
      </c>
      <c r="B31" s="16" t="str">
        <f ca="1">IFERROR(__xludf.UNSUPPORTED("""COMPUTED_VALUE"""),"Amezcua Valmala")</f>
        <v>Amezcua Valmala</v>
      </c>
      <c r="C31" s="16" t="str">
        <f ca="1">IFERROR(__xludf.UNSUPPORTED("""COMPUTED_VALUE"""),"Nerea")</f>
        <v>Nerea</v>
      </c>
      <c r="D31" s="16" t="str">
        <f ca="1">IFERROR(__xludf.UNSUPPORTED("""COMPUTED_VALUE"""),"72742464L")</f>
        <v>72742464L</v>
      </c>
    </row>
    <row r="32" spans="1:4" ht="14.25">
      <c r="A32" s="16" t="str">
        <f ca="1">IFERROR(__xludf.UNSUPPORTED("""COMPUTED_VALUE"""),"Amor González, Antonio Manuel")</f>
        <v>Amor González, Antonio Manuel</v>
      </c>
      <c r="B32" s="16" t="str">
        <f ca="1">IFERROR(__xludf.UNSUPPORTED("""COMPUTED_VALUE"""),"Amor González")</f>
        <v>Amor González</v>
      </c>
      <c r="C32" s="16" t="str">
        <f ca="1">IFERROR(__xludf.UNSUPPORTED("""COMPUTED_VALUE"""),"Antonio Manuel")</f>
        <v>Antonio Manuel</v>
      </c>
      <c r="D32" s="16" t="str">
        <f ca="1">IFERROR(__xludf.UNSUPPORTED("""COMPUTED_VALUE"""),"53579329R")</f>
        <v>53579329R</v>
      </c>
    </row>
    <row r="33" spans="1:4" ht="14.25">
      <c r="A33" s="16" t="str">
        <f ca="1">IFERROR(__xludf.UNSUPPORTED("""COMPUTED_VALUE"""),"Andrés Blasco, Irene")</f>
        <v>Andrés Blasco, Irene</v>
      </c>
      <c r="B33" s="16" t="str">
        <f ca="1">IFERROR(__xludf.UNSUPPORTED("""COMPUTED_VALUE"""),"Andrés Blasco")</f>
        <v>Andrés Blasco</v>
      </c>
      <c r="C33" s="16" t="str">
        <f ca="1">IFERROR(__xludf.UNSUPPORTED("""COMPUTED_VALUE"""),"Irene")</f>
        <v>Irene</v>
      </c>
      <c r="D33" s="16" t="str">
        <f ca="1">IFERROR(__xludf.UNSUPPORTED("""COMPUTED_VALUE"""),"18448878A")</f>
        <v>18448878A</v>
      </c>
    </row>
    <row r="34" spans="1:4" ht="14.25">
      <c r="A34" s="16" t="str">
        <f ca="1">IFERROR(__xludf.UNSUPPORTED("""COMPUTED_VALUE"""),"Andreu Fernández, Vicente")</f>
        <v>Andreu Fernández, Vicente</v>
      </c>
      <c r="B34" s="16" t="str">
        <f ca="1">IFERROR(__xludf.UNSUPPORTED("""COMPUTED_VALUE"""),"Andreu Fernández")</f>
        <v>Andreu Fernández</v>
      </c>
      <c r="C34" s="16" t="str">
        <f ca="1">IFERROR(__xludf.UNSUPPORTED("""COMPUTED_VALUE"""),"Vicente")</f>
        <v>Vicente</v>
      </c>
      <c r="D34" s="16" t="str">
        <f ca="1">IFERROR(__xludf.UNSUPPORTED("""COMPUTED_VALUE"""),"48503496S")</f>
        <v>48503496S</v>
      </c>
    </row>
    <row r="35" spans="1:4" ht="14.25">
      <c r="A35" s="16" t="str">
        <f ca="1">IFERROR(__xludf.UNSUPPORTED("""COMPUTED_VALUE"""),"Antón Santiago, Roberto")</f>
        <v>Antón Santiago, Roberto</v>
      </c>
      <c r="B35" s="16" t="str">
        <f ca="1">IFERROR(__xludf.UNSUPPORTED("""COMPUTED_VALUE"""),"Antón Santiago")</f>
        <v>Antón Santiago</v>
      </c>
      <c r="C35" s="16" t="str">
        <f ca="1">IFERROR(__xludf.UNSUPPORTED("""COMPUTED_VALUE"""),"Roberto")</f>
        <v>Roberto</v>
      </c>
      <c r="D35" s="16" t="str">
        <f ca="1">IFERROR(__xludf.UNSUPPORTED("""COMPUTED_VALUE"""),"52498719T")</f>
        <v>52498719T</v>
      </c>
    </row>
    <row r="36" spans="1:4" ht="14.25">
      <c r="A36" s="16" t="str">
        <f ca="1">IFERROR(__xludf.UNSUPPORTED("""COMPUTED_VALUE"""),"Aras López, Rosa María")</f>
        <v>Aras López, Rosa María</v>
      </c>
      <c r="B36" s="16" t="str">
        <f ca="1">IFERROR(__xludf.UNSUPPORTED("""COMPUTED_VALUE"""),"Aras López")</f>
        <v>Aras López</v>
      </c>
      <c r="C36" s="16" t="str">
        <f ca="1">IFERROR(__xludf.UNSUPPORTED("""COMPUTED_VALUE"""),"Rosa María")</f>
        <v>Rosa María</v>
      </c>
      <c r="D36" s="16" t="str">
        <f ca="1">IFERROR(__xludf.UNSUPPORTED("""COMPUTED_VALUE"""),"01934823V")</f>
        <v>01934823V</v>
      </c>
    </row>
    <row r="37" spans="1:4" ht="14.25">
      <c r="A37" s="16" t="str">
        <f ca="1">IFERROR(__xludf.UNSUPPORTED("""COMPUTED_VALUE"""),"Arce Recatalá, Cristina")</f>
        <v>Arce Recatalá, Cristina</v>
      </c>
      <c r="B37" s="16" t="str">
        <f ca="1">IFERROR(__xludf.UNSUPPORTED("""COMPUTED_VALUE"""),"Arce Recatalá")</f>
        <v>Arce Recatalá</v>
      </c>
      <c r="C37" s="16" t="str">
        <f ca="1">IFERROR(__xludf.UNSUPPORTED("""COMPUTED_VALUE"""),"Cristina")</f>
        <v>Cristina</v>
      </c>
      <c r="D37" s="16" t="str">
        <f ca="1">IFERROR(__xludf.UNSUPPORTED("""COMPUTED_VALUE"""),"29208833Y")</f>
        <v>29208833Y</v>
      </c>
    </row>
    <row r="38" spans="1:4" ht="14.25">
      <c r="A38" s="16" t="str">
        <f ca="1">IFERROR(__xludf.UNSUPPORTED("""COMPUTED_VALUE"""),"Argudo Palacios, Aarón")</f>
        <v>Argudo Palacios, Aarón</v>
      </c>
      <c r="B38" s="16" t="str">
        <f ca="1">IFERROR(__xludf.UNSUPPORTED("""COMPUTED_VALUE"""),"Argudo Palacios")</f>
        <v>Argudo Palacios</v>
      </c>
      <c r="C38" s="16" t="str">
        <f ca="1">IFERROR(__xludf.UNSUPPORTED("""COMPUTED_VALUE"""),"Aarón")</f>
        <v>Aarón</v>
      </c>
      <c r="D38" s="16" t="str">
        <f ca="1">IFERROR(__xludf.UNSUPPORTED("""COMPUTED_VALUE"""),"39384262M")</f>
        <v>39384262M</v>
      </c>
    </row>
    <row r="39" spans="1:4" ht="14.25">
      <c r="A39" s="16" t="str">
        <f ca="1">IFERROR(__xludf.UNSUPPORTED("""COMPUTED_VALUE"""),"Argyropulou, Vasiliki")</f>
        <v>Argyropulou, Vasiliki</v>
      </c>
      <c r="B39" s="16" t="str">
        <f ca="1">IFERROR(__xludf.UNSUPPORTED("""COMPUTED_VALUE"""),"Argyropulou")</f>
        <v>Argyropulou</v>
      </c>
      <c r="C39" s="16" t="str">
        <f ca="1">IFERROR(__xludf.UNSUPPORTED("""COMPUTED_VALUE"""),"Vasiliki")</f>
        <v>Vasiliki</v>
      </c>
      <c r="D39" s="16" t="str">
        <f ca="1">IFERROR(__xludf.UNSUPPORTED("""COMPUTED_VALUE"""),"Y5811436V")</f>
        <v>Y5811436V</v>
      </c>
    </row>
    <row r="40" spans="1:4" ht="14.25">
      <c r="A40" s="16" t="str">
        <f ca="1">IFERROR(__xludf.UNSUPPORTED("""COMPUTED_VALUE"""),"Arias de la Cruz, Sonia")</f>
        <v>Arias de la Cruz, Sonia</v>
      </c>
      <c r="B40" s="16" t="str">
        <f ca="1">IFERROR(__xludf.UNSUPPORTED("""COMPUTED_VALUE"""),"Arias de la Cruz")</f>
        <v>Arias de la Cruz</v>
      </c>
      <c r="C40" s="16" t="str">
        <f ca="1">IFERROR(__xludf.UNSUPPORTED("""COMPUTED_VALUE"""),"Sonia")</f>
        <v>Sonia</v>
      </c>
      <c r="D40" s="16" t="str">
        <f ca="1">IFERROR(__xludf.UNSUPPORTED("""COMPUTED_VALUE"""),"49018430W")</f>
        <v>49018430W</v>
      </c>
    </row>
    <row r="41" spans="1:4" ht="14.25">
      <c r="A41" s="16" t="str">
        <f ca="1">IFERROR(__xludf.UNSUPPORTED("""COMPUTED_VALUE"""),"Arias Martínez, Esther")</f>
        <v>Arias Martínez, Esther</v>
      </c>
      <c r="B41" s="16" t="str">
        <f ca="1">IFERROR(__xludf.UNSUPPORTED("""COMPUTED_VALUE"""),"Arias Martínez")</f>
        <v>Arias Martínez</v>
      </c>
      <c r="C41" s="16" t="str">
        <f ca="1">IFERROR(__xludf.UNSUPPORTED("""COMPUTED_VALUE"""),"Esther")</f>
        <v>Esther</v>
      </c>
      <c r="D41" s="16" t="str">
        <f ca="1">IFERROR(__xludf.UNSUPPORTED("""COMPUTED_VALUE"""),"76944585V")</f>
        <v>76944585V</v>
      </c>
    </row>
    <row r="42" spans="1:4" ht="14.25">
      <c r="A42" s="16" t="str">
        <f ca="1">IFERROR(__xludf.UNSUPPORTED("""COMPUTED_VALUE"""),"Arnau Paltor, Pablo")</f>
        <v>Arnau Paltor, Pablo</v>
      </c>
      <c r="B42" s="16" t="str">
        <f ca="1">IFERROR(__xludf.UNSUPPORTED("""COMPUTED_VALUE"""),"Arnau Paltor")</f>
        <v>Arnau Paltor</v>
      </c>
      <c r="C42" s="16" t="str">
        <f ca="1">IFERROR(__xludf.UNSUPPORTED("""COMPUTED_VALUE"""),"Pablo")</f>
        <v>Pablo</v>
      </c>
      <c r="D42" s="16" t="str">
        <f ca="1">IFERROR(__xludf.UNSUPPORTED("""COMPUTED_VALUE"""),"18979252C")</f>
        <v>18979252C</v>
      </c>
    </row>
    <row r="43" spans="1:4" ht="14.25">
      <c r="A43" s="16" t="str">
        <f ca="1">IFERROR(__xludf.UNSUPPORTED("""COMPUTED_VALUE"""),"Arrigoni, Flavia Susana")</f>
        <v>Arrigoni, Flavia Susana</v>
      </c>
      <c r="B43" s="16" t="str">
        <f ca="1">IFERROR(__xludf.UNSUPPORTED("""COMPUTED_VALUE"""),"Arrigoni")</f>
        <v>Arrigoni</v>
      </c>
      <c r="C43" s="16" t="str">
        <f ca="1">IFERROR(__xludf.UNSUPPORTED("""COMPUTED_VALUE"""),"Flavia Susana")</f>
        <v>Flavia Susana</v>
      </c>
      <c r="D43" s="16" t="str">
        <f ca="1">IFERROR(__xludf.UNSUPPORTED("""COMPUTED_VALUE"""),"Y1563513X")</f>
        <v>Y1563513X</v>
      </c>
    </row>
    <row r="44" spans="1:4" ht="14.25">
      <c r="A44" s="16" t="str">
        <f ca="1">IFERROR(__xludf.UNSUPPORTED("""COMPUTED_VALUE"""),"Aste Leiva, Bruno Fernando")</f>
        <v>Aste Leiva, Bruno Fernando</v>
      </c>
      <c r="B44" s="16" t="str">
        <f ca="1">IFERROR(__xludf.UNSUPPORTED("""COMPUTED_VALUE"""),"Aste Leiva")</f>
        <v>Aste Leiva</v>
      </c>
      <c r="C44" s="16" t="str">
        <f ca="1">IFERROR(__xludf.UNSUPPORTED("""COMPUTED_VALUE"""),"Bruno Fernando")</f>
        <v>Bruno Fernando</v>
      </c>
      <c r="D44" s="16" t="str">
        <f ca="1">IFERROR(__xludf.UNSUPPORTED("""COMPUTED_VALUE"""),"Y6595634F")</f>
        <v>Y6595634F</v>
      </c>
    </row>
    <row r="45" spans="1:4" ht="14.25">
      <c r="A45" s="16" t="str">
        <f ca="1">IFERROR(__xludf.UNSUPPORTED("""COMPUTED_VALUE"""),"Atanes Gómez, Alexandra")</f>
        <v>Atanes Gómez, Alexandra</v>
      </c>
      <c r="B45" s="16" t="str">
        <f ca="1">IFERROR(__xludf.UNSUPPORTED("""COMPUTED_VALUE"""),"Atanes Gómez")</f>
        <v>Atanes Gómez</v>
      </c>
      <c r="C45" s="16" t="str">
        <f ca="1">IFERROR(__xludf.UNSUPPORTED("""COMPUTED_VALUE"""),"Alexandra")</f>
        <v>Alexandra</v>
      </c>
      <c r="D45" s="16" t="str">
        <f ca="1">IFERROR(__xludf.UNSUPPORTED("""COMPUTED_VALUE"""),"44658192N")</f>
        <v>44658192N</v>
      </c>
    </row>
    <row r="46" spans="1:4" ht="14.25">
      <c r="A46" s="16" t="str">
        <f ca="1">IFERROR(__xludf.UNSUPPORTED("""COMPUTED_VALUE"""),"Atienza Carbonell, Beatriz")</f>
        <v>Atienza Carbonell, Beatriz</v>
      </c>
      <c r="B46" s="16" t="str">
        <f ca="1">IFERROR(__xludf.UNSUPPORTED("""COMPUTED_VALUE"""),"Atienza Carbonell")</f>
        <v>Atienza Carbonell</v>
      </c>
      <c r="C46" s="16" t="str">
        <f ca="1">IFERROR(__xludf.UNSUPPORTED("""COMPUTED_VALUE"""),"Beatriz")</f>
        <v>Beatriz</v>
      </c>
      <c r="D46" s="16" t="str">
        <f ca="1">IFERROR(__xludf.UNSUPPORTED("""COMPUTED_VALUE"""),"33570654S")</f>
        <v>33570654S</v>
      </c>
    </row>
    <row r="47" spans="1:4" ht="14.25">
      <c r="A47" s="16" t="str">
        <f ca="1">IFERROR(__xludf.UNSUPPORTED("""COMPUTED_VALUE"""),"Azcárate Seminario, Juana María")</f>
        <v>Azcárate Seminario, Juana María</v>
      </c>
      <c r="B47" s="16" t="str">
        <f ca="1">IFERROR(__xludf.UNSUPPORTED("""COMPUTED_VALUE"""),"Azcárate Seminario")</f>
        <v>Azcárate Seminario</v>
      </c>
      <c r="C47" s="16" t="str">
        <f ca="1">IFERROR(__xludf.UNSUPPORTED("""COMPUTED_VALUE"""),"Juana María")</f>
        <v>Juana María</v>
      </c>
      <c r="D47" s="16" t="str">
        <f ca="1">IFERROR(__xludf.UNSUPPORTED("""COMPUTED_VALUE"""),"33419032D")</f>
        <v>33419032D</v>
      </c>
    </row>
    <row r="48" spans="1:4" ht="14.25">
      <c r="A48" s="16" t="str">
        <f ca="1">IFERROR(__xludf.UNSUPPORTED("""COMPUTED_VALUE"""),"Baixauli Muñoz, Raquel")</f>
        <v>Baixauli Muñoz, Raquel</v>
      </c>
      <c r="B48" s="16" t="str">
        <f ca="1">IFERROR(__xludf.UNSUPPORTED("""COMPUTED_VALUE"""),"Baixauli Muñoz")</f>
        <v>Baixauli Muñoz</v>
      </c>
      <c r="C48" s="16" t="str">
        <f ca="1">IFERROR(__xludf.UNSUPPORTED("""COMPUTED_VALUE"""),"Raquel")</f>
        <v>Raquel</v>
      </c>
      <c r="D48" s="16" t="str">
        <f ca="1">IFERROR(__xludf.UNSUPPORTED("""COMPUTED_VALUE"""),"24363682N")</f>
        <v>24363682N</v>
      </c>
    </row>
    <row r="49" spans="1:4" ht="14.25">
      <c r="A49" s="16" t="str">
        <f ca="1">IFERROR(__xludf.UNSUPPORTED("""COMPUTED_VALUE"""),"Balmaseda Rubina, Aitor")</f>
        <v>Balmaseda Rubina, Aitor</v>
      </c>
      <c r="B49" s="16" t="str">
        <f ca="1">IFERROR(__xludf.UNSUPPORTED("""COMPUTED_VALUE"""),"Balmaseda Rubina")</f>
        <v>Balmaseda Rubina</v>
      </c>
      <c r="C49" s="16" t="str">
        <f ca="1">IFERROR(__xludf.UNSUPPORTED("""COMPUTED_VALUE"""),"Aitor")</f>
        <v>Aitor</v>
      </c>
      <c r="D49" s="16" t="str">
        <f ca="1">IFERROR(__xludf.UNSUPPORTED("""COMPUTED_VALUE"""),"72840763Q")</f>
        <v>72840763Q</v>
      </c>
    </row>
    <row r="50" spans="1:4" ht="14.25">
      <c r="A50" s="16" t="str">
        <f ca="1">IFERROR(__xludf.UNSUPPORTED("""COMPUTED_VALUE"""),"Barragán Arnal, Rocío")</f>
        <v>Barragán Arnal, Rocío</v>
      </c>
      <c r="B50" s="16" t="str">
        <f ca="1">IFERROR(__xludf.UNSUPPORTED("""COMPUTED_VALUE"""),"Barragán Arnal")</f>
        <v>Barragán Arnal</v>
      </c>
      <c r="C50" s="16" t="str">
        <f ca="1">IFERROR(__xludf.UNSUPPORTED("""COMPUTED_VALUE"""),"Rocío")</f>
        <v>Rocío</v>
      </c>
      <c r="D50" s="16" t="str">
        <f ca="1">IFERROR(__xludf.UNSUPPORTED("""COMPUTED_VALUE"""),"53606669V")</f>
        <v>53606669V</v>
      </c>
    </row>
    <row r="51" spans="1:4" ht="14.25">
      <c r="A51" s="16" t="str">
        <f ca="1">IFERROR(__xludf.UNSUPPORTED("""COMPUTED_VALUE"""),"Barrenechea Garro, Arrate")</f>
        <v>Barrenechea Garro, Arrate</v>
      </c>
      <c r="B51" s="16" t="str">
        <f ca="1">IFERROR(__xludf.UNSUPPORTED("""COMPUTED_VALUE"""),"Barrenechea Garro")</f>
        <v>Barrenechea Garro</v>
      </c>
      <c r="C51" s="16" t="str">
        <f ca="1">IFERROR(__xludf.UNSUPPORTED("""COMPUTED_VALUE"""),"Arrate")</f>
        <v>Arrate</v>
      </c>
      <c r="D51" s="16" t="str">
        <f ca="1">IFERROR(__xludf.UNSUPPORTED("""COMPUTED_VALUE"""),"72497551X")</f>
        <v>72497551X</v>
      </c>
    </row>
    <row r="52" spans="1:4" ht="14.25">
      <c r="A52" s="16" t="str">
        <f ca="1">IFERROR(__xludf.UNSUPPORTED("""COMPUTED_VALUE"""),"Barrera Belloch, Jaume")</f>
        <v>Barrera Belloch, Jaume</v>
      </c>
      <c r="B52" s="16" t="str">
        <f ca="1">IFERROR(__xludf.UNSUPPORTED("""COMPUTED_VALUE"""),"Barrera Belloch")</f>
        <v>Barrera Belloch</v>
      </c>
      <c r="C52" s="16" t="str">
        <f ca="1">IFERROR(__xludf.UNSUPPORTED("""COMPUTED_VALUE"""),"Jaume")</f>
        <v>Jaume</v>
      </c>
      <c r="D52" s="16" t="str">
        <f ca="1">IFERROR(__xludf.UNSUPPORTED("""COMPUTED_VALUE"""),"20850674R")</f>
        <v>20850674R</v>
      </c>
    </row>
    <row r="53" spans="1:4" ht="14.25">
      <c r="A53" s="16" t="str">
        <f ca="1">IFERROR(__xludf.UNSUPPORTED("""COMPUTED_VALUE"""),"Bartolomé del Pino, Leticia Elisa")</f>
        <v>Bartolomé del Pino, Leticia Elisa</v>
      </c>
      <c r="B53" s="16" t="str">
        <f ca="1">IFERROR(__xludf.UNSUPPORTED("""COMPUTED_VALUE"""),"Bartolomé del Pino")</f>
        <v>Bartolomé del Pino</v>
      </c>
      <c r="C53" s="16" t="str">
        <f ca="1">IFERROR(__xludf.UNSUPPORTED("""COMPUTED_VALUE"""),"Leticia Elisa")</f>
        <v>Leticia Elisa</v>
      </c>
      <c r="D53" s="16" t="str">
        <f ca="1">IFERROR(__xludf.UNSUPPORTED("""COMPUTED_VALUE"""),"46939778K")</f>
        <v>46939778K</v>
      </c>
    </row>
    <row r="54" spans="1:4" ht="14.25">
      <c r="A54" s="16" t="str">
        <f ca="1">IFERROR(__xludf.UNSUPPORTED("""COMPUTED_VALUE"""),"Bautista Aranda, Nazaret")</f>
        <v>Bautista Aranda, Nazaret</v>
      </c>
      <c r="B54" s="16" t="str">
        <f ca="1">IFERROR(__xludf.UNSUPPORTED("""COMPUTED_VALUE"""),"Bautista Aranda")</f>
        <v>Bautista Aranda</v>
      </c>
      <c r="C54" s="16" t="str">
        <f ca="1">IFERROR(__xludf.UNSUPPORTED("""COMPUTED_VALUE"""),"Nazaret")</f>
        <v>Nazaret</v>
      </c>
      <c r="D54" s="16" t="str">
        <f ca="1">IFERROR(__xludf.UNSUPPORTED("""COMPUTED_VALUE"""),"05724246Y")</f>
        <v>05724246Y</v>
      </c>
    </row>
    <row r="55" spans="1:4" ht="14.25">
      <c r="A55" s="16" t="str">
        <f ca="1">IFERROR(__xludf.UNSUPPORTED("""COMPUTED_VALUE"""),"Baz Montero, Servando")</f>
        <v>Baz Montero, Servando</v>
      </c>
      <c r="B55" s="16" t="str">
        <f ca="1">IFERROR(__xludf.UNSUPPORTED("""COMPUTED_VALUE"""),"Baz Montero")</f>
        <v>Baz Montero</v>
      </c>
      <c r="C55" s="16" t="str">
        <f ca="1">IFERROR(__xludf.UNSUPPORTED("""COMPUTED_VALUE"""),"Servando")</f>
        <v>Servando</v>
      </c>
      <c r="D55" s="16" t="str">
        <f ca="1">IFERROR(__xludf.UNSUPPORTED("""COMPUTED_VALUE"""),"44204856Y")</f>
        <v>44204856Y</v>
      </c>
    </row>
    <row r="56" spans="1:4" ht="14.25">
      <c r="A56" s="16" t="str">
        <f ca="1">IFERROR(__xludf.UNSUPPORTED("""COMPUTED_VALUE"""),"Behrens Cervoni, Denise")</f>
        <v>Behrens Cervoni, Denise</v>
      </c>
      <c r="B56" s="16" t="str">
        <f ca="1">IFERROR(__xludf.UNSUPPORTED("""COMPUTED_VALUE"""),"Behrens Cervoni")</f>
        <v>Behrens Cervoni</v>
      </c>
      <c r="C56" s="16" t="str">
        <f ca="1">IFERROR(__xludf.UNSUPPORTED("""COMPUTED_VALUE"""),"Denise")</f>
        <v>Denise</v>
      </c>
      <c r="D56" s="16" t="str">
        <f ca="1">IFERROR(__xludf.UNSUPPORTED("""COMPUTED_VALUE"""),"Y8121704G")</f>
        <v>Y8121704G</v>
      </c>
    </row>
    <row r="57" spans="1:4" ht="14.25">
      <c r="A57" s="16" t="str">
        <f ca="1">IFERROR(__xludf.UNSUPPORTED("""COMPUTED_VALUE"""),"Belda Ferri, Lorena")</f>
        <v>Belda Ferri, Lorena</v>
      </c>
      <c r="B57" s="16" t="str">
        <f ca="1">IFERROR(__xludf.UNSUPPORTED("""COMPUTED_VALUE"""),"Belda Ferri")</f>
        <v>Belda Ferri</v>
      </c>
      <c r="C57" s="16" t="str">
        <f ca="1">IFERROR(__xludf.UNSUPPORTED("""COMPUTED_VALUE"""),"Lorena")</f>
        <v>Lorena</v>
      </c>
      <c r="D57" s="16" t="str">
        <f ca="1">IFERROR(__xludf.UNSUPPORTED("""COMPUTED_VALUE"""),"48469134S")</f>
        <v>48469134S</v>
      </c>
    </row>
    <row r="58" spans="1:4" ht="14.25">
      <c r="A58" s="16" t="str">
        <f ca="1">IFERROR(__xludf.UNSUPPORTED("""COMPUTED_VALUE"""),"Belloch Mont, Nuria")</f>
        <v>Belloch Mont, Nuria</v>
      </c>
      <c r="B58" s="16" t="str">
        <f ca="1">IFERROR(__xludf.UNSUPPORTED("""COMPUTED_VALUE"""),"Belloch Mont")</f>
        <v>Belloch Mont</v>
      </c>
      <c r="C58" s="16" t="str">
        <f ca="1">IFERROR(__xludf.UNSUPPORTED("""COMPUTED_VALUE"""),"Nuria")</f>
        <v>Nuria</v>
      </c>
      <c r="D58" s="16" t="str">
        <f ca="1">IFERROR(__xludf.UNSUPPORTED("""COMPUTED_VALUE"""),"52641331N")</f>
        <v>52641331N</v>
      </c>
    </row>
    <row r="59" spans="1:4" ht="14.25">
      <c r="A59" s="16" t="str">
        <f ca="1">IFERROR(__xludf.UNSUPPORTED("""COMPUTED_VALUE"""),"Benavent Cervera, José Vicente")</f>
        <v>Benavent Cervera, José Vicente</v>
      </c>
      <c r="B59" s="16" t="str">
        <f ca="1">IFERROR(__xludf.UNSUPPORTED("""COMPUTED_VALUE"""),"Benavent Cervera")</f>
        <v>Benavent Cervera</v>
      </c>
      <c r="C59" s="16" t="str">
        <f ca="1">IFERROR(__xludf.UNSUPPORTED("""COMPUTED_VALUE"""),"José Vicente")</f>
        <v>José Vicente</v>
      </c>
      <c r="D59" s="16" t="str">
        <f ca="1">IFERROR(__xludf.UNSUPPORTED("""COMPUTED_VALUE"""),"19460773J")</f>
        <v>19460773J</v>
      </c>
    </row>
    <row r="60" spans="1:4" ht="14.25">
      <c r="A60" s="16" t="str">
        <f ca="1">IFERROR(__xludf.UNSUPPORTED("""COMPUTED_VALUE"""),"Benetó Gandía, Noelia")</f>
        <v>Benetó Gandía, Noelia</v>
      </c>
      <c r="B60" s="16" t="str">
        <f ca="1">IFERROR(__xludf.UNSUPPORTED("""COMPUTED_VALUE"""),"Benetó Gandía")</f>
        <v>Benetó Gandía</v>
      </c>
      <c r="C60" s="16" t="str">
        <f ca="1">IFERROR(__xludf.UNSUPPORTED("""COMPUTED_VALUE"""),"Noelia")</f>
        <v>Noelia</v>
      </c>
      <c r="D60" s="16" t="str">
        <f ca="1">IFERROR(__xludf.UNSUPPORTED("""COMPUTED_VALUE"""),"20458746Q")</f>
        <v>20458746Q</v>
      </c>
    </row>
    <row r="61" spans="1:4" ht="14.25">
      <c r="A61" s="16" t="str">
        <f ca="1">IFERROR(__xludf.UNSUPPORTED("""COMPUTED_VALUE"""),"Bermejo Ruiz, José Luis")</f>
        <v>Bermejo Ruiz, José Luis</v>
      </c>
      <c r="B61" s="16" t="str">
        <f ca="1">IFERROR(__xludf.UNSUPPORTED("""COMPUTED_VALUE"""),"Bermejo Ruiz")</f>
        <v>Bermejo Ruiz</v>
      </c>
      <c r="C61" s="16" t="str">
        <f ca="1">IFERROR(__xludf.UNSUPPORTED("""COMPUTED_VALUE"""),"José Luis")</f>
        <v>José Luis</v>
      </c>
      <c r="D61" s="16" t="str">
        <f ca="1">IFERROR(__xludf.UNSUPPORTED("""COMPUTED_VALUE"""),"24366224R")</f>
        <v>24366224R</v>
      </c>
    </row>
    <row r="62" spans="1:4" ht="14.25">
      <c r="A62" s="16" t="str">
        <f ca="1">IFERROR(__xludf.UNSUPPORTED("""COMPUTED_VALUE"""),"Bernádez Menéndez, Cristina")</f>
        <v>Bernádez Menéndez, Cristina</v>
      </c>
      <c r="B62" s="16" t="str">
        <f ca="1">IFERROR(__xludf.UNSUPPORTED("""COMPUTED_VALUE"""),"Bernádez Menéndez")</f>
        <v>Bernádez Menéndez</v>
      </c>
      <c r="C62" s="16" t="str">
        <f ca="1">IFERROR(__xludf.UNSUPPORTED("""COMPUTED_VALUE"""),"Cristina")</f>
        <v>Cristina</v>
      </c>
      <c r="D62" s="16" t="str">
        <f ca="1">IFERROR(__xludf.UNSUPPORTED("""COMPUTED_VALUE"""),"76947298Q")</f>
        <v>76947298Q</v>
      </c>
    </row>
    <row r="63" spans="1:4" ht="14.25">
      <c r="A63" s="16" t="str">
        <f ca="1">IFERROR(__xludf.UNSUPPORTED("""COMPUTED_VALUE"""),"Bertomeu Heras, Vanessa")</f>
        <v>Bertomeu Heras, Vanessa</v>
      </c>
      <c r="B63" s="16" t="str">
        <f ca="1">IFERROR(__xludf.UNSUPPORTED("""COMPUTED_VALUE"""),"Bertomeu Heras")</f>
        <v>Bertomeu Heras</v>
      </c>
      <c r="C63" s="16" t="str">
        <f ca="1">IFERROR(__xludf.UNSUPPORTED("""COMPUTED_VALUE"""),"Vanessa")</f>
        <v>Vanessa</v>
      </c>
      <c r="D63" s="16" t="str">
        <f ca="1">IFERROR(__xludf.UNSUPPORTED("""COMPUTED_VALUE"""),"53428238C")</f>
        <v>53428238C</v>
      </c>
    </row>
    <row r="64" spans="1:4" ht="14.25">
      <c r="A64" s="16" t="str">
        <f ca="1">IFERROR(__xludf.UNSUPPORTED("""COMPUTED_VALUE"""),"Bezos Roseñada, Laura")</f>
        <v>Bezos Roseñada, Laura</v>
      </c>
      <c r="B64" s="16" t="str">
        <f ca="1">IFERROR(__xludf.UNSUPPORTED("""COMPUTED_VALUE"""),"Bezos Roseñada")</f>
        <v>Bezos Roseñada</v>
      </c>
      <c r="C64" s="16" t="str">
        <f ca="1">IFERROR(__xludf.UNSUPPORTED("""COMPUTED_VALUE"""),"Laura")</f>
        <v>Laura</v>
      </c>
      <c r="D64" s="16" t="str">
        <f ca="1">IFERROR(__xludf.UNSUPPORTED("""COMPUTED_VALUE"""),"78935612A")</f>
        <v>78935612A</v>
      </c>
    </row>
    <row r="65" spans="1:4" ht="14.25">
      <c r="A65" s="16" t="str">
        <f ca="1">IFERROR(__xludf.UNSUPPORTED("""COMPUTED_VALUE"""),"Bisetto Pons, David")</f>
        <v>Bisetto Pons, David</v>
      </c>
      <c r="B65" s="16" t="str">
        <f ca="1">IFERROR(__xludf.UNSUPPORTED("""COMPUTED_VALUE"""),"Bisetto Pons")</f>
        <v>Bisetto Pons</v>
      </c>
      <c r="C65" s="16" t="str">
        <f ca="1">IFERROR(__xludf.UNSUPPORTED("""COMPUTED_VALUE"""),"David")</f>
        <v>David</v>
      </c>
      <c r="D65" s="16" t="str">
        <f ca="1">IFERROR(__xludf.UNSUPPORTED("""COMPUTED_VALUE"""),"53625733Z")</f>
        <v>53625733Z</v>
      </c>
    </row>
    <row r="66" spans="1:4" ht="14.25">
      <c r="A66" s="16" t="str">
        <f ca="1">IFERROR(__xludf.UNSUPPORTED("""COMPUTED_VALUE"""),"Blanco Donoso, Luis Manuel")</f>
        <v>Blanco Donoso, Luis Manuel</v>
      </c>
      <c r="B66" s="16" t="str">
        <f ca="1">IFERROR(__xludf.UNSUPPORTED("""COMPUTED_VALUE"""),"Blanco Donoso")</f>
        <v>Blanco Donoso</v>
      </c>
      <c r="C66" s="16" t="str">
        <f ca="1">IFERROR(__xludf.UNSUPPORTED("""COMPUTED_VALUE"""),"Luis Manuel")</f>
        <v>Luis Manuel</v>
      </c>
      <c r="D66" s="16" t="str">
        <f ca="1">IFERROR(__xludf.UNSUPPORTED("""COMPUTED_VALUE"""),"47049818Y")</f>
        <v>47049818Y</v>
      </c>
    </row>
    <row r="67" spans="1:4" ht="14.25">
      <c r="A67" s="16" t="str">
        <f ca="1">IFERROR(__xludf.UNSUPPORTED("""COMPUTED_VALUE"""),"Blanco Fernández, Susana")</f>
        <v>Blanco Fernández, Susana</v>
      </c>
      <c r="B67" s="16" t="str">
        <f ca="1">IFERROR(__xludf.UNSUPPORTED("""COMPUTED_VALUE"""),"Blanco Fernández")</f>
        <v>Blanco Fernández</v>
      </c>
      <c r="C67" s="16" t="str">
        <f ca="1">IFERROR(__xludf.UNSUPPORTED("""COMPUTED_VALUE"""),"Susana")</f>
        <v>Susana</v>
      </c>
      <c r="D67" s="16" t="str">
        <f ca="1">IFERROR(__xludf.UNSUPPORTED("""COMPUTED_VALUE"""),"53481702D")</f>
        <v>53481702D</v>
      </c>
    </row>
    <row r="68" spans="1:4" ht="14.25">
      <c r="A68" s="16" t="str">
        <f ca="1">IFERROR(__xludf.UNSUPPORTED("""COMPUTED_VALUE"""),"Blanco Núñez, Basilio")</f>
        <v>Blanco Núñez, Basilio</v>
      </c>
      <c r="B68" s="16" t="str">
        <f ca="1">IFERROR(__xludf.UNSUPPORTED("""COMPUTED_VALUE"""),"Blanco Núñez")</f>
        <v>Blanco Núñez</v>
      </c>
      <c r="C68" s="16" t="str">
        <f ca="1">IFERROR(__xludf.UNSUPPORTED("""COMPUTED_VALUE"""),"Basilio")</f>
        <v>Basilio</v>
      </c>
      <c r="D68" s="16" t="str">
        <f ca="1">IFERROR(__xludf.UNSUPPORTED("""COMPUTED_VALUE"""),"45633408M")</f>
        <v>45633408M</v>
      </c>
    </row>
    <row r="69" spans="1:4" ht="14.25">
      <c r="A69" s="16" t="str">
        <f ca="1">IFERROR(__xludf.UNSUPPORTED("""COMPUTED_VALUE"""),"Boemo Prieto, Maria Teresa")</f>
        <v>Boemo Prieto, Maria Teresa</v>
      </c>
      <c r="B69" s="16" t="str">
        <f ca="1">IFERROR(__xludf.UNSUPPORTED("""COMPUTED_VALUE"""),"Boemo Prieto")</f>
        <v>Boemo Prieto</v>
      </c>
      <c r="C69" s="16" t="str">
        <f ca="1">IFERROR(__xludf.UNSUPPORTED("""COMPUTED_VALUE"""),"Maria Teresa")</f>
        <v>Maria Teresa</v>
      </c>
      <c r="D69" s="16" t="str">
        <f ca="1">IFERROR(__xludf.UNSUPPORTED("""COMPUTED_VALUE"""),"54022647V")</f>
        <v>54022647V</v>
      </c>
    </row>
    <row r="70" spans="1:4" ht="14.25">
      <c r="A70" s="16" t="str">
        <f ca="1">IFERROR(__xludf.UNSUPPORTED("""COMPUTED_VALUE"""),"Bogetti, Celeste")</f>
        <v>Bogetti, Celeste</v>
      </c>
      <c r="B70" s="16" t="str">
        <f ca="1">IFERROR(__xludf.UNSUPPORTED("""COMPUTED_VALUE"""),"Bogetti")</f>
        <v>Bogetti</v>
      </c>
      <c r="C70" s="16" t="str">
        <f ca="1">IFERROR(__xludf.UNSUPPORTED("""COMPUTED_VALUE"""),"Celeste")</f>
        <v>Celeste</v>
      </c>
      <c r="D70" s="16">
        <f ca="1">IFERROR(__xludf.UNSUPPORTED("""COMPUTED_VALUE"""),33480001)</f>
        <v>33480001</v>
      </c>
    </row>
    <row r="71" spans="1:4" ht="14.25">
      <c r="A71" s="16" t="str">
        <f ca="1">IFERROR(__xludf.UNSUPPORTED("""COMPUTED_VALUE"""),"Bolmida, Mauro")</f>
        <v>Bolmida, Mauro</v>
      </c>
      <c r="B71" s="16" t="str">
        <f ca="1">IFERROR(__xludf.UNSUPPORTED("""COMPUTED_VALUE"""),"Bolmida")</f>
        <v>Bolmida</v>
      </c>
      <c r="C71" s="16" t="str">
        <f ca="1">IFERROR(__xludf.UNSUPPORTED("""COMPUTED_VALUE"""),"Mauro")</f>
        <v>Mauro</v>
      </c>
      <c r="D71" s="16" t="str">
        <f ca="1">IFERROR(__xludf.UNSUPPORTED("""COMPUTED_VALUE"""),"Y0287908P")</f>
        <v>Y0287908P</v>
      </c>
    </row>
    <row r="72" spans="1:4" ht="14.25">
      <c r="A72" s="16" t="str">
        <f ca="1">IFERROR(__xludf.UNSUPPORTED("""COMPUTED_VALUE"""),"Bonito Gadella, Juan Carlos")</f>
        <v>Bonito Gadella, Juan Carlos</v>
      </c>
      <c r="B72" s="16" t="str">
        <f ca="1">IFERROR(__xludf.UNSUPPORTED("""COMPUTED_VALUE"""),"Bonito Gadella")</f>
        <v>Bonito Gadella</v>
      </c>
      <c r="C72" s="16" t="str">
        <f ca="1">IFERROR(__xludf.UNSUPPORTED("""COMPUTED_VALUE"""),"Juan Carlos")</f>
        <v>Juan Carlos</v>
      </c>
      <c r="D72" s="16" t="str">
        <f ca="1">IFERROR(__xludf.UNSUPPORTED("""COMPUTED_VALUE"""),"07504915S")</f>
        <v>07504915S</v>
      </c>
    </row>
    <row r="73" spans="1:4" ht="14.25">
      <c r="A73" s="16" t="str">
        <f ca="1">IFERROR(__xludf.UNSUPPORTED("""COMPUTED_VALUE"""),"Bonzi, Carolina")</f>
        <v>Bonzi, Carolina</v>
      </c>
      <c r="B73" s="16" t="str">
        <f ca="1">IFERROR(__xludf.UNSUPPORTED("""COMPUTED_VALUE"""),"Bonzi")</f>
        <v>Bonzi</v>
      </c>
      <c r="C73" s="16" t="str">
        <f ca="1">IFERROR(__xludf.UNSUPPORTED("""COMPUTED_VALUE"""),"Carolina")</f>
        <v>Carolina</v>
      </c>
      <c r="D73" s="16" t="str">
        <f ca="1">IFERROR(__xludf.UNSUPPORTED("""COMPUTED_VALUE"""),"BNZCLN81D64L219F")</f>
        <v>BNZCLN81D64L219F</v>
      </c>
    </row>
    <row r="74" spans="1:4" ht="14.25">
      <c r="A74" s="16" t="str">
        <f ca="1">IFERROR(__xludf.UNSUPPORTED("""COMPUTED_VALUE"""),"Bove Farré, Isabel")</f>
        <v>Bove Farré, Isabel</v>
      </c>
      <c r="B74" s="16" t="str">
        <f ca="1">IFERROR(__xludf.UNSUPPORTED("""COMPUTED_VALUE"""),"Bove Farré")</f>
        <v>Bove Farré</v>
      </c>
      <c r="C74" s="16" t="str">
        <f ca="1">IFERROR(__xludf.UNSUPPORTED("""COMPUTED_VALUE"""),"Isabel")</f>
        <v>Isabel</v>
      </c>
      <c r="D74" s="16" t="str">
        <f ca="1">IFERROR(__xludf.UNSUPPORTED("""COMPUTED_VALUE"""),"38086972F")</f>
        <v>38086972F</v>
      </c>
    </row>
    <row r="75" spans="1:4" ht="14.25">
      <c r="A75" s="16" t="str">
        <f ca="1">IFERROR(__xludf.UNSUPPORTED("""COMPUTED_VALUE"""),"Bravo Correa, Montserrat")</f>
        <v>Bravo Correa, Montserrat</v>
      </c>
      <c r="B75" s="16" t="str">
        <f ca="1">IFERROR(__xludf.UNSUPPORTED("""COMPUTED_VALUE"""),"Bravo Correa")</f>
        <v>Bravo Correa</v>
      </c>
      <c r="C75" s="16" t="str">
        <f ca="1">IFERROR(__xludf.UNSUPPORTED("""COMPUTED_VALUE"""),"Montserrat")</f>
        <v>Montserrat</v>
      </c>
      <c r="D75" s="16" t="str">
        <f ca="1">IFERROR(__xludf.UNSUPPORTED("""COMPUTED_VALUE"""),"78710346E")</f>
        <v>78710346E</v>
      </c>
    </row>
    <row r="76" spans="1:4" ht="14.25">
      <c r="A76" s="16" t="str">
        <f ca="1">IFERROR(__xludf.UNSUPPORTED("""COMPUTED_VALUE"""),"Bretaña Alberdi, Ione")</f>
        <v>Bretaña Alberdi, Ione</v>
      </c>
      <c r="B76" s="16" t="str">
        <f ca="1">IFERROR(__xludf.UNSUPPORTED("""COMPUTED_VALUE"""),"Bretaña Alberdi")</f>
        <v>Bretaña Alberdi</v>
      </c>
      <c r="C76" s="16" t="str">
        <f ca="1">IFERROR(__xludf.UNSUPPORTED("""COMPUTED_VALUE"""),"Ione")</f>
        <v>Ione</v>
      </c>
      <c r="D76" s="16" t="str">
        <f ca="1">IFERROR(__xludf.UNSUPPORTED("""COMPUTED_VALUE"""),"72505282J")</f>
        <v>72505282J</v>
      </c>
    </row>
    <row r="77" spans="1:4" ht="14.25">
      <c r="A77" s="16" t="str">
        <f ca="1">IFERROR(__xludf.UNSUPPORTED("""COMPUTED_VALUE"""),"Brito Sánchez, Ana Isabel")</f>
        <v>Brito Sánchez, Ana Isabel</v>
      </c>
      <c r="B77" s="16" t="str">
        <f ca="1">IFERROR(__xludf.UNSUPPORTED("""COMPUTED_VALUE"""),"Brito Sánchez")</f>
        <v>Brito Sánchez</v>
      </c>
      <c r="C77" s="16" t="str">
        <f ca="1">IFERROR(__xludf.UNSUPPORTED("""COMPUTED_VALUE"""),"Ana Isabel")</f>
        <v>Ana Isabel</v>
      </c>
      <c r="D77" s="16">
        <f ca="1">IFERROR(__xludf.UNSUPPORTED("""COMPUTED_VALUE"""),973006166266)</f>
        <v>973006166266</v>
      </c>
    </row>
    <row r="78" spans="1:4" ht="14.25">
      <c r="A78" s="16" t="str">
        <f ca="1">IFERROR(__xludf.UNSUPPORTED("""COMPUTED_VALUE"""),"Brocal Ruiz, Rebeca")</f>
        <v>Brocal Ruiz, Rebeca</v>
      </c>
      <c r="B78" s="16" t="str">
        <f ca="1">IFERROR(__xludf.UNSUPPORTED("""COMPUTED_VALUE"""),"Brocal Ruiz")</f>
        <v>Brocal Ruiz</v>
      </c>
      <c r="C78" s="16" t="str">
        <f ca="1">IFERROR(__xludf.UNSUPPORTED("""COMPUTED_VALUE"""),"Rebeca")</f>
        <v>Rebeca</v>
      </c>
      <c r="D78" s="16" t="str">
        <f ca="1">IFERROR(__xludf.UNSUPPORTED("""COMPUTED_VALUE"""),"29202052X")</f>
        <v>29202052X</v>
      </c>
    </row>
    <row r="79" spans="1:4" ht="14.25">
      <c r="A79" s="16" t="str">
        <f ca="1">IFERROR(__xludf.UNSUPPORTED("""COMPUTED_VALUE"""),"Burdeos Palau, Elena")</f>
        <v>Burdeos Palau, Elena</v>
      </c>
      <c r="B79" s="16" t="str">
        <f ca="1">IFERROR(__xludf.UNSUPPORTED("""COMPUTED_VALUE"""),"Burdeos Palau")</f>
        <v>Burdeos Palau</v>
      </c>
      <c r="C79" s="16" t="str">
        <f ca="1">IFERROR(__xludf.UNSUPPORTED("""COMPUTED_VALUE"""),"Elena")</f>
        <v>Elena</v>
      </c>
      <c r="D79" s="16" t="str">
        <f ca="1">IFERROR(__xludf.UNSUPPORTED("""COMPUTED_VALUE"""),"48357518H")</f>
        <v>48357518H</v>
      </c>
    </row>
    <row r="80" spans="1:4" ht="14.25">
      <c r="A80" s="16" t="str">
        <f ca="1">IFERROR(__xludf.UNSUPPORTED("""COMPUTED_VALUE"""),"Burgos Esteban, Amaya")</f>
        <v>Burgos Esteban, Amaya</v>
      </c>
      <c r="B80" s="16" t="str">
        <f ca="1">IFERROR(__xludf.UNSUPPORTED("""COMPUTED_VALUE"""),"Burgos Esteban")</f>
        <v>Burgos Esteban</v>
      </c>
      <c r="C80" s="16" t="str">
        <f ca="1">IFERROR(__xludf.UNSUPPORTED("""COMPUTED_VALUE"""),"Amaya")</f>
        <v>Amaya</v>
      </c>
      <c r="D80" s="16" t="str">
        <f ca="1">IFERROR(__xludf.UNSUPPORTED("""COMPUTED_VALUE"""),"16576224D")</f>
        <v>16576224D</v>
      </c>
    </row>
    <row r="81" spans="1:4" ht="14.25">
      <c r="A81" s="16" t="str">
        <f ca="1">IFERROR(__xludf.UNSUPPORTED("""COMPUTED_VALUE"""),"Cabedo Peris, Javier")</f>
        <v>Cabedo Peris, Javier</v>
      </c>
      <c r="B81" s="16" t="str">
        <f ca="1">IFERROR(__xludf.UNSUPPORTED("""COMPUTED_VALUE"""),"Cabedo Peris")</f>
        <v>Cabedo Peris</v>
      </c>
      <c r="C81" s="16" t="str">
        <f ca="1">IFERROR(__xludf.UNSUPPORTED("""COMPUTED_VALUE"""),"Javier")</f>
        <v>Javier</v>
      </c>
      <c r="D81" s="16" t="str">
        <f ca="1">IFERROR(__xludf.UNSUPPORTED("""COMPUTED_VALUE"""),"53727929K")</f>
        <v>53727929K</v>
      </c>
    </row>
    <row r="82" spans="1:4" ht="14.25">
      <c r="A82" s="16" t="str">
        <f ca="1">IFERROR(__xludf.UNSUPPORTED("""COMPUTED_VALUE"""),"Cabello Navarro, Paula")</f>
        <v>Cabello Navarro, Paula</v>
      </c>
      <c r="B82" s="16" t="str">
        <f ca="1">IFERROR(__xludf.UNSUPPORTED("""COMPUTED_VALUE"""),"Cabello Navarro")</f>
        <v>Cabello Navarro</v>
      </c>
      <c r="C82" s="16" t="str">
        <f ca="1">IFERROR(__xludf.UNSUPPORTED("""COMPUTED_VALUE"""),"Paula")</f>
        <v>Paula</v>
      </c>
      <c r="D82" s="16" t="str">
        <f ca="1">IFERROR(__xludf.UNSUPPORTED("""COMPUTED_VALUE"""),"21008196L")</f>
        <v>21008196L</v>
      </c>
    </row>
    <row r="83" spans="1:4" ht="14.25">
      <c r="A83" s="16" t="str">
        <f ca="1">IFERROR(__xludf.UNSUPPORTED("""COMPUTED_VALUE"""),"Cabello Vives, Mercedes Yolanda")</f>
        <v>Cabello Vives, Mercedes Yolanda</v>
      </c>
      <c r="B83" s="16" t="str">
        <f ca="1">IFERROR(__xludf.UNSUPPORTED("""COMPUTED_VALUE"""),"Cabello Vives")</f>
        <v>Cabello Vives</v>
      </c>
      <c r="C83" s="16" t="str">
        <f ca="1">IFERROR(__xludf.UNSUPPORTED("""COMPUTED_VALUE"""),"Mercedes Yolanda")</f>
        <v>Mercedes Yolanda</v>
      </c>
      <c r="D83" s="16" t="str">
        <f ca="1">IFERROR(__xludf.UNSUPPORTED("""COMPUTED_VALUE"""),"43103149E")</f>
        <v>43103149E</v>
      </c>
    </row>
    <row r="84" spans="1:4" ht="14.25">
      <c r="A84" s="16" t="str">
        <f ca="1">IFERROR(__xludf.UNSUPPORTED("""COMPUTED_VALUE"""),"Cabellos García, Ana Cristina")</f>
        <v>Cabellos García, Ana Cristina</v>
      </c>
      <c r="B84" s="16" t="str">
        <f ca="1">IFERROR(__xludf.UNSUPPORTED("""COMPUTED_VALUE"""),"Cabellos García")</f>
        <v>Cabellos García</v>
      </c>
      <c r="C84" s="16" t="str">
        <f ca="1">IFERROR(__xludf.UNSUPPORTED("""COMPUTED_VALUE"""),"Ana Cristina")</f>
        <v>Ana Cristina</v>
      </c>
      <c r="D84" s="16" t="str">
        <f ca="1">IFERROR(__xludf.UNSUPPORTED("""COMPUTED_VALUE"""),"48592662X")</f>
        <v>48592662X</v>
      </c>
    </row>
    <row r="85" spans="1:4" ht="14.25">
      <c r="A85" s="16" t="str">
        <f ca="1">IFERROR(__xludf.UNSUPPORTED("""COMPUTED_VALUE"""),"Cabezas García, Silvestre")</f>
        <v>Cabezas García, Silvestre</v>
      </c>
      <c r="B85" s="16" t="str">
        <f ca="1">IFERROR(__xludf.UNSUPPORTED("""COMPUTED_VALUE"""),"Cabezas García")</f>
        <v>Cabezas García</v>
      </c>
      <c r="C85" s="16" t="str">
        <f ca="1">IFERROR(__xludf.UNSUPPORTED("""COMPUTED_VALUE"""),"Silvestre")</f>
        <v>Silvestre</v>
      </c>
      <c r="D85" s="16" t="str">
        <f ca="1">IFERROR(__xludf.UNSUPPORTED("""COMPUTED_VALUE"""),"18173429W")</f>
        <v>18173429W</v>
      </c>
    </row>
    <row r="86" spans="1:4" ht="14.25">
      <c r="A86" s="16" t="str">
        <f ca="1">IFERROR(__xludf.UNSUPPORTED("""COMPUTED_VALUE"""),"Cairós González, Mariana Elena")</f>
        <v>Cairós González, Mariana Elena</v>
      </c>
      <c r="B86" s="16" t="str">
        <f ca="1">IFERROR(__xludf.UNSUPPORTED("""COMPUTED_VALUE"""),"Cairós González")</f>
        <v>Cairós González</v>
      </c>
      <c r="C86" s="16" t="str">
        <f ca="1">IFERROR(__xludf.UNSUPPORTED("""COMPUTED_VALUE"""),"Mariana Elena")</f>
        <v>Mariana Elena</v>
      </c>
      <c r="D86" s="16" t="str">
        <f ca="1">IFERROR(__xludf.UNSUPPORTED("""COMPUTED_VALUE"""),"78629442D")</f>
        <v>78629442D</v>
      </c>
    </row>
    <row r="87" spans="1:4" ht="14.25">
      <c r="A87" s="16" t="str">
        <f ca="1">IFERROR(__xludf.UNSUPPORTED("""COMPUTED_VALUE"""),"Cámara Navarro, Nuria")</f>
        <v>Cámara Navarro, Nuria</v>
      </c>
      <c r="B87" s="16" t="str">
        <f ca="1">IFERROR(__xludf.UNSUPPORTED("""COMPUTED_VALUE"""),"Cámara Navarro")</f>
        <v>Cámara Navarro</v>
      </c>
      <c r="C87" s="16" t="str">
        <f ca="1">IFERROR(__xludf.UNSUPPORTED("""COMPUTED_VALUE"""),"Nuria")</f>
        <v>Nuria</v>
      </c>
      <c r="D87" s="16" t="str">
        <f ca="1">IFERROR(__xludf.UNSUPPORTED("""COMPUTED_VALUE"""),"52636572Z")</f>
        <v>52636572Z</v>
      </c>
    </row>
    <row r="88" spans="1:4" ht="14.25">
      <c r="A88" s="16" t="str">
        <f ca="1">IFERROR(__xludf.UNSUPPORTED("""COMPUTED_VALUE"""),"Cámara Navarro, Raquel")</f>
        <v>Cámara Navarro, Raquel</v>
      </c>
      <c r="B88" s="16" t="str">
        <f ca="1">IFERROR(__xludf.UNSUPPORTED("""COMPUTED_VALUE"""),"Cámara Navarro")</f>
        <v>Cámara Navarro</v>
      </c>
      <c r="C88" s="16" t="str">
        <f ca="1">IFERROR(__xludf.UNSUPPORTED("""COMPUTED_VALUE"""),"Raquel")</f>
        <v>Raquel</v>
      </c>
      <c r="D88" s="16" t="str">
        <f ca="1">IFERROR(__xludf.UNSUPPORTED("""COMPUTED_VALUE"""),"52636573S")</f>
        <v>52636573S</v>
      </c>
    </row>
    <row r="89" spans="1:4" ht="14.25">
      <c r="A89" s="16" t="str">
        <f ca="1">IFERROR(__xludf.UNSUPPORTED("""COMPUTED_VALUE"""),"Cambas Muñoz, Cristina")</f>
        <v>Cambas Muñoz, Cristina</v>
      </c>
      <c r="B89" s="16" t="str">
        <f ca="1">IFERROR(__xludf.UNSUPPORTED("""COMPUTED_VALUE"""),"Cambas Muñoz")</f>
        <v>Cambas Muñoz</v>
      </c>
      <c r="C89" s="16" t="str">
        <f ca="1">IFERROR(__xludf.UNSUPPORTED("""COMPUTED_VALUE"""),"Cristina")</f>
        <v>Cristina</v>
      </c>
      <c r="D89" s="16" t="str">
        <f ca="1">IFERROR(__xludf.UNSUPPORTED("""COMPUTED_VALUE"""),"09068319V")</f>
        <v>09068319V</v>
      </c>
    </row>
    <row r="90" spans="1:4" ht="14.25">
      <c r="A90" s="16" t="str">
        <f ca="1">IFERROR(__xludf.UNSUPPORTED("""COMPUTED_VALUE"""),"Campla Bolivar, Xaviera Paz")</f>
        <v>Campla Bolivar, Xaviera Paz</v>
      </c>
      <c r="B90" s="16" t="str">
        <f ca="1">IFERROR(__xludf.UNSUPPORTED("""COMPUTED_VALUE"""),"Campla Bolivar")</f>
        <v>Campla Bolivar</v>
      </c>
      <c r="C90" s="16" t="str">
        <f ca="1">IFERROR(__xludf.UNSUPPORTED("""COMPUTED_VALUE"""),"Xaviera Paz")</f>
        <v>Xaviera Paz</v>
      </c>
      <c r="D90" s="16" t="str">
        <f ca="1">IFERROR(__xludf.UNSUPPORTED("""COMPUTED_VALUE"""),"Y5755570H")</f>
        <v>Y5755570H</v>
      </c>
    </row>
    <row r="91" spans="1:4" ht="14.25">
      <c r="A91" s="16" t="str">
        <f ca="1">IFERROR(__xludf.UNSUPPORTED("""COMPUTED_VALUE"""),"Camprodon Boadas, Patricia")</f>
        <v>Camprodon Boadas, Patricia</v>
      </c>
      <c r="B91" s="16" t="str">
        <f ca="1">IFERROR(__xludf.UNSUPPORTED("""COMPUTED_VALUE"""),"Camprodon Boadas")</f>
        <v>Camprodon Boadas</v>
      </c>
      <c r="C91" s="16" t="str">
        <f ca="1">IFERROR(__xludf.UNSUPPORTED("""COMPUTED_VALUE"""),"Patricia")</f>
        <v>Patricia</v>
      </c>
      <c r="D91" s="16" t="str">
        <f ca="1">IFERROR(__xludf.UNSUPPORTED("""COMPUTED_VALUE"""),"47991833X")</f>
        <v>47991833X</v>
      </c>
    </row>
    <row r="92" spans="1:4" ht="14.25">
      <c r="A92" s="16" t="str">
        <f ca="1">IFERROR(__xludf.UNSUPPORTED("""COMPUTED_VALUE"""),"Cano Escalera, Guillermo")</f>
        <v>Cano Escalera, Guillermo</v>
      </c>
      <c r="B92" s="16" t="str">
        <f ca="1">IFERROR(__xludf.UNSUPPORTED("""COMPUTED_VALUE"""),"Cano Escalera")</f>
        <v>Cano Escalera</v>
      </c>
      <c r="C92" s="16" t="str">
        <f ca="1">IFERROR(__xludf.UNSUPPORTED("""COMPUTED_VALUE"""),"Guillermo")</f>
        <v>Guillermo</v>
      </c>
      <c r="D92" s="16" t="str">
        <f ca="1">IFERROR(__xludf.UNSUPPORTED("""COMPUTED_VALUE"""),"78944558W")</f>
        <v>78944558W</v>
      </c>
    </row>
    <row r="93" spans="1:4" ht="14.25">
      <c r="A93" s="16" t="str">
        <f ca="1">IFERROR(__xludf.UNSUPPORTED("""COMPUTED_VALUE"""),"Cano López, Irene")</f>
        <v>Cano López, Irene</v>
      </c>
      <c r="B93" s="16" t="str">
        <f ca="1">IFERROR(__xludf.UNSUPPORTED("""COMPUTED_VALUE"""),"Cano López")</f>
        <v>Cano López</v>
      </c>
      <c r="C93" s="16" t="str">
        <f ca="1">IFERROR(__xludf.UNSUPPORTED("""COMPUTED_VALUE"""),"Irene")</f>
        <v>Irene</v>
      </c>
      <c r="D93" s="16" t="str">
        <f ca="1">IFERROR(__xludf.UNSUPPORTED("""COMPUTED_VALUE"""),"06281187W")</f>
        <v>06281187W</v>
      </c>
    </row>
    <row r="94" spans="1:4" ht="14.25">
      <c r="A94" s="16" t="str">
        <f ca="1">IFERROR(__xludf.UNSUPPORTED("""COMPUTED_VALUE"""),"Cano Villagrasa, Alejandro")</f>
        <v>Cano Villagrasa, Alejandro</v>
      </c>
      <c r="B94" s="16" t="str">
        <f ca="1">IFERROR(__xludf.UNSUPPORTED("""COMPUTED_VALUE"""),"Cano Villagrasa")</f>
        <v>Cano Villagrasa</v>
      </c>
      <c r="C94" s="16" t="str">
        <f ca="1">IFERROR(__xludf.UNSUPPORTED("""COMPUTED_VALUE"""),"Alejandro")</f>
        <v>Alejandro</v>
      </c>
      <c r="D94" s="16" t="str">
        <f ca="1">IFERROR(__xludf.UNSUPPORTED("""COMPUTED_VALUE"""),"45898034Q")</f>
        <v>45898034Q</v>
      </c>
    </row>
    <row r="95" spans="1:4" ht="14.25">
      <c r="A95" s="16" t="str">
        <f ca="1">IFERROR(__xludf.UNSUPPORTED("""COMPUTED_VALUE"""),"Cantero García, María Francisca")</f>
        <v>Cantero García, María Francisca</v>
      </c>
      <c r="B95" s="16" t="str">
        <f ca="1">IFERROR(__xludf.UNSUPPORTED("""COMPUTED_VALUE"""),"Cantero García")</f>
        <v>Cantero García</v>
      </c>
      <c r="C95" s="16" t="str">
        <f ca="1">IFERROR(__xludf.UNSUPPORTED("""COMPUTED_VALUE"""),"María Francisca")</f>
        <v>María Francisca</v>
      </c>
      <c r="D95" s="16" t="str">
        <f ca="1">IFERROR(__xludf.UNSUPPORTED("""COMPUTED_VALUE"""),"75564693X")</f>
        <v>75564693X</v>
      </c>
    </row>
    <row r="96" spans="1:4" ht="14.25">
      <c r="A96" s="16" t="str">
        <f ca="1">IFERROR(__xludf.UNSUPPORTED("""COMPUTED_VALUE"""),"Cantón Habas, Vanesa")</f>
        <v>Cantón Habas, Vanesa</v>
      </c>
      <c r="B96" s="16" t="str">
        <f ca="1">IFERROR(__xludf.UNSUPPORTED("""COMPUTED_VALUE"""),"Cantón Habas")</f>
        <v>Cantón Habas</v>
      </c>
      <c r="C96" s="16" t="str">
        <f ca="1">IFERROR(__xludf.UNSUPPORTED("""COMPUTED_VALUE"""),"Vanesa")</f>
        <v>Vanesa</v>
      </c>
      <c r="D96" s="16" t="str">
        <f ca="1">IFERROR(__xludf.UNSUPPORTED("""COMPUTED_VALUE"""),"30998859b")</f>
        <v>30998859b</v>
      </c>
    </row>
    <row r="97" spans="1:4" ht="14.25">
      <c r="A97" s="16" t="str">
        <f ca="1">IFERROR(__xludf.UNSUPPORTED("""COMPUTED_VALUE"""),"Cañas Cañas, Rubén")</f>
        <v>Cañas Cañas, Rubén</v>
      </c>
      <c r="B97" s="16" t="str">
        <f ca="1">IFERROR(__xludf.UNSUPPORTED("""COMPUTED_VALUE"""),"Cañas Cañas")</f>
        <v>Cañas Cañas</v>
      </c>
      <c r="C97" s="16" t="str">
        <f ca="1">IFERROR(__xludf.UNSUPPORTED("""COMPUTED_VALUE"""),"Rubén")</f>
        <v>Rubén</v>
      </c>
      <c r="D97" s="16" t="str">
        <f ca="1">IFERROR(__xludf.UNSUPPORTED("""COMPUTED_VALUE"""),"04633293N")</f>
        <v>04633293N</v>
      </c>
    </row>
    <row r="98" spans="1:4" ht="14.25">
      <c r="A98" s="16" t="str">
        <f ca="1">IFERROR(__xludf.UNSUPPORTED("""COMPUTED_VALUE"""),"Caparrós González, Rafael Arcangel")</f>
        <v>Caparrós González, Rafael Arcangel</v>
      </c>
      <c r="B98" s="16" t="str">
        <f ca="1">IFERROR(__xludf.UNSUPPORTED("""COMPUTED_VALUE"""),"Caparrós González")</f>
        <v>Caparrós González</v>
      </c>
      <c r="C98" s="16" t="str">
        <f ca="1">IFERROR(__xludf.UNSUPPORTED("""COMPUTED_VALUE"""),"Rafael Arcangel")</f>
        <v>Rafael Arcangel</v>
      </c>
      <c r="D98" s="16" t="str">
        <f ca="1">IFERROR(__xludf.UNSUPPORTED("""COMPUTED_VALUE"""),"75876732P")</f>
        <v>75876732P</v>
      </c>
    </row>
    <row r="99" spans="1:4" ht="14.25">
      <c r="A99" s="16" t="str">
        <f ca="1">IFERROR(__xludf.UNSUPPORTED("""COMPUTED_VALUE"""),"Carbonell Bernal, Noelia")</f>
        <v>Carbonell Bernal, Noelia</v>
      </c>
      <c r="B99" s="16" t="str">
        <f ca="1">IFERROR(__xludf.UNSUPPORTED("""COMPUTED_VALUE"""),"Carbonell Bernal")</f>
        <v>Carbonell Bernal</v>
      </c>
      <c r="C99" s="16" t="str">
        <f ca="1">IFERROR(__xludf.UNSUPPORTED("""COMPUTED_VALUE"""),"Noelia")</f>
        <v>Noelia</v>
      </c>
      <c r="D99" s="16" t="str">
        <f ca="1">IFERROR(__xludf.UNSUPPORTED("""COMPUTED_VALUE"""),"23021253R")</f>
        <v>23021253R</v>
      </c>
    </row>
    <row r="100" spans="1:4" ht="14.25">
      <c r="A100" s="16" t="str">
        <f ca="1">IFERROR(__xludf.UNSUPPORTED("""COMPUTED_VALUE"""),"Cárcel Valle, Lucía")</f>
        <v>Cárcel Valle, Lucía</v>
      </c>
      <c r="B100" s="16" t="str">
        <f ca="1">IFERROR(__xludf.UNSUPPORTED("""COMPUTED_VALUE"""),"Cárcel Valle")</f>
        <v>Cárcel Valle</v>
      </c>
      <c r="C100" s="16" t="str">
        <f ca="1">IFERROR(__xludf.UNSUPPORTED("""COMPUTED_VALUE"""),"Lucía")</f>
        <v>Lucía</v>
      </c>
      <c r="D100" s="16" t="str">
        <f ca="1">IFERROR(__xludf.UNSUPPORTED("""COMPUTED_VALUE"""),"73657643M")</f>
        <v>73657643M</v>
      </c>
    </row>
    <row r="101" spans="1:4" ht="14.25">
      <c r="A101" s="16" t="str">
        <f ca="1">IFERROR(__xludf.UNSUPPORTED("""COMPUTED_VALUE"""),"Carda Diéguez, Miguel")</f>
        <v>Carda Diéguez, Miguel</v>
      </c>
      <c r="B101" s="16" t="str">
        <f ca="1">IFERROR(__xludf.UNSUPPORTED("""COMPUTED_VALUE"""),"Carda Diéguez")</f>
        <v>Carda Diéguez</v>
      </c>
      <c r="C101" s="16" t="str">
        <f ca="1">IFERROR(__xludf.UNSUPPORTED("""COMPUTED_VALUE"""),"Miguel")</f>
        <v>Miguel</v>
      </c>
      <c r="D101" s="16" t="str">
        <f ca="1">IFERROR(__xludf.UNSUPPORTED("""COMPUTED_VALUE"""),"53382011T")</f>
        <v>53382011T</v>
      </c>
    </row>
    <row r="102" spans="1:4" ht="14.25">
      <c r="A102" s="16" t="str">
        <f ca="1">IFERROR(__xludf.UNSUPPORTED("""COMPUTED_VALUE"""),"Cardona Serrate, Fernando")</f>
        <v>Cardona Serrate, Fernando</v>
      </c>
      <c r="B102" s="16" t="str">
        <f ca="1">IFERROR(__xludf.UNSUPPORTED("""COMPUTED_VALUE"""),"Cardona Serrate")</f>
        <v>Cardona Serrate</v>
      </c>
      <c r="C102" s="16" t="str">
        <f ca="1">IFERROR(__xludf.UNSUPPORTED("""COMPUTED_VALUE"""),"Fernando")</f>
        <v>Fernando</v>
      </c>
      <c r="D102" s="16" t="str">
        <f ca="1">IFERROR(__xludf.UNSUPPORTED("""COMPUTED_VALUE"""),"22562804B")</f>
        <v>22562804B</v>
      </c>
    </row>
    <row r="103" spans="1:4" ht="14.25">
      <c r="A103" s="16" t="str">
        <f ca="1">IFERROR(__xludf.UNSUPPORTED("""COMPUTED_VALUE"""),"Carmona Rincón, Isaac")</f>
        <v>Carmona Rincón, Isaac</v>
      </c>
      <c r="B103" s="16" t="str">
        <f ca="1">IFERROR(__xludf.UNSUPPORTED("""COMPUTED_VALUE"""),"Carmona Rincón")</f>
        <v>Carmona Rincón</v>
      </c>
      <c r="C103" s="16" t="str">
        <f ca="1">IFERROR(__xludf.UNSUPPORTED("""COMPUTED_VALUE"""),"Isaac")</f>
        <v>Isaac</v>
      </c>
      <c r="D103" s="16" t="str">
        <f ca="1">IFERROR(__xludf.UNSUPPORTED("""COMPUTED_VALUE"""),"49025305T")</f>
        <v>49025305T</v>
      </c>
    </row>
    <row r="104" spans="1:4" ht="14.25">
      <c r="A104" s="16" t="str">
        <f ca="1">IFERROR(__xludf.UNSUPPORTED("""COMPUTED_VALUE"""),"Carmona Vicente, Noelia")</f>
        <v>Carmona Vicente, Noelia</v>
      </c>
      <c r="B104" s="16" t="str">
        <f ca="1">IFERROR(__xludf.UNSUPPORTED("""COMPUTED_VALUE"""),"Carmona Vicente")</f>
        <v>Carmona Vicente</v>
      </c>
      <c r="C104" s="16" t="str">
        <f ca="1">IFERROR(__xludf.UNSUPPORTED("""COMPUTED_VALUE"""),"Noelia")</f>
        <v>Noelia</v>
      </c>
      <c r="D104" s="16" t="str">
        <f ca="1">IFERROR(__xludf.UNSUPPORTED("""COMPUTED_VALUE"""),"73582242K")</f>
        <v>73582242K</v>
      </c>
    </row>
    <row r="105" spans="1:4" ht="14.25">
      <c r="A105" s="16" t="str">
        <f ca="1">IFERROR(__xludf.UNSUPPORTED("""COMPUTED_VALUE"""),"Carreras del Rincón, Joan")</f>
        <v>Carreras del Rincón, Joan</v>
      </c>
      <c r="B105" s="16" t="str">
        <f ca="1">IFERROR(__xludf.UNSUPPORTED("""COMPUTED_VALUE"""),"Carreras del Rincón")</f>
        <v>Carreras del Rincón</v>
      </c>
      <c r="C105" s="16" t="str">
        <f ca="1">IFERROR(__xludf.UNSUPPORTED("""COMPUTED_VALUE"""),"Joan")</f>
        <v>Joan</v>
      </c>
      <c r="D105" s="16" t="str">
        <f ca="1">IFERROR(__xludf.UNSUPPORTED("""COMPUTED_VALUE"""),"35012579R")</f>
        <v>35012579R</v>
      </c>
    </row>
    <row r="106" spans="1:4" ht="14.25">
      <c r="A106" s="16" t="str">
        <f ca="1">IFERROR(__xludf.UNSUPPORTED("""COMPUTED_VALUE"""),"Carrero Puerto, María de los Ángeles")</f>
        <v>Carrero Puerto, María de los Ángeles</v>
      </c>
      <c r="B106" s="16" t="str">
        <f ca="1">IFERROR(__xludf.UNSUPPORTED("""COMPUTED_VALUE"""),"Carrero Puerto")</f>
        <v>Carrero Puerto</v>
      </c>
      <c r="C106" s="16" t="str">
        <f ca="1">IFERROR(__xludf.UNSUPPORTED("""COMPUTED_VALUE"""),"María de los Ángeles")</f>
        <v>María de los Ángeles</v>
      </c>
      <c r="D106" s="16" t="str">
        <f ca="1">IFERROR(__xludf.UNSUPPORTED("""COMPUTED_VALUE"""),"47011961F")</f>
        <v>47011961F</v>
      </c>
    </row>
    <row r="107" spans="1:4" ht="14.25">
      <c r="A107" s="16" t="str">
        <f ca="1">IFERROR(__xludf.UNSUPPORTED("""COMPUTED_VALUE"""),"Casabo Vallés, Germán")</f>
        <v>Casabo Vallés, Germán</v>
      </c>
      <c r="B107" s="16" t="str">
        <f ca="1">IFERROR(__xludf.UNSUPPORTED("""COMPUTED_VALUE"""),"Casabo Vallés")</f>
        <v>Casabo Vallés</v>
      </c>
      <c r="C107" s="16" t="str">
        <f ca="1">IFERROR(__xludf.UNSUPPORTED("""COMPUTED_VALUE"""),"Germán")</f>
        <v>Germán</v>
      </c>
      <c r="D107" s="16" t="str">
        <f ca="1">IFERROR(__xludf.UNSUPPORTED("""COMPUTED_VALUE"""),"54019792Z")</f>
        <v>54019792Z</v>
      </c>
    </row>
    <row r="108" spans="1:4" ht="14.25">
      <c r="A108" s="16" t="str">
        <f ca="1">IFERROR(__xludf.UNSUPPORTED("""COMPUTED_VALUE"""),"Casaña Mohedo, Jorge")</f>
        <v>Casaña Mohedo, Jorge</v>
      </c>
      <c r="B108" s="16" t="str">
        <f ca="1">IFERROR(__xludf.UNSUPPORTED("""COMPUTED_VALUE"""),"Casaña Mohedo")</f>
        <v>Casaña Mohedo</v>
      </c>
      <c r="C108" s="16" t="str">
        <f ca="1">IFERROR(__xludf.UNSUPPORTED("""COMPUTED_VALUE"""),"Jorge")</f>
        <v>Jorge</v>
      </c>
      <c r="D108" s="16" t="str">
        <f ca="1">IFERROR(__xludf.UNSUPPORTED("""COMPUTED_VALUE"""),"53092573V")</f>
        <v>53092573V</v>
      </c>
    </row>
    <row r="109" spans="1:4" ht="14.25">
      <c r="A109" s="16" t="str">
        <f ca="1">IFERROR(__xludf.UNSUPPORTED("""COMPUTED_VALUE"""),"Cassetti, Viola")</f>
        <v>Cassetti, Viola</v>
      </c>
      <c r="B109" s="16" t="str">
        <f ca="1">IFERROR(__xludf.UNSUPPORTED("""COMPUTED_VALUE"""),"Cassetti")</f>
        <v>Cassetti</v>
      </c>
      <c r="C109" s="16" t="str">
        <f ca="1">IFERROR(__xludf.UNSUPPORTED("""COMPUTED_VALUE"""),"Viola")</f>
        <v>Viola</v>
      </c>
      <c r="D109" s="16" t="str">
        <f ca="1">IFERROR(__xludf.UNSUPPORTED("""COMPUTED_VALUE"""),"Y4488694M")</f>
        <v>Y4488694M</v>
      </c>
    </row>
    <row r="110" spans="1:4" ht="14.25">
      <c r="A110" s="16" t="str">
        <f ca="1">IFERROR(__xludf.UNSUPPORTED("""COMPUTED_VALUE"""),"Catalán Prades, Laura")</f>
        <v>Catalán Prades, Laura</v>
      </c>
      <c r="B110" s="16" t="str">
        <f ca="1">IFERROR(__xludf.UNSUPPORTED("""COMPUTED_VALUE"""),"Catalán Prades")</f>
        <v>Catalán Prades</v>
      </c>
      <c r="C110" s="16" t="str">
        <f ca="1">IFERROR(__xludf.UNSUPPORTED("""COMPUTED_VALUE"""),"Laura")</f>
        <v>Laura</v>
      </c>
      <c r="D110" s="16" t="str">
        <f ca="1">IFERROR(__xludf.UNSUPPORTED("""COMPUTED_VALUE"""),"73393629P")</f>
        <v>73393629P</v>
      </c>
    </row>
    <row r="111" spans="1:4" ht="14.25">
      <c r="A111" s="16" t="str">
        <f ca="1">IFERROR(__xludf.UNSUPPORTED("""COMPUTED_VALUE"""),"Ceita Builelo, Maria Luisa")</f>
        <v>Ceita Builelo, Maria Luisa</v>
      </c>
      <c r="B111" s="16" t="str">
        <f ca="1">IFERROR(__xludf.UNSUPPORTED("""COMPUTED_VALUE"""),"Ceita Builelo")</f>
        <v>Ceita Builelo</v>
      </c>
      <c r="C111" s="16" t="str">
        <f ca="1">IFERROR(__xludf.UNSUPPORTED("""COMPUTED_VALUE"""),"Maria Luisa")</f>
        <v>Maria Luisa</v>
      </c>
      <c r="D111" s="16" t="str">
        <f ca="1">IFERROR(__xludf.UNSUPPORTED("""COMPUTED_VALUE"""),"22692021Z")</f>
        <v>22692021Z</v>
      </c>
    </row>
    <row r="112" spans="1:4" ht="14.25">
      <c r="A112" s="16" t="str">
        <f ca="1">IFERROR(__xludf.UNSUPPORTED("""COMPUTED_VALUE"""),"Cejalvo Herraiz, Elena")</f>
        <v>Cejalvo Herraiz, Elena</v>
      </c>
      <c r="B112" s="16" t="str">
        <f ca="1">IFERROR(__xludf.UNSUPPORTED("""COMPUTED_VALUE"""),"Cejalvo Herraiz")</f>
        <v>Cejalvo Herraiz</v>
      </c>
      <c r="C112" s="16" t="str">
        <f ca="1">IFERROR(__xludf.UNSUPPORTED("""COMPUTED_VALUE"""),"Elena")</f>
        <v>Elena</v>
      </c>
      <c r="D112" s="16" t="str">
        <f ca="1">IFERROR(__xludf.UNSUPPORTED("""COMPUTED_VALUE"""),"04628016W")</f>
        <v>04628016W</v>
      </c>
    </row>
    <row r="113" spans="1:4" ht="14.25">
      <c r="A113" s="16" t="str">
        <f ca="1">IFERROR(__xludf.UNSUPPORTED("""COMPUTED_VALUE"""),"Centelles González, Olga")</f>
        <v>Centelles González, Olga</v>
      </c>
      <c r="B113" s="16" t="str">
        <f ca="1">IFERROR(__xludf.UNSUPPORTED("""COMPUTED_VALUE"""),"Centelles González")</f>
        <v>Centelles González</v>
      </c>
      <c r="C113" s="16" t="str">
        <f ca="1">IFERROR(__xludf.UNSUPPORTED("""COMPUTED_VALUE"""),"Olga")</f>
        <v>Olga</v>
      </c>
      <c r="D113" s="16" t="str">
        <f ca="1">IFERROR(__xludf.UNSUPPORTED("""COMPUTED_VALUE"""),"73104668L")</f>
        <v>73104668L</v>
      </c>
    </row>
    <row r="114" spans="1:4" ht="14.25">
      <c r="A114" s="16" t="str">
        <f ca="1">IFERROR(__xludf.UNSUPPORTED("""COMPUTED_VALUE"""),"Cerda Blasco, María Eugenia")</f>
        <v>Cerda Blasco, María Eugenia</v>
      </c>
      <c r="B114" s="16" t="str">
        <f ca="1">IFERROR(__xludf.UNSUPPORTED("""COMPUTED_VALUE"""),"Cerda Blasco")</f>
        <v>Cerda Blasco</v>
      </c>
      <c r="C114" s="16" t="str">
        <f ca="1">IFERROR(__xludf.UNSUPPORTED("""COMPUTED_VALUE"""),"María Eugenia")</f>
        <v>María Eugenia</v>
      </c>
      <c r="D114" s="16" t="str">
        <f ca="1">IFERROR(__xludf.UNSUPPORTED("""COMPUTED_VALUE"""),"73396677C")</f>
        <v>73396677C</v>
      </c>
    </row>
    <row r="115" spans="1:4" ht="14.25">
      <c r="A115" s="16" t="str">
        <f ca="1">IFERROR(__xludf.UNSUPPORTED("""COMPUTED_VALUE"""),"Cervera Vidal, Raimundo")</f>
        <v>Cervera Vidal, Raimundo</v>
      </c>
      <c r="B115" s="16" t="str">
        <f ca="1">IFERROR(__xludf.UNSUPPORTED("""COMPUTED_VALUE"""),"Cervera Vidal")</f>
        <v>Cervera Vidal</v>
      </c>
      <c r="C115" s="16" t="str">
        <f ca="1">IFERROR(__xludf.UNSUPPORTED("""COMPUTED_VALUE"""),"Raimundo")</f>
        <v>Raimundo</v>
      </c>
      <c r="D115" s="16" t="str">
        <f ca="1">IFERROR(__xludf.UNSUPPORTED("""COMPUTED_VALUE"""),"53376381M")</f>
        <v>53376381M</v>
      </c>
    </row>
    <row r="116" spans="1:4" ht="14.25">
      <c r="A116" s="16" t="str">
        <f ca="1">IFERROR(__xludf.UNSUPPORTED("""COMPUTED_VALUE"""),"Céspedes Rubio, Claudia Lorena")</f>
        <v>Céspedes Rubio, Claudia Lorena</v>
      </c>
      <c r="B116" s="16" t="str">
        <f ca="1">IFERROR(__xludf.UNSUPPORTED("""COMPUTED_VALUE"""),"Céspedes Rubio")</f>
        <v>Céspedes Rubio</v>
      </c>
      <c r="C116" s="16" t="str">
        <f ca="1">IFERROR(__xludf.UNSUPPORTED("""COMPUTED_VALUE"""),"Claudia Lorena")</f>
        <v>Claudia Lorena</v>
      </c>
      <c r="D116" s="16">
        <f ca="1">IFERROR(__xludf.UNSUPPORTED("""COMPUTED_VALUE"""),128267018)</f>
        <v>128267018</v>
      </c>
    </row>
    <row r="117" spans="1:4" ht="14.25">
      <c r="A117" s="16" t="str">
        <f ca="1">IFERROR(__xludf.UNSUPPORTED("""COMPUTED_VALUE"""),"Cespón González, Jesús")</f>
        <v>Cespón González, Jesús</v>
      </c>
      <c r="B117" s="16" t="str">
        <f ca="1">IFERROR(__xludf.UNSUPPORTED("""COMPUTED_VALUE"""),"Cespón González")</f>
        <v>Cespón González</v>
      </c>
      <c r="C117" s="16" t="str">
        <f ca="1">IFERROR(__xludf.UNSUPPORTED("""COMPUTED_VALUE"""),"Jesús")</f>
        <v>Jesús</v>
      </c>
      <c r="D117" s="16" t="str">
        <f ca="1">IFERROR(__xludf.UNSUPPORTED("""COMPUTED_VALUE"""),"52939624H")</f>
        <v>52939624H</v>
      </c>
    </row>
    <row r="118" spans="1:4" ht="14.25">
      <c r="A118" s="16" t="str">
        <f ca="1">IFERROR(__xludf.UNSUPPORTED("""COMPUTED_VALUE"""),"Chaves Martínez, Felipe Javier")</f>
        <v>Chaves Martínez, Felipe Javier</v>
      </c>
      <c r="B118" s="16" t="str">
        <f ca="1">IFERROR(__xludf.UNSUPPORTED("""COMPUTED_VALUE"""),"Chaves Martínez")</f>
        <v>Chaves Martínez</v>
      </c>
      <c r="C118" s="16" t="str">
        <f ca="1">IFERROR(__xludf.UNSUPPORTED("""COMPUTED_VALUE"""),"Felipe Javier")</f>
        <v>Felipe Javier</v>
      </c>
      <c r="D118" s="16" t="str">
        <f ca="1">IFERROR(__xludf.UNSUPPORTED("""COMPUTED_VALUE"""),"16020256C")</f>
        <v>16020256C</v>
      </c>
    </row>
    <row r="119" spans="1:4" ht="14.25">
      <c r="A119" s="16" t="str">
        <f ca="1">IFERROR(__xludf.UNSUPPORTED("""COMPUTED_VALUE"""),"Chesa Carda, Lourdes")</f>
        <v>Chesa Carda, Lourdes</v>
      </c>
      <c r="B119" s="16" t="str">
        <f ca="1">IFERROR(__xludf.UNSUPPORTED("""COMPUTED_VALUE"""),"Chesa Carda")</f>
        <v>Chesa Carda</v>
      </c>
      <c r="C119" s="16" t="str">
        <f ca="1">IFERROR(__xludf.UNSUPPORTED("""COMPUTED_VALUE"""),"Lourdes")</f>
        <v>Lourdes</v>
      </c>
      <c r="D119" s="16" t="str">
        <f ca="1">IFERROR(__xludf.UNSUPPORTED("""COMPUTED_VALUE"""),"18981770P")</f>
        <v>18981770P</v>
      </c>
    </row>
    <row r="120" spans="1:4" ht="14.25">
      <c r="A120" s="16" t="str">
        <f ca="1">IFERROR(__xludf.UNSUPPORTED("""COMPUTED_VALUE"""),"Chorén Rodríguez, Susana")</f>
        <v>Chorén Rodríguez, Susana</v>
      </c>
      <c r="B120" s="16" t="str">
        <f ca="1">IFERROR(__xludf.UNSUPPORTED("""COMPUTED_VALUE"""),"Chorén Rodríguez")</f>
        <v>Chorén Rodríguez</v>
      </c>
      <c r="C120" s="16" t="str">
        <f ca="1">IFERROR(__xludf.UNSUPPORTED("""COMPUTED_VALUE"""),"Susana")</f>
        <v>Susana</v>
      </c>
      <c r="D120" s="16" t="str">
        <f ca="1">IFERROR(__xludf.UNSUPPORTED("""COMPUTED_VALUE"""),"48307366Y")</f>
        <v>48307366Y</v>
      </c>
    </row>
    <row r="121" spans="1:4" ht="14.25">
      <c r="A121" s="16" t="str">
        <f ca="1">IFERROR(__xludf.UNSUPPORTED("""COMPUTED_VALUE"""),"Climent Rubio, Andrés")</f>
        <v>Climent Rubio, Andrés</v>
      </c>
      <c r="B121" s="16" t="str">
        <f ca="1">IFERROR(__xludf.UNSUPPORTED("""COMPUTED_VALUE"""),"Climent Rubio")</f>
        <v>Climent Rubio</v>
      </c>
      <c r="C121" s="16" t="str">
        <f ca="1">IFERROR(__xludf.UNSUPPORTED("""COMPUTED_VALUE"""),"Andrés")</f>
        <v>Andrés</v>
      </c>
      <c r="D121" s="16" t="str">
        <f ca="1">IFERROR(__xludf.UNSUPPORTED("""COMPUTED_VALUE"""),"29215517C")</f>
        <v>29215517C</v>
      </c>
    </row>
    <row r="122" spans="1:4" ht="14.25">
      <c r="A122" s="16" t="str">
        <f ca="1">IFERROR(__xludf.UNSUPPORTED("""COMPUTED_VALUE"""),"Cobo Sánchez, José Luis")</f>
        <v>Cobo Sánchez, José Luis</v>
      </c>
      <c r="B122" s="16" t="str">
        <f ca="1">IFERROR(__xludf.UNSUPPORTED("""COMPUTED_VALUE"""),"Cobo Sánchez")</f>
        <v>Cobo Sánchez</v>
      </c>
      <c r="C122" s="16" t="str">
        <f ca="1">IFERROR(__xludf.UNSUPPORTED("""COMPUTED_VALUE"""),"José Luis")</f>
        <v>José Luis</v>
      </c>
      <c r="D122" s="16" t="str">
        <f ca="1">IFERROR(__xludf.UNSUPPORTED("""COMPUTED_VALUE"""),"72038379X")</f>
        <v>72038379X</v>
      </c>
    </row>
    <row r="123" spans="1:4" ht="14.25">
      <c r="A123" s="16" t="str">
        <f ca="1">IFERROR(__xludf.UNSUPPORTED("""COMPUTED_VALUE"""),"Cobos Jiménez, Estrella")</f>
        <v>Cobos Jiménez, Estrella</v>
      </c>
      <c r="B123" s="16" t="str">
        <f ca="1">IFERROR(__xludf.UNSUPPORTED("""COMPUTED_VALUE"""),"Cobos Jiménez")</f>
        <v>Cobos Jiménez</v>
      </c>
      <c r="C123" s="16" t="str">
        <f ca="1">IFERROR(__xludf.UNSUPPORTED("""COMPUTED_VALUE"""),"Estrella")</f>
        <v>Estrella</v>
      </c>
      <c r="D123" s="16" t="str">
        <f ca="1">IFERROR(__xludf.UNSUPPORTED("""COMPUTED_VALUE"""),"50871102R")</f>
        <v>50871102R</v>
      </c>
    </row>
    <row r="124" spans="1:4" ht="14.25">
      <c r="A124" s="16" t="str">
        <f ca="1">IFERROR(__xludf.UNSUPPORTED("""COMPUTED_VALUE"""),"Cocola Coria, Facundo Nicolás")</f>
        <v>Cocola Coria, Facundo Nicolás</v>
      </c>
      <c r="B124" s="16" t="str">
        <f ca="1">IFERROR(__xludf.UNSUPPORTED("""COMPUTED_VALUE"""),"Cocola Coria")</f>
        <v>Cocola Coria</v>
      </c>
      <c r="C124" s="16" t="str">
        <f ca="1">IFERROR(__xludf.UNSUPPORTED("""COMPUTED_VALUE"""),"Facundo Nicolás")</f>
        <v>Facundo Nicolás</v>
      </c>
      <c r="D124" s="16">
        <f ca="1">IFERROR(__xludf.UNSUPPORTED("""COMPUTED_VALUE"""),32352263)</f>
        <v>32352263</v>
      </c>
    </row>
    <row r="125" spans="1:4" ht="14.25">
      <c r="A125" s="16" t="str">
        <f ca="1">IFERROR(__xludf.UNSUPPORTED("""COMPUTED_VALUE"""),"Collado Ruano, Javier")</f>
        <v>Collado Ruano, Javier</v>
      </c>
      <c r="B125" s="16" t="str">
        <f ca="1">IFERROR(__xludf.UNSUPPORTED("""COMPUTED_VALUE"""),"Collado Ruano")</f>
        <v>Collado Ruano</v>
      </c>
      <c r="C125" s="16" t="str">
        <f ca="1">IFERROR(__xludf.UNSUPPORTED("""COMPUTED_VALUE"""),"Javier")</f>
        <v>Javier</v>
      </c>
      <c r="D125" s="16" t="str">
        <f ca="1">IFERROR(__xludf.UNSUPPORTED("""COMPUTED_VALUE"""),"74517327H")</f>
        <v>74517327H</v>
      </c>
    </row>
    <row r="126" spans="1:4" ht="14.25">
      <c r="A126" s="16" t="str">
        <f ca="1">IFERROR(__xludf.UNSUPPORTED("""COMPUTED_VALUE"""),"Collantes Mora, Ana")</f>
        <v>Collantes Mora, Ana</v>
      </c>
      <c r="B126" s="16" t="str">
        <f ca="1">IFERROR(__xludf.UNSUPPORTED("""COMPUTED_VALUE"""),"Collantes Mora")</f>
        <v>Collantes Mora</v>
      </c>
      <c r="C126" s="16" t="str">
        <f ca="1">IFERROR(__xludf.UNSUPPORTED("""COMPUTED_VALUE"""),"Ana")</f>
        <v>Ana</v>
      </c>
      <c r="D126" s="16" t="str">
        <f ca="1">IFERROR(__xludf.UNSUPPORTED("""COMPUTED_VALUE"""),"16070081G")</f>
        <v>16070081G</v>
      </c>
    </row>
    <row r="127" spans="1:4" ht="14.25">
      <c r="A127" s="16" t="str">
        <f ca="1">IFERROR(__xludf.UNSUPPORTED("""COMPUTED_VALUE"""),"Colunga Santos, Silvia")</f>
        <v>Colunga Santos, Silvia</v>
      </c>
      <c r="B127" s="16" t="str">
        <f ca="1">IFERROR(__xludf.UNSUPPORTED("""COMPUTED_VALUE"""),"Colunga Santos")</f>
        <v>Colunga Santos</v>
      </c>
      <c r="C127" s="16" t="str">
        <f ca="1">IFERROR(__xludf.UNSUPPORTED("""COMPUTED_VALUE"""),"Silvia")</f>
        <v>Silvia</v>
      </c>
      <c r="D127" s="16">
        <f ca="1">IFERROR(__xludf.UNSUPPORTED("""COMPUTED_VALUE"""),56042003713)</f>
        <v>56042003713</v>
      </c>
    </row>
    <row r="128" spans="1:4" ht="14.25">
      <c r="A128" s="16" t="str">
        <f ca="1">IFERROR(__xludf.UNSUPPORTED("""COMPUTED_VALUE"""),"Comes Fayos, Javier")</f>
        <v>Comes Fayos, Javier</v>
      </c>
      <c r="B128" s="16" t="str">
        <f ca="1">IFERROR(__xludf.UNSUPPORTED("""COMPUTED_VALUE"""),"Comes Fayos")</f>
        <v>Comes Fayos</v>
      </c>
      <c r="C128" s="16" t="str">
        <f ca="1">IFERROR(__xludf.UNSUPPORTED("""COMPUTED_VALUE"""),"Javier")</f>
        <v>Javier</v>
      </c>
      <c r="D128" s="16" t="str">
        <f ca="1">IFERROR(__xludf.UNSUPPORTED("""COMPUTED_VALUE"""),"48406760V")</f>
        <v>48406760V</v>
      </c>
    </row>
    <row r="129" spans="1:4" ht="14.25">
      <c r="A129" s="16" t="str">
        <f ca="1">IFERROR(__xludf.UNSUPPORTED("""COMPUTED_VALUE"""),"Compañ Bertomeu, Álvaro")</f>
        <v>Compañ Bertomeu, Álvaro</v>
      </c>
      <c r="B129" s="16" t="str">
        <f ca="1">IFERROR(__xludf.UNSUPPORTED("""COMPUTED_VALUE"""),"Compañ Bertomeu")</f>
        <v>Compañ Bertomeu</v>
      </c>
      <c r="C129" s="16" t="str">
        <f ca="1">IFERROR(__xludf.UNSUPPORTED("""COMPUTED_VALUE"""),"Álvaro")</f>
        <v>Álvaro</v>
      </c>
      <c r="D129" s="16" t="str">
        <f ca="1">IFERROR(__xludf.UNSUPPORTED("""COMPUTED_VALUE"""),"29216755Q")</f>
        <v>29216755Q</v>
      </c>
    </row>
    <row r="130" spans="1:4" ht="14.25">
      <c r="A130" s="16" t="str">
        <f ca="1">IFERROR(__xludf.UNSUPPORTED("""COMPUTED_VALUE"""),"Corchón Arreche, Silvia")</f>
        <v>Corchón Arreche, Silvia</v>
      </c>
      <c r="B130" s="16" t="str">
        <f ca="1">IFERROR(__xludf.UNSUPPORTED("""COMPUTED_VALUE"""),"Corchón Arreche")</f>
        <v>Corchón Arreche</v>
      </c>
      <c r="C130" s="16" t="str">
        <f ca="1">IFERROR(__xludf.UNSUPPORTED("""COMPUTED_VALUE"""),"Silvia")</f>
        <v>Silvia</v>
      </c>
      <c r="D130" s="16" t="str">
        <f ca="1">IFERROR(__xludf.UNSUPPORTED("""COMPUTED_VALUE"""),"44553026W")</f>
        <v>44553026W</v>
      </c>
    </row>
    <row r="131" spans="1:4" ht="14.25">
      <c r="A131" s="16" t="str">
        <f ca="1">IFERROR(__xludf.UNSUPPORTED("""COMPUTED_VALUE"""),"Corral Martínez, Marta")</f>
        <v>Corral Martínez, Marta</v>
      </c>
      <c r="B131" s="16" t="str">
        <f ca="1">IFERROR(__xludf.UNSUPPORTED("""COMPUTED_VALUE"""),"Corral Martínez")</f>
        <v>Corral Martínez</v>
      </c>
      <c r="C131" s="16" t="str">
        <f ca="1">IFERROR(__xludf.UNSUPPORTED("""COMPUTED_VALUE"""),"Marta")</f>
        <v>Marta</v>
      </c>
      <c r="D131" s="16" t="str">
        <f ca="1">IFERROR(__xludf.UNSUPPORTED("""COMPUTED_VALUE"""),"85090742B")</f>
        <v>85090742B</v>
      </c>
    </row>
    <row r="132" spans="1:4" ht="14.25">
      <c r="A132" s="16" t="str">
        <f ca="1">IFERROR(__xludf.UNSUPPORTED("""COMPUTED_VALUE"""),"Corrales Quispiricra, Carmen")</f>
        <v>Corrales Quispiricra, Carmen</v>
      </c>
      <c r="B132" s="16" t="str">
        <f ca="1">IFERROR(__xludf.UNSUPPORTED("""COMPUTED_VALUE"""),"Corrales Quispiricra")</f>
        <v>Corrales Quispiricra</v>
      </c>
      <c r="C132" s="16" t="str">
        <f ca="1">IFERROR(__xludf.UNSUPPORTED("""COMPUTED_VALUE"""),"Carmen")</f>
        <v>Carmen</v>
      </c>
      <c r="D132" s="16" t="str">
        <f ca="1">IFERROR(__xludf.UNSUPPORTED("""COMPUTED_VALUE"""),"26899359P")</f>
        <v>26899359P</v>
      </c>
    </row>
    <row r="133" spans="1:4" ht="14.25">
      <c r="A133" s="16" t="str">
        <f ca="1">IFERROR(__xludf.UNSUPPORTED("""COMPUTED_VALUE"""),"Cortés Vergaz, Raquel")</f>
        <v>Cortés Vergaz, Raquel</v>
      </c>
      <c r="B133" s="16" t="str">
        <f ca="1">IFERROR(__xludf.UNSUPPORTED("""COMPUTED_VALUE"""),"Cortés Vergaz")</f>
        <v>Cortés Vergaz</v>
      </c>
      <c r="C133" s="16" t="str">
        <f ca="1">IFERROR(__xludf.UNSUPPORTED("""COMPUTED_VALUE"""),"Raquel")</f>
        <v>Raquel</v>
      </c>
      <c r="D133" s="16" t="str">
        <f ca="1">IFERROR(__xludf.UNSUPPORTED("""COMPUTED_VALUE"""),"33465241B")</f>
        <v>33465241B</v>
      </c>
    </row>
    <row r="134" spans="1:4" ht="14.25">
      <c r="A134" s="16" t="str">
        <f ca="1">IFERROR(__xludf.UNSUPPORTED("""COMPUTED_VALUE"""),"Crespo Delgado, Elena")</f>
        <v>Crespo Delgado, Elena</v>
      </c>
      <c r="B134" s="16" t="str">
        <f ca="1">IFERROR(__xludf.UNSUPPORTED("""COMPUTED_VALUE"""),"Crespo Delgado")</f>
        <v>Crespo Delgado</v>
      </c>
      <c r="C134" s="16" t="str">
        <f ca="1">IFERROR(__xludf.UNSUPPORTED("""COMPUTED_VALUE"""),"Elena")</f>
        <v>Elena</v>
      </c>
      <c r="D134" s="16" t="str">
        <f ca="1">IFERROR(__xludf.UNSUPPORTED("""COMPUTED_VALUE"""),"20247065G")</f>
        <v>20247065G</v>
      </c>
    </row>
    <row r="135" spans="1:4" ht="14.25">
      <c r="A135" s="16" t="str">
        <f ca="1">IFERROR(__xludf.UNSUPPORTED("""COMPUTED_VALUE"""),"Cuesta Díaz, Carlos Manuel")</f>
        <v>Cuesta Díaz, Carlos Manuel</v>
      </c>
      <c r="B135" s="16" t="str">
        <f ca="1">IFERROR(__xludf.UNSUPPORTED("""COMPUTED_VALUE"""),"Cuesta Díaz")</f>
        <v>Cuesta Díaz</v>
      </c>
      <c r="C135" s="16" t="str">
        <f ca="1">IFERROR(__xludf.UNSUPPORTED("""COMPUTED_VALUE"""),"Carlos Manuel")</f>
        <v>Carlos Manuel</v>
      </c>
      <c r="D135" s="16" t="str">
        <f ca="1">IFERROR(__xludf.UNSUPPORTED("""COMPUTED_VALUE"""),"71680086B")</f>
        <v>71680086B</v>
      </c>
    </row>
    <row r="136" spans="1:4" ht="14.25">
      <c r="A136" s="16" t="str">
        <f ca="1">IFERROR(__xludf.UNSUPPORTED("""COMPUTED_VALUE"""),"Cuevas López, Paula Cecilia")</f>
        <v>Cuevas López, Paula Cecilia</v>
      </c>
      <c r="B136" s="16" t="str">
        <f ca="1">IFERROR(__xludf.UNSUPPORTED("""COMPUTED_VALUE"""),"Cuevas López")</f>
        <v>Cuevas López</v>
      </c>
      <c r="C136" s="16" t="str">
        <f ca="1">IFERROR(__xludf.UNSUPPORTED("""COMPUTED_VALUE"""),"Paula Cecilia")</f>
        <v>Paula Cecilia</v>
      </c>
      <c r="D136" s="16" t="str">
        <f ca="1">IFERROR(__xludf.UNSUPPORTED("""COMPUTED_VALUE"""),"Y2968399X")</f>
        <v>Y2968399X</v>
      </c>
    </row>
    <row r="137" spans="1:4" ht="14.25">
      <c r="A137" s="16" t="str">
        <f ca="1">IFERROR(__xludf.UNSUPPORTED("""COMPUTED_VALUE"""),"Cuevas Tena, María")</f>
        <v>Cuevas Tena, María</v>
      </c>
      <c r="B137" s="16" t="str">
        <f ca="1">IFERROR(__xludf.UNSUPPORTED("""COMPUTED_VALUE"""),"Cuevas Tena")</f>
        <v>Cuevas Tena</v>
      </c>
      <c r="C137" s="16" t="str">
        <f ca="1">IFERROR(__xludf.UNSUPPORTED("""COMPUTED_VALUE"""),"María")</f>
        <v>María</v>
      </c>
      <c r="D137" s="16" t="str">
        <f ca="1">IFERROR(__xludf.UNSUPPORTED("""COMPUTED_VALUE"""),"44866003H")</f>
        <v>44866003H</v>
      </c>
    </row>
    <row r="138" spans="1:4" ht="14.25">
      <c r="A138" s="16" t="str">
        <f ca="1">IFERROR(__xludf.UNSUPPORTED("""COMPUTED_VALUE"""),"Cutanda Pérez, Diana")</f>
        <v>Cutanda Pérez, Diana</v>
      </c>
      <c r="B138" s="16" t="str">
        <f ca="1">IFERROR(__xludf.UNSUPPORTED("""COMPUTED_VALUE"""),"Cutanda Pérez")</f>
        <v>Cutanda Pérez</v>
      </c>
      <c r="C138" s="16" t="str">
        <f ca="1">IFERROR(__xludf.UNSUPPORTED("""COMPUTED_VALUE"""),"Diana")</f>
        <v>Diana</v>
      </c>
      <c r="D138" s="16" t="str">
        <f ca="1">IFERROR(__xludf.UNSUPPORTED("""COMPUTED_VALUE"""),"26748331K")</f>
        <v>26748331K</v>
      </c>
    </row>
    <row r="139" spans="1:4" ht="14.25">
      <c r="A139" s="16" t="str">
        <f ca="1">IFERROR(__xludf.UNSUPPORTED("""COMPUTED_VALUE"""),"Da Silveira, Suellyn Valdirene")</f>
        <v>Da Silveira, Suellyn Valdirene</v>
      </c>
      <c r="B139" s="16" t="str">
        <f ca="1">IFERROR(__xludf.UNSUPPORTED("""COMPUTED_VALUE"""),"Da Silveira")</f>
        <v>Da Silveira</v>
      </c>
      <c r="C139" s="16" t="str">
        <f ca="1">IFERROR(__xludf.UNSUPPORTED("""COMPUTED_VALUE"""),"Suellyn Valdirene")</f>
        <v>Suellyn Valdirene</v>
      </c>
      <c r="D139" s="16" t="str">
        <f ca="1">IFERROR(__xludf.UNSUPPORTED("""COMPUTED_VALUE"""),"Y5081045Z")</f>
        <v>Y5081045Z</v>
      </c>
    </row>
    <row r="140" spans="1:4" ht="14.25">
      <c r="A140" s="16" t="str">
        <f ca="1">IFERROR(__xludf.UNSUPPORTED("""COMPUTED_VALUE"""),"Dacougna Minkette, Jeanne Rolande")</f>
        <v>Dacougna Minkette, Jeanne Rolande</v>
      </c>
      <c r="B140" s="16" t="str">
        <f ca="1">IFERROR(__xludf.UNSUPPORTED("""COMPUTED_VALUE"""),"Dacougna Minkette")</f>
        <v>Dacougna Minkette</v>
      </c>
      <c r="C140" s="16" t="str">
        <f ca="1">IFERROR(__xludf.UNSUPPORTED("""COMPUTED_VALUE"""),"Jeanne Rolande")</f>
        <v>Jeanne Rolande</v>
      </c>
      <c r="D140" s="16" t="str">
        <f ca="1">IFERROR(__xludf.UNSUPPORTED("""COMPUTED_VALUE"""),"72554425M")</f>
        <v>72554425M</v>
      </c>
    </row>
    <row r="141" spans="1:4" ht="14.25">
      <c r="A141" s="16" t="str">
        <f ca="1">IFERROR(__xludf.UNSUPPORTED("""COMPUTED_VALUE"""),"De Anzola Guerra, Miren Zuriñe")</f>
        <v>De Anzola Guerra, Miren Zuriñe</v>
      </c>
      <c r="B141" s="16" t="str">
        <f ca="1">IFERROR(__xludf.UNSUPPORTED("""COMPUTED_VALUE"""),"De Anzola Guerra")</f>
        <v>De Anzola Guerra</v>
      </c>
      <c r="C141" s="16" t="str">
        <f ca="1">IFERROR(__xludf.UNSUPPORTED("""COMPUTED_VALUE"""),"Miren Zuriñe")</f>
        <v>Miren Zuriñe</v>
      </c>
      <c r="D141" s="16" t="str">
        <f ca="1">IFERROR(__xludf.UNSUPPORTED("""COMPUTED_VALUE"""),"72516731P")</f>
        <v>72516731P</v>
      </c>
    </row>
    <row r="142" spans="1:4" ht="14.25">
      <c r="A142" s="16" t="str">
        <f ca="1">IFERROR(__xludf.UNSUPPORTED("""COMPUTED_VALUE"""),"De la Llave Rodríguez, María Almudena")</f>
        <v>De la Llave Rodríguez, María Almudena</v>
      </c>
      <c r="B142" s="16" t="str">
        <f ca="1">IFERROR(__xludf.UNSUPPORTED("""COMPUTED_VALUE"""),"De la Llave Rodríguez")</f>
        <v>De la Llave Rodríguez</v>
      </c>
      <c r="C142" s="16" t="str">
        <f ca="1">IFERROR(__xludf.UNSUPPORTED("""COMPUTED_VALUE"""),"María Almudena")</f>
        <v>María Almudena</v>
      </c>
      <c r="D142" s="16" t="str">
        <f ca="1">IFERROR(__xludf.UNSUPPORTED("""COMPUTED_VALUE"""),"03875698Z")</f>
        <v>03875698Z</v>
      </c>
    </row>
    <row r="143" spans="1:4" ht="14.25">
      <c r="A143" s="16" t="str">
        <f ca="1">IFERROR(__xludf.UNSUPPORTED("""COMPUTED_VALUE"""),"De la Osa Subtil, Iria")</f>
        <v>De la Osa Subtil, Iria</v>
      </c>
      <c r="B143" s="16" t="str">
        <f ca="1">IFERROR(__xludf.UNSUPPORTED("""COMPUTED_VALUE"""),"De la Osa Subtil")</f>
        <v>De la Osa Subtil</v>
      </c>
      <c r="C143" s="16" t="str">
        <f ca="1">IFERROR(__xludf.UNSUPPORTED("""COMPUTED_VALUE"""),"Iria")</f>
        <v>Iria</v>
      </c>
      <c r="D143" s="16" t="str">
        <f ca="1">IFERROR(__xludf.UNSUPPORTED("""COMPUTED_VALUE"""),"51482938Z")</f>
        <v>51482938Z</v>
      </c>
    </row>
    <row r="144" spans="1:4" ht="14.25">
      <c r="A144" s="16" t="str">
        <f ca="1">IFERROR(__xludf.UNSUPPORTED("""COMPUTED_VALUE"""),"de la Puente Robles, Beatriz María")</f>
        <v>de la Puente Robles, Beatriz María</v>
      </c>
      <c r="B144" s="16" t="str">
        <f ca="1">IFERROR(__xludf.UNSUPPORTED("""COMPUTED_VALUE"""),"de la Puente Robles")</f>
        <v>de la Puente Robles</v>
      </c>
      <c r="C144" s="16" t="str">
        <f ca="1">IFERROR(__xludf.UNSUPPORTED("""COMPUTED_VALUE"""),"Beatriz María")</f>
        <v>Beatriz María</v>
      </c>
      <c r="D144" s="16" t="str">
        <f ca="1">IFERROR(__xludf.UNSUPPORTED("""COMPUTED_VALUE"""),"09793683F")</f>
        <v>09793683F</v>
      </c>
    </row>
    <row r="145" spans="1:4" ht="14.25">
      <c r="A145" s="16" t="str">
        <f ca="1">IFERROR(__xludf.UNSUPPORTED("""COMPUTED_VALUE"""),"de la Rosa Gámiz, María Dolores")</f>
        <v>de la Rosa Gámiz, María Dolores</v>
      </c>
      <c r="B145" s="16" t="str">
        <f ca="1">IFERROR(__xludf.UNSUPPORTED("""COMPUTED_VALUE"""),"de la Rosa Gámiz")</f>
        <v>de la Rosa Gámiz</v>
      </c>
      <c r="C145" s="16" t="str">
        <f ca="1">IFERROR(__xludf.UNSUPPORTED("""COMPUTED_VALUE"""),"María Dolores")</f>
        <v>María Dolores</v>
      </c>
      <c r="D145" s="16" t="str">
        <f ca="1">IFERROR(__xludf.UNSUPPORTED("""COMPUTED_VALUE"""),"30981467F")</f>
        <v>30981467F</v>
      </c>
    </row>
    <row r="146" spans="1:4" ht="14.25">
      <c r="A146" s="16" t="str">
        <f ca="1">IFERROR(__xludf.UNSUPPORTED("""COMPUTED_VALUE"""),"De la Rosa Gómez, Anabel")</f>
        <v>De la Rosa Gómez, Anabel</v>
      </c>
      <c r="B146" s="16" t="str">
        <f ca="1">IFERROR(__xludf.UNSUPPORTED("""COMPUTED_VALUE"""),"De la Rosa Gómez")</f>
        <v>De la Rosa Gómez</v>
      </c>
      <c r="C146" s="16" t="str">
        <f ca="1">IFERROR(__xludf.UNSUPPORTED("""COMPUTED_VALUE"""),"Anabel")</f>
        <v>Anabel</v>
      </c>
      <c r="D146" s="16" t="str">
        <f ca="1">IFERROR(__xludf.UNSUPPORTED("""COMPUTED_VALUE"""),"G16981319")</f>
        <v>G16981319</v>
      </c>
    </row>
    <row r="147" spans="1:4" ht="14.25">
      <c r="A147" s="16" t="str">
        <f ca="1">IFERROR(__xludf.UNSUPPORTED("""COMPUTED_VALUE"""),"De la Serna Tuya, Juan Moisés")</f>
        <v>De la Serna Tuya, Juan Moisés</v>
      </c>
      <c r="B147" s="16" t="str">
        <f ca="1">IFERROR(__xludf.UNSUPPORTED("""COMPUTED_VALUE"""),"De la Serna Tuya")</f>
        <v>De la Serna Tuya</v>
      </c>
      <c r="C147" s="16" t="str">
        <f ca="1">IFERROR(__xludf.UNSUPPORTED("""COMPUTED_VALUE"""),"Juan Moisés")</f>
        <v>Juan Moisés</v>
      </c>
      <c r="D147" s="16" t="str">
        <f ca="1">IFERROR(__xludf.UNSUPPORTED("""COMPUTED_VALUE"""),"48805728G")</f>
        <v>48805728G</v>
      </c>
    </row>
    <row r="148" spans="1:4" ht="14.25">
      <c r="A148" s="16" t="str">
        <f ca="1">IFERROR(__xludf.UNSUPPORTED("""COMPUTED_VALUE"""),"De la Torre Luque, Alejandro Francisco")</f>
        <v>De la Torre Luque, Alejandro Francisco</v>
      </c>
      <c r="B148" s="16" t="str">
        <f ca="1">IFERROR(__xludf.UNSUPPORTED("""COMPUTED_VALUE"""),"De la Torre Luque")</f>
        <v>De la Torre Luque</v>
      </c>
      <c r="C148" s="16" t="str">
        <f ca="1">IFERROR(__xludf.UNSUPPORTED("""COMPUTED_VALUE"""),"Alejandro Francisco")</f>
        <v>Alejandro Francisco</v>
      </c>
      <c r="D148" s="16" t="str">
        <f ca="1">IFERROR(__xludf.UNSUPPORTED("""COMPUTED_VALUE"""),"50610669C")</f>
        <v>50610669C</v>
      </c>
    </row>
    <row r="149" spans="1:4" ht="14.25">
      <c r="A149" s="16" t="str">
        <f ca="1">IFERROR(__xludf.UNSUPPORTED("""COMPUTED_VALUE"""),"De la Torre Olid, Francisco")</f>
        <v>De la Torre Olid, Francisco</v>
      </c>
      <c r="B149" s="16" t="str">
        <f ca="1">IFERROR(__xludf.UNSUPPORTED("""COMPUTED_VALUE"""),"De la Torre Olid")</f>
        <v>De la Torre Olid</v>
      </c>
      <c r="C149" s="16" t="str">
        <f ca="1">IFERROR(__xludf.UNSUPPORTED("""COMPUTED_VALUE"""),"Francisco")</f>
        <v>Francisco</v>
      </c>
      <c r="D149" s="16" t="str">
        <f ca="1">IFERROR(__xludf.UNSUPPORTED("""COMPUTED_VALUE"""),"25973152B")</f>
        <v>25973152B</v>
      </c>
    </row>
    <row r="150" spans="1:4" ht="14.25">
      <c r="A150" s="16" t="str">
        <f ca="1">IFERROR(__xludf.UNSUPPORTED("""COMPUTED_VALUE"""),"De Narciso González, Miriam")</f>
        <v>De Narciso González, Miriam</v>
      </c>
      <c r="B150" s="16" t="str">
        <f ca="1">IFERROR(__xludf.UNSUPPORTED("""COMPUTED_VALUE"""),"De Narciso González")</f>
        <v>De Narciso González</v>
      </c>
      <c r="C150" s="16" t="str">
        <f ca="1">IFERROR(__xludf.UNSUPPORTED("""COMPUTED_VALUE"""),"Miriam")</f>
        <v>Miriam</v>
      </c>
      <c r="D150" s="16" t="str">
        <f ca="1">IFERROR(__xludf.UNSUPPORTED("""COMPUTED_VALUE"""),"76997563A")</f>
        <v>76997563A</v>
      </c>
    </row>
    <row r="151" spans="1:4" ht="14.25">
      <c r="A151" s="16" t="str">
        <f ca="1">IFERROR(__xludf.UNSUPPORTED("""COMPUTED_VALUE"""),"De Toro Hernando, María")</f>
        <v>De Toro Hernando, María</v>
      </c>
      <c r="B151" s="16" t="str">
        <f ca="1">IFERROR(__xludf.UNSUPPORTED("""COMPUTED_VALUE"""),"De Toro Hernando")</f>
        <v>De Toro Hernando</v>
      </c>
      <c r="C151" s="16" t="str">
        <f ca="1">IFERROR(__xludf.UNSUPPORTED("""COMPUTED_VALUE"""),"María")</f>
        <v>María</v>
      </c>
      <c r="D151" s="16" t="str">
        <f ca="1">IFERROR(__xludf.UNSUPPORTED("""COMPUTED_VALUE"""),"16613055V")</f>
        <v>16613055V</v>
      </c>
    </row>
    <row r="152" spans="1:4" ht="14.25">
      <c r="A152" s="16" t="str">
        <f ca="1">IFERROR(__xludf.UNSUPPORTED("""COMPUTED_VALUE"""),"Del Barrio Herguedas, Estefanía")</f>
        <v>Del Barrio Herguedas, Estefanía</v>
      </c>
      <c r="B152" s="16" t="str">
        <f ca="1">IFERROR(__xludf.UNSUPPORTED("""COMPUTED_VALUE"""),"Del Barrio Herguedas")</f>
        <v>Del Barrio Herguedas</v>
      </c>
      <c r="C152" s="16" t="str">
        <f ca="1">IFERROR(__xludf.UNSUPPORTED("""COMPUTED_VALUE"""),"Estefanía")</f>
        <v>Estefanía</v>
      </c>
      <c r="D152" s="16" t="str">
        <f ca="1">IFERROR(__xludf.UNSUPPORTED("""COMPUTED_VALUE"""),"12424419A")</f>
        <v>12424419A</v>
      </c>
    </row>
    <row r="153" spans="1:4" ht="14.25">
      <c r="A153" s="16" t="str">
        <f ca="1">IFERROR(__xludf.UNSUPPORTED("""COMPUTED_VALUE"""),"Del Caño Espinel, Manuela")</f>
        <v>Del Caño Espinel, Manuela</v>
      </c>
      <c r="B153" s="16" t="str">
        <f ca="1">IFERROR(__xludf.UNSUPPORTED("""COMPUTED_VALUE"""),"Del Caño Espinel")</f>
        <v>Del Caño Espinel</v>
      </c>
      <c r="C153" s="16" t="str">
        <f ca="1">IFERROR(__xludf.UNSUPPORTED("""COMPUTED_VALUE"""),"Manuela")</f>
        <v>Manuela</v>
      </c>
      <c r="D153" s="16" t="str">
        <f ca="1">IFERROR(__xludf.UNSUPPORTED("""COMPUTED_VALUE"""),"71137965T")</f>
        <v>71137965T</v>
      </c>
    </row>
    <row r="154" spans="1:4" ht="14.25">
      <c r="A154" s="16" t="str">
        <f ca="1">IFERROR(__xludf.UNSUPPORTED("""COMPUTED_VALUE"""),"del Castillo Laguna, Laura")</f>
        <v>del Castillo Laguna, Laura</v>
      </c>
      <c r="B154" s="16" t="str">
        <f ca="1">IFERROR(__xludf.UNSUPPORTED("""COMPUTED_VALUE"""),"del Castillo Laguna")</f>
        <v>del Castillo Laguna</v>
      </c>
      <c r="C154" s="16" t="str">
        <f ca="1">IFERROR(__xludf.UNSUPPORTED("""COMPUTED_VALUE"""),"Laura")</f>
        <v>Laura</v>
      </c>
      <c r="D154" s="16" t="str">
        <f ca="1">IFERROR(__xludf.UNSUPPORTED("""COMPUTED_VALUE"""),"24385011C")</f>
        <v>24385011C</v>
      </c>
    </row>
    <row r="155" spans="1:4" ht="14.25">
      <c r="A155" s="16" t="str">
        <f ca="1">IFERROR(__xludf.UNSUPPORTED("""COMPUTED_VALUE"""),"Del Prado Morales, Mirtha")</f>
        <v>Del Prado Morales, Mirtha</v>
      </c>
      <c r="B155" s="16" t="str">
        <f ca="1">IFERROR(__xludf.UNSUPPORTED("""COMPUTED_VALUE"""),"Del Prado Morales")</f>
        <v>Del Prado Morales</v>
      </c>
      <c r="C155" s="16" t="str">
        <f ca="1">IFERROR(__xludf.UNSUPPORTED("""COMPUTED_VALUE"""),"Mirtha")</f>
        <v>Mirtha</v>
      </c>
      <c r="D155" s="16" t="str">
        <f ca="1">IFERROR(__xludf.UNSUPPORTED("""COMPUTED_VALUE"""),"03512870B")</f>
        <v>03512870B</v>
      </c>
    </row>
    <row r="156" spans="1:4" ht="14.25">
      <c r="A156" s="16" t="str">
        <f ca="1">IFERROR(__xludf.UNSUPPORTED("""COMPUTED_VALUE"""),"Del Zotto Libonati, Patricia Mónica")</f>
        <v>Del Zotto Libonati, Patricia Mónica</v>
      </c>
      <c r="B156" s="16" t="str">
        <f ca="1">IFERROR(__xludf.UNSUPPORTED("""COMPUTED_VALUE"""),"Del Zotto Libonati")</f>
        <v>Del Zotto Libonati</v>
      </c>
      <c r="C156" s="16" t="str">
        <f ca="1">IFERROR(__xludf.UNSUPPORTED("""COMPUTED_VALUE"""),"Patricia Mónica")</f>
        <v>Patricia Mónica</v>
      </c>
      <c r="D156" s="16" t="str">
        <f ca="1">IFERROR(__xludf.UNSUPPORTED("""COMPUTED_VALUE"""),"24389678H")</f>
        <v>24389678H</v>
      </c>
    </row>
    <row r="157" spans="1:4" ht="14.25">
      <c r="A157" s="16" t="str">
        <f ca="1">IFERROR(__xludf.UNSUPPORTED("""COMPUTED_VALUE"""),"Delgado Cruz, Atteneri")</f>
        <v>Delgado Cruz, Atteneri</v>
      </c>
      <c r="B157" s="16" t="str">
        <f ca="1">IFERROR(__xludf.UNSUPPORTED("""COMPUTED_VALUE"""),"Delgado Cruz")</f>
        <v>Delgado Cruz</v>
      </c>
      <c r="C157" s="16" t="str">
        <f ca="1">IFERROR(__xludf.UNSUPPORTED("""COMPUTED_VALUE"""),"Atteneri")</f>
        <v>Atteneri</v>
      </c>
      <c r="D157" s="16" t="str">
        <f ca="1">IFERROR(__xludf.UNSUPPORTED("""COMPUTED_VALUE"""),"45939501Z")</f>
        <v>45939501Z</v>
      </c>
    </row>
    <row r="158" spans="1:4" ht="14.25">
      <c r="A158" s="16" t="str">
        <f ca="1">IFERROR(__xludf.UNSUPPORTED("""COMPUTED_VALUE"""),"Delhom Peris, Iraida")</f>
        <v>Delhom Peris, Iraida</v>
      </c>
      <c r="B158" s="16" t="str">
        <f ca="1">IFERROR(__xludf.UNSUPPORTED("""COMPUTED_VALUE"""),"Delhom Peris")</f>
        <v>Delhom Peris</v>
      </c>
      <c r="C158" s="16" t="str">
        <f ca="1">IFERROR(__xludf.UNSUPPORTED("""COMPUTED_VALUE"""),"Iraida")</f>
        <v>Iraida</v>
      </c>
      <c r="D158" s="16" t="str">
        <f ca="1">IFERROR(__xludf.UNSUPPORTED("""COMPUTED_VALUE"""),"73591900L")</f>
        <v>73591900L</v>
      </c>
    </row>
    <row r="159" spans="1:4" ht="14.25">
      <c r="A159" s="16" t="str">
        <f ca="1">IFERROR(__xludf.UNSUPPORTED("""COMPUTED_VALUE"""),"Di Domizio, Débora Paola")</f>
        <v>Di Domizio, Débora Paola</v>
      </c>
      <c r="B159" s="16" t="str">
        <f ca="1">IFERROR(__xludf.UNSUPPORTED("""COMPUTED_VALUE"""),"Di Domizio")</f>
        <v>Di Domizio</v>
      </c>
      <c r="C159" s="16" t="str">
        <f ca="1">IFERROR(__xludf.UNSUPPORTED("""COMPUTED_VALUE"""),"Débora Paola")</f>
        <v>Débora Paola</v>
      </c>
      <c r="D159" s="16" t="str">
        <f ca="1">IFERROR(__xludf.UNSUPPORTED("""COMPUTED_VALUE"""),"AAG012942")</f>
        <v>AAG012942</v>
      </c>
    </row>
    <row r="160" spans="1:4" ht="14.25">
      <c r="A160" s="16" t="str">
        <f ca="1">IFERROR(__xludf.UNSUPPORTED("""COMPUTED_VALUE"""),"Di Serio, Angela")</f>
        <v>Di Serio, Angela</v>
      </c>
      <c r="B160" s="16" t="str">
        <f ca="1">IFERROR(__xludf.UNSUPPORTED("""COMPUTED_VALUE"""),"Di Serio")</f>
        <v>Di Serio</v>
      </c>
      <c r="C160" s="16" t="str">
        <f ca="1">IFERROR(__xludf.UNSUPPORTED("""COMPUTED_VALUE"""),"Angela")</f>
        <v>Angela</v>
      </c>
      <c r="D160" s="16" t="str">
        <f ca="1">IFERROR(__xludf.UNSUPPORTED("""COMPUTED_VALUE"""),"Y1659254W")</f>
        <v>Y1659254W</v>
      </c>
    </row>
    <row r="161" spans="1:4" ht="14.25">
      <c r="A161" s="16" t="str">
        <f ca="1">IFERROR(__xludf.UNSUPPORTED("""COMPUTED_VALUE"""),"Diana Pérez, Marina")</f>
        <v>Diana Pérez, Marina</v>
      </c>
      <c r="B161" s="16" t="str">
        <f ca="1">IFERROR(__xludf.UNSUPPORTED("""COMPUTED_VALUE"""),"Diana Pérez")</f>
        <v>Diana Pérez</v>
      </c>
      <c r="C161" s="16" t="str">
        <f ca="1">IFERROR(__xludf.UNSUPPORTED("""COMPUTED_VALUE"""),"Marina")</f>
        <v>Marina</v>
      </c>
      <c r="D161" s="16" t="str">
        <f ca="1">IFERROR(__xludf.UNSUPPORTED("""COMPUTED_VALUE"""),"45648804Z")</f>
        <v>45648804Z</v>
      </c>
    </row>
    <row r="162" spans="1:4" ht="14.25">
      <c r="A162" s="16" t="str">
        <f ca="1">IFERROR(__xludf.UNSUPPORTED("""COMPUTED_VALUE"""),"Díaz Cordobés, José Luis")</f>
        <v>Díaz Cordobés, José Luis</v>
      </c>
      <c r="B162" s="16" t="str">
        <f ca="1">IFERROR(__xludf.UNSUPPORTED("""COMPUTED_VALUE"""),"Díaz Cordobés")</f>
        <v>Díaz Cordobés</v>
      </c>
      <c r="C162" s="16" t="str">
        <f ca="1">IFERROR(__xludf.UNSUPPORTED("""COMPUTED_VALUE"""),"José Luis")</f>
        <v>José Luis</v>
      </c>
      <c r="D162" s="16" t="str">
        <f ca="1">IFERROR(__xludf.UNSUPPORTED("""COMPUTED_VALUE"""),"52502038F")</f>
        <v>52502038F</v>
      </c>
    </row>
    <row r="163" spans="1:4" ht="14.25">
      <c r="A163" s="16" t="str">
        <f ca="1">IFERROR(__xludf.UNSUPPORTED("""COMPUTED_VALUE"""),"Díaz García, Guillermo")</f>
        <v>Díaz García, Guillermo</v>
      </c>
      <c r="B163" s="16" t="str">
        <f ca="1">IFERROR(__xludf.UNSUPPORTED("""COMPUTED_VALUE"""),"Díaz García")</f>
        <v>Díaz García</v>
      </c>
      <c r="C163" s="16" t="str">
        <f ca="1">IFERROR(__xludf.UNSUPPORTED("""COMPUTED_VALUE"""),"Guillermo")</f>
        <v>Guillermo</v>
      </c>
      <c r="D163" s="16" t="str">
        <f ca="1">IFERROR(__xludf.UNSUPPORTED("""COMPUTED_VALUE"""),"09815446N")</f>
        <v>09815446N</v>
      </c>
    </row>
    <row r="164" spans="1:4" ht="14.25">
      <c r="A164" s="16" t="str">
        <f ca="1">IFERROR(__xludf.UNSUPPORTED("""COMPUTED_VALUE"""),"Díaz Martínez, Marta")</f>
        <v>Díaz Martínez, Marta</v>
      </c>
      <c r="B164" s="16" t="str">
        <f ca="1">IFERROR(__xludf.UNSUPPORTED("""COMPUTED_VALUE"""),"Díaz Martínez")</f>
        <v>Díaz Martínez</v>
      </c>
      <c r="C164" s="16" t="str">
        <f ca="1">IFERROR(__xludf.UNSUPPORTED("""COMPUTED_VALUE"""),"Marta")</f>
        <v>Marta</v>
      </c>
      <c r="D164" s="16" t="str">
        <f ca="1">IFERROR(__xludf.UNSUPPORTED("""COMPUTED_VALUE"""),"72145747Z")</f>
        <v>72145747Z</v>
      </c>
    </row>
    <row r="165" spans="1:4" ht="14.25">
      <c r="A165" s="16" t="str">
        <f ca="1">IFERROR(__xludf.UNSUPPORTED("""COMPUTED_VALUE"""),"Díaz Planelles, Isabel")</f>
        <v>Díaz Planelles, Isabel</v>
      </c>
      <c r="B165" s="16" t="str">
        <f ca="1">IFERROR(__xludf.UNSUPPORTED("""COMPUTED_VALUE"""),"Díaz Planelles")</f>
        <v>Díaz Planelles</v>
      </c>
      <c r="C165" s="16" t="str">
        <f ca="1">IFERROR(__xludf.UNSUPPORTED("""COMPUTED_VALUE"""),"Isabel")</f>
        <v>Isabel</v>
      </c>
      <c r="D165" s="16" t="str">
        <f ca="1">IFERROR(__xludf.UNSUPPORTED("""COMPUTED_VALUE"""),"44763464J")</f>
        <v>44763464J</v>
      </c>
    </row>
    <row r="166" spans="1:4" ht="14.25">
      <c r="A166" s="16" t="str">
        <f ca="1">IFERROR(__xludf.UNSUPPORTED("""COMPUTED_VALUE"""),"Díaz Rosell, Montserrat")</f>
        <v>Díaz Rosell, Montserrat</v>
      </c>
      <c r="B166" s="16" t="str">
        <f ca="1">IFERROR(__xludf.UNSUPPORTED("""COMPUTED_VALUE"""),"Díaz Rosell")</f>
        <v>Díaz Rosell</v>
      </c>
      <c r="C166" s="16" t="str">
        <f ca="1">IFERROR(__xludf.UNSUPPORTED("""COMPUTED_VALUE"""),"Montserrat")</f>
        <v>Montserrat</v>
      </c>
      <c r="D166" s="16" t="str">
        <f ca="1">IFERROR(__xludf.UNSUPPORTED("""COMPUTED_VALUE"""),"50963373L")</f>
        <v>50963373L</v>
      </c>
    </row>
    <row r="167" spans="1:4" ht="14.25">
      <c r="A167" s="16" t="str">
        <f ca="1">IFERROR(__xludf.UNSUPPORTED("""COMPUTED_VALUE"""),"Diego Pedro, Rebeca")</f>
        <v>Diego Pedro, Rebeca</v>
      </c>
      <c r="B167" s="16" t="str">
        <f ca="1">IFERROR(__xludf.UNSUPPORTED("""COMPUTED_VALUE"""),"Diego Pedro")</f>
        <v>Diego Pedro</v>
      </c>
      <c r="C167" s="16" t="str">
        <f ca="1">IFERROR(__xludf.UNSUPPORTED("""COMPUTED_VALUE"""),"Rebeca")</f>
        <v>Rebeca</v>
      </c>
      <c r="D167" s="16" t="str">
        <f ca="1">IFERROR(__xludf.UNSUPPORTED("""COMPUTED_VALUE"""),"53626271T")</f>
        <v>53626271T</v>
      </c>
    </row>
    <row r="168" spans="1:4" ht="14.25">
      <c r="A168" s="16" t="str">
        <f ca="1">IFERROR(__xludf.UNSUPPORTED("""COMPUTED_VALUE"""),"Díez Juan, Antonio")</f>
        <v>Díez Juan, Antonio</v>
      </c>
      <c r="B168" s="16" t="str">
        <f ca="1">IFERROR(__xludf.UNSUPPORTED("""COMPUTED_VALUE"""),"Díez Juan")</f>
        <v>Díez Juan</v>
      </c>
      <c r="C168" s="16" t="str">
        <f ca="1">IFERROR(__xludf.UNSUPPORTED("""COMPUTED_VALUE"""),"Antonio")</f>
        <v>Antonio</v>
      </c>
      <c r="D168" s="16" t="str">
        <f ca="1">IFERROR(__xludf.UNSUPPORTED("""COMPUTED_VALUE"""),"25408360F")</f>
        <v>25408360F</v>
      </c>
    </row>
    <row r="169" spans="1:4" ht="14.25">
      <c r="A169" s="16" t="str">
        <f ca="1">IFERROR(__xludf.UNSUPPORTED("""COMPUTED_VALUE"""),"Domingo Moscardó, Lucía")</f>
        <v>Domingo Moscardó, Lucía</v>
      </c>
      <c r="B169" s="16" t="str">
        <f ca="1">IFERROR(__xludf.UNSUPPORTED("""COMPUTED_VALUE"""),"Domingo Moscardó")</f>
        <v>Domingo Moscardó</v>
      </c>
      <c r="C169" s="16" t="str">
        <f ca="1">IFERROR(__xludf.UNSUPPORTED("""COMPUTED_VALUE"""),"Lucía")</f>
        <v>Lucía</v>
      </c>
      <c r="D169" s="16" t="str">
        <f ca="1">IFERROR(__xludf.UNSUPPORTED("""COMPUTED_VALUE"""),"73657893W")</f>
        <v>73657893W</v>
      </c>
    </row>
    <row r="170" spans="1:4" ht="14.25">
      <c r="A170" s="16" t="str">
        <f ca="1">IFERROR(__xludf.UNSUPPORTED("""COMPUTED_VALUE"""),"Domingo Valero, Laura")</f>
        <v>Domingo Valero, Laura</v>
      </c>
      <c r="B170" s="16" t="str">
        <f ca="1">IFERROR(__xludf.UNSUPPORTED("""COMPUTED_VALUE"""),"Domingo Valero")</f>
        <v>Domingo Valero</v>
      </c>
      <c r="C170" s="16" t="str">
        <f ca="1">IFERROR(__xludf.UNSUPPORTED("""COMPUTED_VALUE"""),"Laura")</f>
        <v>Laura</v>
      </c>
      <c r="D170" s="16" t="str">
        <f ca="1">IFERROR(__xludf.UNSUPPORTED("""COMPUTED_VALUE"""),"18448257A")</f>
        <v>18448257A</v>
      </c>
    </row>
    <row r="171" spans="1:4" ht="14.25">
      <c r="A171" s="16" t="str">
        <f ca="1">IFERROR(__xludf.UNSUPPORTED("""COMPUTED_VALUE"""),"Domínguez Rodríguez, Alejandro")</f>
        <v>Domínguez Rodríguez, Alejandro</v>
      </c>
      <c r="B171" s="16" t="str">
        <f ca="1">IFERROR(__xludf.UNSUPPORTED("""COMPUTED_VALUE"""),"Domínguez Rodríguez")</f>
        <v>Domínguez Rodríguez</v>
      </c>
      <c r="C171" s="16" t="str">
        <f ca="1">IFERROR(__xludf.UNSUPPORTED("""COMPUTED_VALUE"""),"Alejandro")</f>
        <v>Alejandro</v>
      </c>
      <c r="D171" s="16" t="str">
        <f ca="1">IFERROR(__xludf.UNSUPPORTED("""COMPUTED_VALUE"""),"Y0FYG7VC1")</f>
        <v>Y0FYG7VC1</v>
      </c>
    </row>
    <row r="172" spans="1:4" ht="14.25">
      <c r="A172" s="16" t="str">
        <f ca="1">IFERROR(__xludf.UNSUPPORTED("""COMPUTED_VALUE"""),"Domínguez Valerio, Candida Maria")</f>
        <v>Domínguez Valerio, Candida Maria</v>
      </c>
      <c r="B172" s="16" t="str">
        <f ca="1">IFERROR(__xludf.UNSUPPORTED("""COMPUTED_VALUE"""),"Domínguez Valerio")</f>
        <v>Domínguez Valerio</v>
      </c>
      <c r="C172" s="16" t="str">
        <f ca="1">IFERROR(__xludf.UNSUPPORTED("""COMPUTED_VALUE"""),"Candida Maria")</f>
        <v>Candida Maria</v>
      </c>
      <c r="D172" s="16">
        <f ca="1">IFERROR(__xludf.UNSUPPORTED("""COMPUTED_VALUE"""),3103914465)</f>
        <v>3103914465</v>
      </c>
    </row>
    <row r="173" spans="1:4" ht="14.25">
      <c r="A173" s="16" t="str">
        <f ca="1">IFERROR(__xludf.UNSUPPORTED("""COMPUTED_VALUE"""),"Donato, Donatella")</f>
        <v>Donato, Donatella</v>
      </c>
      <c r="B173" s="16" t="str">
        <f ca="1">IFERROR(__xludf.UNSUPPORTED("""COMPUTED_VALUE"""),"Donato")</f>
        <v>Donato</v>
      </c>
      <c r="C173" s="16" t="str">
        <f ca="1">IFERROR(__xludf.UNSUPPORTED("""COMPUTED_VALUE"""),"Donatella")</f>
        <v>Donatella</v>
      </c>
      <c r="D173" s="16" t="str">
        <f ca="1">IFERROR(__xludf.UNSUPPORTED("""COMPUTED_VALUE"""),"Y4151677F")</f>
        <v>Y4151677F</v>
      </c>
    </row>
    <row r="174" spans="1:4" ht="14.25">
      <c r="A174" s="16" t="str">
        <f ca="1">IFERROR(__xludf.UNSUPPORTED("""COMPUTED_VALUE"""),"Duarte Lores, Isabel")</f>
        <v>Duarte Lores, Isabel</v>
      </c>
      <c r="B174" s="16" t="str">
        <f ca="1">IFERROR(__xludf.UNSUPPORTED("""COMPUTED_VALUE"""),"Duarte Lores")</f>
        <v>Duarte Lores</v>
      </c>
      <c r="C174" s="16" t="str">
        <f ca="1">IFERROR(__xludf.UNSUPPORTED("""COMPUTED_VALUE"""),"Isabel")</f>
        <v>Isabel</v>
      </c>
      <c r="D174" s="16" t="str">
        <f ca="1">IFERROR(__xludf.UNSUPPORTED("""COMPUTED_VALUE"""),"54052205C")</f>
        <v>54052205C</v>
      </c>
    </row>
    <row r="175" spans="1:4" ht="14.25">
      <c r="A175" s="16" t="str">
        <f ca="1">IFERROR(__xludf.UNSUPPORTED("""COMPUTED_VALUE"""),"Dueñas Zambrana, Carmen")</f>
        <v>Dueñas Zambrana, Carmen</v>
      </c>
      <c r="B175" s="16" t="str">
        <f ca="1">IFERROR(__xludf.UNSUPPORTED("""COMPUTED_VALUE"""),"Dueñas Zambrana")</f>
        <v>Dueñas Zambrana</v>
      </c>
      <c r="C175" s="16" t="str">
        <f ca="1">IFERROR(__xludf.UNSUPPORTED("""COMPUTED_VALUE"""),"Carmen")</f>
        <v>Carmen</v>
      </c>
      <c r="D175" s="16" t="str">
        <f ca="1">IFERROR(__xludf.UNSUPPORTED("""COMPUTED_VALUE"""),"74893570G")</f>
        <v>74893570G</v>
      </c>
    </row>
    <row r="176" spans="1:4" ht="14.25">
      <c r="A176" s="16" t="str">
        <f ca="1">IFERROR(__xludf.UNSUPPORTED("""COMPUTED_VALUE"""),"Duque Moreno, María Aranzazu")</f>
        <v>Duque Moreno, María Aranzazu</v>
      </c>
      <c r="B176" s="16" t="str">
        <f ca="1">IFERROR(__xludf.UNSUPPORTED("""COMPUTED_VALUE"""),"Duque Moreno")</f>
        <v>Duque Moreno</v>
      </c>
      <c r="C176" s="16" t="str">
        <f ca="1">IFERROR(__xludf.UNSUPPORTED("""COMPUTED_VALUE"""),"María Aranzazu")</f>
        <v>María Aranzazu</v>
      </c>
      <c r="D176" s="16" t="str">
        <f ca="1">IFERROR(__xludf.UNSUPPORTED("""COMPUTED_VALUE"""),"33469677P")</f>
        <v>33469677P</v>
      </c>
    </row>
    <row r="177" spans="1:4" ht="14.25">
      <c r="A177" s="16" t="str">
        <f ca="1">IFERROR(__xludf.UNSUPPORTED("""COMPUTED_VALUE"""),"Durán Olivares, Xiomara Marina")</f>
        <v>Durán Olivares, Xiomara Marina</v>
      </c>
      <c r="B177" s="16" t="str">
        <f ca="1">IFERROR(__xludf.UNSUPPORTED("""COMPUTED_VALUE"""),"Durán Olivares")</f>
        <v>Durán Olivares</v>
      </c>
      <c r="C177" s="16" t="str">
        <f ca="1">IFERROR(__xludf.UNSUPPORTED("""COMPUTED_VALUE"""),"Xiomara Marina")</f>
        <v>Xiomara Marina</v>
      </c>
      <c r="D177" s="16">
        <f ca="1">IFERROR(__xludf.UNSUPPORTED("""COMPUTED_VALUE"""),962813390)</f>
        <v>962813390</v>
      </c>
    </row>
    <row r="178" spans="1:4" ht="14.25">
      <c r="A178" s="16" t="str">
        <f ca="1">IFERROR(__xludf.UNSUPPORTED("""COMPUTED_VALUE"""),"Durban Sánchez, Jordi")</f>
        <v>Durban Sánchez, Jordi</v>
      </c>
      <c r="B178" s="16" t="str">
        <f ca="1">IFERROR(__xludf.UNSUPPORTED("""COMPUTED_VALUE"""),"Durban Sánchez")</f>
        <v>Durban Sánchez</v>
      </c>
      <c r="C178" s="16" t="str">
        <f ca="1">IFERROR(__xludf.UNSUPPORTED("""COMPUTED_VALUE"""),"Jordi")</f>
        <v>Jordi</v>
      </c>
      <c r="D178" s="16" t="str">
        <f ca="1">IFERROR(__xludf.UNSUPPORTED("""COMPUTED_VALUE"""),"43539487G")</f>
        <v>43539487G</v>
      </c>
    </row>
    <row r="179" spans="1:4" ht="14.25">
      <c r="A179" s="16" t="str">
        <f ca="1">IFERROR(__xludf.UNSUPPORTED("""COMPUTED_VALUE"""),"Echániz Serrano, Emmanuel")</f>
        <v>Echániz Serrano, Emmanuel</v>
      </c>
      <c r="B179" s="16" t="str">
        <f ca="1">IFERROR(__xludf.UNSUPPORTED("""COMPUTED_VALUE"""),"Echániz Serrano")</f>
        <v>Echániz Serrano</v>
      </c>
      <c r="C179" s="16" t="str">
        <f ca="1">IFERROR(__xludf.UNSUPPORTED("""COMPUTED_VALUE"""),"Emmanuel")</f>
        <v>Emmanuel</v>
      </c>
      <c r="D179" s="16" t="str">
        <f ca="1">IFERROR(__xludf.UNSUPPORTED("""COMPUTED_VALUE"""),"44140582V")</f>
        <v>44140582V</v>
      </c>
    </row>
    <row r="180" spans="1:4" ht="14.25">
      <c r="A180" s="16" t="str">
        <f ca="1">IFERROR(__xludf.UNSUPPORTED("""COMPUTED_VALUE"""),"Echauri Tijeras, José Antonio")</f>
        <v>Echauri Tijeras, José Antonio</v>
      </c>
      <c r="B180" s="16" t="str">
        <f ca="1">IFERROR(__xludf.UNSUPPORTED("""COMPUTED_VALUE"""),"Echauri Tijeras")</f>
        <v>Echauri Tijeras</v>
      </c>
      <c r="C180" s="16" t="str">
        <f ca="1">IFERROR(__xludf.UNSUPPORTED("""COMPUTED_VALUE"""),"José Antonio")</f>
        <v>José Antonio</v>
      </c>
      <c r="D180" s="16" t="str">
        <f ca="1">IFERROR(__xludf.UNSUPPORTED("""COMPUTED_VALUE"""),"33418467L")</f>
        <v>33418467L</v>
      </c>
    </row>
    <row r="181" spans="1:4" ht="14.25">
      <c r="A181" s="16" t="str">
        <f ca="1">IFERROR(__xludf.UNSUPPORTED("""COMPUTED_VALUE"""),"Egea Carro, María")</f>
        <v>Egea Carro, María</v>
      </c>
      <c r="B181" s="16" t="str">
        <f ca="1">IFERROR(__xludf.UNSUPPORTED("""COMPUTED_VALUE"""),"Egea Carro")</f>
        <v>Egea Carro</v>
      </c>
      <c r="C181" s="16" t="str">
        <f ca="1">IFERROR(__xludf.UNSUPPORTED("""COMPUTED_VALUE"""),"María")</f>
        <v>María</v>
      </c>
      <c r="D181" s="16" t="str">
        <f ca="1">IFERROR(__xludf.UNSUPPORTED("""COMPUTED_VALUE"""),"72847638Z")</f>
        <v>72847638Z</v>
      </c>
    </row>
    <row r="182" spans="1:4" ht="14.25">
      <c r="A182" s="16" t="str">
        <f ca="1">IFERROR(__xludf.UNSUPPORTED("""COMPUTED_VALUE"""),"Eleta, Paula Gabriela")</f>
        <v>Eleta, Paula Gabriela</v>
      </c>
      <c r="B182" s="16" t="str">
        <f ca="1">IFERROR(__xludf.UNSUPPORTED("""COMPUTED_VALUE"""),"Eleta")</f>
        <v>Eleta</v>
      </c>
      <c r="C182" s="16" t="str">
        <f ca="1">IFERROR(__xludf.UNSUPPORTED("""COMPUTED_VALUE"""),"Paula Gabriela")</f>
        <v>Paula Gabriela</v>
      </c>
      <c r="D182" s="16" t="str">
        <f ca="1">IFERROR(__xludf.UNSUPPORTED("""COMPUTED_VALUE"""),"CA66712BG")</f>
        <v>CA66712BG</v>
      </c>
    </row>
    <row r="183" spans="1:4" ht="14.25">
      <c r="A183" s="16" t="str">
        <f ca="1">IFERROR(__xludf.UNSUPPORTED("""COMPUTED_VALUE"""),"Elices, Matilde")</f>
        <v>Elices, Matilde</v>
      </c>
      <c r="B183" s="16" t="str">
        <f ca="1">IFERROR(__xludf.UNSUPPORTED("""COMPUTED_VALUE"""),"Elices")</f>
        <v>Elices</v>
      </c>
      <c r="C183" s="16" t="str">
        <f ca="1">IFERROR(__xludf.UNSUPPORTED("""COMPUTED_VALUE"""),"Matilde")</f>
        <v>Matilde</v>
      </c>
      <c r="D183" s="16" t="str">
        <f ca="1">IFERROR(__xludf.UNSUPPORTED("""COMPUTED_VALUE"""),"Y1438141B")</f>
        <v>Y1438141B</v>
      </c>
    </row>
    <row r="184" spans="1:4" ht="14.25">
      <c r="A184" s="16" t="str">
        <f ca="1">IFERROR(__xludf.UNSUPPORTED("""COMPUTED_VALUE"""),"Escarabajal Arrieta, María Dolores")</f>
        <v>Escarabajal Arrieta, María Dolores</v>
      </c>
      <c r="B184" s="16" t="str">
        <f ca="1">IFERROR(__xludf.UNSUPPORTED("""COMPUTED_VALUE"""),"Escarabajal Arrieta")</f>
        <v>Escarabajal Arrieta</v>
      </c>
      <c r="C184" s="16" t="str">
        <f ca="1">IFERROR(__xludf.UNSUPPORTED("""COMPUTED_VALUE"""),"María Dolores")</f>
        <v>María Dolores</v>
      </c>
      <c r="D184" s="16" t="str">
        <f ca="1">IFERROR(__xludf.UNSUPPORTED("""COMPUTED_VALUE"""),"18961385R")</f>
        <v>18961385R</v>
      </c>
    </row>
    <row r="185" spans="1:4" ht="14.25">
      <c r="A185" s="16" t="str">
        <f ca="1">IFERROR(__xludf.UNSUPPORTED("""COMPUTED_VALUE"""),"Escobar Vicent, Alejandro")</f>
        <v>Escobar Vicent, Alejandro</v>
      </c>
      <c r="B185" s="16" t="str">
        <f ca="1">IFERROR(__xludf.UNSUPPORTED("""COMPUTED_VALUE"""),"Escobar Vicent")</f>
        <v>Escobar Vicent</v>
      </c>
      <c r="C185" s="16" t="str">
        <f ca="1">IFERROR(__xludf.UNSUPPORTED("""COMPUTED_VALUE"""),"Alejandro")</f>
        <v>Alejandro</v>
      </c>
      <c r="D185" s="16" t="str">
        <f ca="1">IFERROR(__xludf.UNSUPPORTED("""COMPUTED_VALUE"""),"46774837J")</f>
        <v>46774837J</v>
      </c>
    </row>
    <row r="186" spans="1:4" ht="14.25">
      <c r="A186" s="16" t="str">
        <f ca="1">IFERROR(__xludf.UNSUPPORTED("""COMPUTED_VALUE"""),"Escriche Escuder, Adrián")</f>
        <v>Escriche Escuder, Adrián</v>
      </c>
      <c r="B186" s="16" t="str">
        <f ca="1">IFERROR(__xludf.UNSUPPORTED("""COMPUTED_VALUE"""),"Escriche Escuder")</f>
        <v>Escriche Escuder</v>
      </c>
      <c r="C186" s="16" t="str">
        <f ca="1">IFERROR(__xludf.UNSUPPORTED("""COMPUTED_VALUE"""),"Adrián")</f>
        <v>Adrián</v>
      </c>
      <c r="D186" s="16" t="str">
        <f ca="1">IFERROR(__xludf.UNSUPPORTED("""COMPUTED_VALUE"""),"07264369A")</f>
        <v>07264369A</v>
      </c>
    </row>
    <row r="187" spans="1:4" ht="14.25">
      <c r="A187" s="16" t="str">
        <f ca="1">IFERROR(__xludf.UNSUPPORTED("""COMPUTED_VALUE"""),"Escriche Escuder, Sandra")</f>
        <v>Escriche Escuder, Sandra</v>
      </c>
      <c r="B187" s="16" t="str">
        <f ca="1">IFERROR(__xludf.UNSUPPORTED("""COMPUTED_VALUE"""),"Escriche Escuder")</f>
        <v>Escriche Escuder</v>
      </c>
      <c r="C187" s="16" t="str">
        <f ca="1">IFERROR(__xludf.UNSUPPORTED("""COMPUTED_VALUE"""),"Sandra")</f>
        <v>Sandra</v>
      </c>
      <c r="D187" s="16" t="str">
        <f ca="1">IFERROR(__xludf.UNSUPPORTED("""COMPUTED_VALUE"""),"07264368W")</f>
        <v>07264368W</v>
      </c>
    </row>
    <row r="188" spans="1:4" ht="14.25">
      <c r="A188" s="16" t="str">
        <f ca="1">IFERROR(__xludf.UNSUPPORTED("""COMPUTED_VALUE"""),"Escrivá Peiró, Dolores")</f>
        <v>Escrivá Peiró, Dolores</v>
      </c>
      <c r="B188" s="16" t="str">
        <f ca="1">IFERROR(__xludf.UNSUPPORTED("""COMPUTED_VALUE"""),"Escrivá Peiró")</f>
        <v>Escrivá Peiró</v>
      </c>
      <c r="C188" s="16" t="str">
        <f ca="1">IFERROR(__xludf.UNSUPPORTED("""COMPUTED_VALUE"""),"Dolores")</f>
        <v>Dolores</v>
      </c>
      <c r="D188" s="16" t="str">
        <f ca="1">IFERROR(__xludf.UNSUPPORTED("""COMPUTED_VALUE"""),"45631337G")</f>
        <v>45631337G</v>
      </c>
    </row>
    <row r="189" spans="1:4" ht="14.25">
      <c r="A189" s="16" t="str">
        <f ca="1">IFERROR(__xludf.UNSUPPORTED("""COMPUTED_VALUE"""),"Escuder Briz, María José")</f>
        <v>Escuder Briz, María José</v>
      </c>
      <c r="B189" s="16" t="str">
        <f ca="1">IFERROR(__xludf.UNSUPPORTED("""COMPUTED_VALUE"""),"Escuder Briz")</f>
        <v>Escuder Briz</v>
      </c>
      <c r="C189" s="16" t="str">
        <f ca="1">IFERROR(__xludf.UNSUPPORTED("""COMPUTED_VALUE"""),"María José")</f>
        <v>María José</v>
      </c>
      <c r="D189" s="16" t="str">
        <f ca="1">IFERROR(__xludf.UNSUPPORTED("""COMPUTED_VALUE"""),"33451372B")</f>
        <v>33451372B</v>
      </c>
    </row>
    <row r="190" spans="1:4" ht="14.25">
      <c r="A190" s="16" t="str">
        <f ca="1">IFERROR(__xludf.UNSUPPORTED("""COMPUTED_VALUE"""),"Escudero Lara, Alejandra")</f>
        <v>Escudero Lara, Alejandra</v>
      </c>
      <c r="B190" s="16" t="str">
        <f ca="1">IFERROR(__xludf.UNSUPPORTED("""COMPUTED_VALUE"""),"Escudero Lara")</f>
        <v>Escudero Lara</v>
      </c>
      <c r="C190" s="16" t="str">
        <f ca="1">IFERROR(__xludf.UNSUPPORTED("""COMPUTED_VALUE"""),"Alejandra")</f>
        <v>Alejandra</v>
      </c>
      <c r="D190" s="16" t="str">
        <f ca="1">IFERROR(__xludf.UNSUPPORTED("""COMPUTED_VALUE"""),"20901049Y")</f>
        <v>20901049Y</v>
      </c>
    </row>
    <row r="191" spans="1:4" ht="14.25">
      <c r="A191" s="16" t="str">
        <f ca="1">IFERROR(__xludf.UNSUPPORTED("""COMPUTED_VALUE"""),"Escudero Moreno, Berta")</f>
        <v>Escudero Moreno, Berta</v>
      </c>
      <c r="B191" s="16" t="str">
        <f ca="1">IFERROR(__xludf.UNSUPPORTED("""COMPUTED_VALUE"""),"Escudero Moreno")</f>
        <v>Escudero Moreno</v>
      </c>
      <c r="C191" s="16" t="str">
        <f ca="1">IFERROR(__xludf.UNSUPPORTED("""COMPUTED_VALUE"""),"Berta")</f>
        <v>Berta</v>
      </c>
      <c r="D191" s="16" t="str">
        <f ca="1">IFERROR(__xludf.UNSUPPORTED("""COMPUTED_VALUE"""),"51118871Z")</f>
        <v>51118871Z</v>
      </c>
    </row>
    <row r="192" spans="1:4" ht="14.25">
      <c r="A192" s="16" t="str">
        <f ca="1">IFERROR(__xludf.UNSUPPORTED("""COMPUTED_VALUE"""),"Espinha Cadavid, Sara")</f>
        <v>Espinha Cadavid, Sara</v>
      </c>
      <c r="B192" s="16" t="str">
        <f ca="1">IFERROR(__xludf.UNSUPPORTED("""COMPUTED_VALUE"""),"Espinha Cadavid")</f>
        <v>Espinha Cadavid</v>
      </c>
      <c r="C192" s="16" t="str">
        <f ca="1">IFERROR(__xludf.UNSUPPORTED("""COMPUTED_VALUE"""),"Sara")</f>
        <v>Sara</v>
      </c>
      <c r="D192" s="16" t="str">
        <f ca="1">IFERROR(__xludf.UNSUPPORTED("""COMPUTED_VALUE"""),"X6192212Z")</f>
        <v>X6192212Z</v>
      </c>
    </row>
    <row r="193" spans="1:4" ht="14.25">
      <c r="A193" s="16" t="str">
        <f ca="1">IFERROR(__xludf.UNSUPPORTED("""COMPUTED_VALUE"""),"Espinoza León, Paula Carolina")</f>
        <v>Espinoza León, Paula Carolina</v>
      </c>
      <c r="B193" s="16" t="str">
        <f ca="1">IFERROR(__xludf.UNSUPPORTED("""COMPUTED_VALUE"""),"Espinoza León")</f>
        <v>Espinoza León</v>
      </c>
      <c r="C193" s="16" t="str">
        <f ca="1">IFERROR(__xludf.UNSUPPORTED("""COMPUTED_VALUE"""),"Paula Carolina")</f>
        <v>Paula Carolina</v>
      </c>
      <c r="D193" s="16" t="str">
        <f ca="1">IFERROR(__xludf.UNSUPPORTED("""COMPUTED_VALUE"""),"Y1325827Y")</f>
        <v>Y1325827Y</v>
      </c>
    </row>
    <row r="194" spans="1:4" ht="14.25">
      <c r="A194" s="16" t="str">
        <f ca="1">IFERROR(__xludf.UNSUPPORTED("""COMPUTED_VALUE"""),"Espinoza Venegas, Macarena")</f>
        <v>Espinoza Venegas, Macarena</v>
      </c>
      <c r="B194" s="16" t="str">
        <f ca="1">IFERROR(__xludf.UNSUPPORTED("""COMPUTED_VALUE"""),"Espinoza Venegas")</f>
        <v>Espinoza Venegas</v>
      </c>
      <c r="C194" s="16" t="str">
        <f ca="1">IFERROR(__xludf.UNSUPPORTED("""COMPUTED_VALUE"""),"Macarena")</f>
        <v>Macarena</v>
      </c>
      <c r="D194" s="16" t="str">
        <f ca="1">IFERROR(__xludf.UNSUPPORTED("""COMPUTED_VALUE"""),"10232883E")</f>
        <v>10232883E</v>
      </c>
    </row>
    <row r="195" spans="1:4" ht="14.25">
      <c r="A195" s="16" t="str">
        <f ca="1">IFERROR(__xludf.UNSUPPORTED("""COMPUTED_VALUE"""),"Esquivias Villalobos, Antonio")</f>
        <v>Esquivias Villalobos, Antonio</v>
      </c>
      <c r="B195" s="16" t="str">
        <f ca="1">IFERROR(__xludf.UNSUPPORTED("""COMPUTED_VALUE"""),"Esquivias Villalobos")</f>
        <v>Esquivias Villalobos</v>
      </c>
      <c r="C195" s="16" t="str">
        <f ca="1">IFERROR(__xludf.UNSUPPORTED("""COMPUTED_VALUE"""),"Antonio")</f>
        <v>Antonio</v>
      </c>
      <c r="D195" s="16" t="str">
        <f ca="1">IFERROR(__xludf.UNSUPPORTED("""COMPUTED_VALUE"""),"653081L")</f>
        <v>653081L</v>
      </c>
    </row>
    <row r="196" spans="1:4" ht="14.25">
      <c r="A196" s="16" t="str">
        <f ca="1">IFERROR(__xludf.UNSUPPORTED("""COMPUTED_VALUE"""),"Esteban Fernández, Alberto")</f>
        <v>Esteban Fernández, Alberto</v>
      </c>
      <c r="B196" s="16" t="str">
        <f ca="1">IFERROR(__xludf.UNSUPPORTED("""COMPUTED_VALUE"""),"Esteban Fernández")</f>
        <v>Esteban Fernández</v>
      </c>
      <c r="C196" s="16" t="str">
        <f ca="1">IFERROR(__xludf.UNSUPPORTED("""COMPUTED_VALUE"""),"Alberto")</f>
        <v>Alberto</v>
      </c>
      <c r="D196" s="16" t="str">
        <f ca="1">IFERROR(__xludf.UNSUPPORTED("""COMPUTED_VALUE"""),"12411130P")</f>
        <v>12411130P</v>
      </c>
    </row>
    <row r="197" spans="1:4" ht="14.25">
      <c r="A197" s="16" t="str">
        <f ca="1">IFERROR(__xludf.UNSUPPORTED("""COMPUTED_VALUE"""),"Etchezahar, Edgardo Daniel")</f>
        <v>Etchezahar, Edgardo Daniel</v>
      </c>
      <c r="B197" s="16" t="str">
        <f ca="1">IFERROR(__xludf.UNSUPPORTED("""COMPUTED_VALUE"""),"Etchezahar")</f>
        <v>Etchezahar</v>
      </c>
      <c r="C197" s="16" t="str">
        <f ca="1">IFERROR(__xludf.UNSUPPORTED("""COMPUTED_VALUE"""),"Edgardo Daniel")</f>
        <v>Edgardo Daniel</v>
      </c>
      <c r="D197" s="16" t="str">
        <f ca="1">IFERROR(__xludf.UNSUPPORTED("""COMPUTED_VALUE"""),"Y7402885G")</f>
        <v>Y7402885G</v>
      </c>
    </row>
    <row r="198" spans="1:4" ht="14.25">
      <c r="A198" s="16" t="str">
        <f ca="1">IFERROR(__xludf.UNSUPPORTED("""COMPUTED_VALUE"""),"Expósito Álvarez, Cristina")</f>
        <v>Expósito Álvarez, Cristina</v>
      </c>
      <c r="B198" s="18" t="str">
        <f ca="1">IFERROR(__xludf.UNSUPPORTED("""COMPUTED_VALUE"""),"Expósito Álvarez")</f>
        <v>Expósito Álvarez</v>
      </c>
      <c r="C198" s="16" t="str">
        <f ca="1">IFERROR(__xludf.UNSUPPORTED("""COMPUTED_VALUE"""),"Cristina")</f>
        <v>Cristina</v>
      </c>
      <c r="D198" s="16" t="str">
        <f ca="1">IFERROR(__xludf.UNSUPPORTED("""COMPUTED_VALUE"""),"21808521J")</f>
        <v>21808521J</v>
      </c>
    </row>
    <row r="199" spans="1:4" ht="14.25">
      <c r="A199" s="16" t="str">
        <f ca="1">IFERROR(__xludf.UNSUPPORTED("""COMPUTED_VALUE"""),"Fagundes Vila, Caterine")</f>
        <v>Fagundes Vila, Caterine</v>
      </c>
      <c r="B199" s="16" t="str">
        <f ca="1">IFERROR(__xludf.UNSUPPORTED("""COMPUTED_VALUE"""),"Fagundes Vila")</f>
        <v>Fagundes Vila</v>
      </c>
      <c r="C199" s="16" t="str">
        <f ca="1">IFERROR(__xludf.UNSUPPORTED("""COMPUTED_VALUE"""),"Caterine")</f>
        <v>Caterine</v>
      </c>
      <c r="D199" s="16" t="str">
        <f ca="1">IFERROR(__xludf.UNSUPPORTED("""COMPUTED_VALUE"""),"47843707G")</f>
        <v>47843707G</v>
      </c>
    </row>
    <row r="200" spans="1:4" ht="14.25">
      <c r="A200" s="16" t="str">
        <f ca="1">IFERROR(__xludf.UNSUPPORTED("""COMPUTED_VALUE"""),"Fandiño Pascual, Ricardo")</f>
        <v>Fandiño Pascual, Ricardo</v>
      </c>
      <c r="B200" s="16" t="str">
        <f ca="1">IFERROR(__xludf.UNSUPPORTED("""COMPUTED_VALUE"""),"Fandiño Pascual")</f>
        <v>Fandiño Pascual</v>
      </c>
      <c r="C200" s="16" t="str">
        <f ca="1">IFERROR(__xludf.UNSUPPORTED("""COMPUTED_VALUE"""),"Ricardo")</f>
        <v>Ricardo</v>
      </c>
      <c r="D200" s="16" t="str">
        <f ca="1">IFERROR(__xludf.UNSUPPORTED("""COMPUTED_VALUE"""),"35453368H")</f>
        <v>35453368H</v>
      </c>
    </row>
    <row r="201" spans="1:4" ht="14.25">
      <c r="A201" s="16" t="str">
        <f ca="1">IFERROR(__xludf.UNSUPPORTED("""COMPUTED_VALUE"""),"Farfallini, Luis")</f>
        <v>Farfallini, Luis</v>
      </c>
      <c r="B201" s="16" t="str">
        <f ca="1">IFERROR(__xludf.UNSUPPORTED("""COMPUTED_VALUE"""),"Farfallini")</f>
        <v>Farfallini</v>
      </c>
      <c r="C201" s="16" t="str">
        <f ca="1">IFERROR(__xludf.UNSUPPORTED("""COMPUTED_VALUE"""),"Luis")</f>
        <v>Luis</v>
      </c>
      <c r="D201" s="16" t="str">
        <f ca="1">IFERROR(__xludf.UNSUPPORTED("""COMPUTED_VALUE"""),"YB0213864")</f>
        <v>YB0213864</v>
      </c>
    </row>
    <row r="202" spans="1:4" ht="14.25">
      <c r="A202" s="16" t="str">
        <f ca="1">IFERROR(__xludf.UNSUPPORTED("""COMPUTED_VALUE"""),"Fausor de Castro, Rocío")</f>
        <v>Fausor de Castro, Rocío</v>
      </c>
      <c r="B202" s="16" t="str">
        <f ca="1">IFERROR(__xludf.UNSUPPORTED("""COMPUTED_VALUE"""),"Fausor de Castro")</f>
        <v>Fausor de Castro</v>
      </c>
      <c r="C202" s="16" t="str">
        <f ca="1">IFERROR(__xludf.UNSUPPORTED("""COMPUTED_VALUE"""),"Rocío")</f>
        <v>Rocío</v>
      </c>
      <c r="D202" s="16" t="str">
        <f ca="1">IFERROR(__xludf.UNSUPPORTED("""COMPUTED_VALUE"""),"53389628G")</f>
        <v>53389628G</v>
      </c>
    </row>
    <row r="203" spans="1:4" ht="14.25">
      <c r="A203" s="16" t="str">
        <f ca="1">IFERROR(__xludf.UNSUPPORTED("""COMPUTED_VALUE"""),"Femenia Mulet, Sabrina")</f>
        <v>Femenia Mulet, Sabrina</v>
      </c>
      <c r="B203" s="16" t="str">
        <f ca="1">IFERROR(__xludf.UNSUPPORTED("""COMPUTED_VALUE"""),"Femenia Mulet")</f>
        <v>Femenia Mulet</v>
      </c>
      <c r="C203" s="16" t="str">
        <f ca="1">IFERROR(__xludf.UNSUPPORTED("""COMPUTED_VALUE"""),"Sabrina")</f>
        <v>Sabrina</v>
      </c>
      <c r="D203" s="16" t="str">
        <f ca="1">IFERROR(__xludf.UNSUPPORTED("""COMPUTED_VALUE"""),"53215194w")</f>
        <v>53215194w</v>
      </c>
    </row>
    <row r="204" spans="1:4" ht="14.25">
      <c r="A204" s="16" t="str">
        <f ca="1">IFERROR(__xludf.UNSUPPORTED("""COMPUTED_VALUE"""),"Fernández Alcaraz, Camino")</f>
        <v>Fernández Alcaraz, Camino</v>
      </c>
      <c r="B204" s="16" t="str">
        <f ca="1">IFERROR(__xludf.UNSUPPORTED("""COMPUTED_VALUE"""),"Fernández Alcaraz")</f>
        <v>Fernández Alcaraz</v>
      </c>
      <c r="C204" s="16" t="str">
        <f ca="1">IFERROR(__xludf.UNSUPPORTED("""COMPUTED_VALUE"""),"Camino")</f>
        <v>Camino</v>
      </c>
      <c r="D204" s="16" t="str">
        <f ca="1">IFERROR(__xludf.UNSUPPORTED("""COMPUTED_VALUE"""),"53493720K")</f>
        <v>53493720K</v>
      </c>
    </row>
    <row r="205" spans="1:4" ht="14.25">
      <c r="A205" s="16" t="str">
        <f ca="1">IFERROR(__xludf.UNSUPPORTED("""COMPUTED_VALUE"""),"Fernández Álvarez, Ana")</f>
        <v>Fernández Álvarez, Ana</v>
      </c>
      <c r="B205" s="16" t="str">
        <f ca="1">IFERROR(__xludf.UNSUPPORTED("""COMPUTED_VALUE"""),"Fernández Álvarez")</f>
        <v>Fernández Álvarez</v>
      </c>
      <c r="C205" s="16" t="str">
        <f ca="1">IFERROR(__xludf.UNSUPPORTED("""COMPUTED_VALUE"""),"Ana")</f>
        <v>Ana</v>
      </c>
      <c r="D205" s="16" t="str">
        <f ca="1">IFERROR(__xludf.UNSUPPORTED("""COMPUTED_VALUE"""),"23938848B")</f>
        <v>23938848B</v>
      </c>
    </row>
    <row r="206" spans="1:4" ht="14.25">
      <c r="A206" s="16" t="str">
        <f ca="1">IFERROR(__xludf.UNSUPPORTED("""COMPUTED_VALUE"""),"Fernández Artamendi, Sergio")</f>
        <v>Fernández Artamendi, Sergio</v>
      </c>
      <c r="B206" s="16" t="str">
        <f ca="1">IFERROR(__xludf.UNSUPPORTED("""COMPUTED_VALUE"""),"Fernández Artamendi")</f>
        <v>Fernández Artamendi</v>
      </c>
      <c r="C206" s="16" t="str">
        <f ca="1">IFERROR(__xludf.UNSUPPORTED("""COMPUTED_VALUE"""),"Sergio")</f>
        <v>Sergio</v>
      </c>
      <c r="D206" s="16" t="str">
        <f ca="1">IFERROR(__xludf.UNSUPPORTED("""COMPUTED_VALUE"""),"71658627B")</f>
        <v>71658627B</v>
      </c>
    </row>
    <row r="207" spans="1:4" ht="14.25">
      <c r="A207" s="16" t="str">
        <f ca="1">IFERROR(__xludf.UNSUPPORTED("""COMPUTED_VALUE"""),"Fernández Carreño, David")</f>
        <v>Fernández Carreño, David</v>
      </c>
      <c r="B207" s="16" t="str">
        <f ca="1">IFERROR(__xludf.UNSUPPORTED("""COMPUTED_VALUE"""),"Fernández Carreño")</f>
        <v>Fernández Carreño</v>
      </c>
      <c r="C207" s="16" t="str">
        <f ca="1">IFERROR(__xludf.UNSUPPORTED("""COMPUTED_VALUE"""),"David")</f>
        <v>David</v>
      </c>
      <c r="D207" s="16" t="str">
        <f ca="1">IFERROR(__xludf.UNSUPPORTED("""COMPUTED_VALUE"""),"48633916W")</f>
        <v>48633916W</v>
      </c>
    </row>
    <row r="208" spans="1:4" ht="14.25">
      <c r="A208" s="16" t="str">
        <f ca="1">IFERROR(__xludf.UNSUPPORTED("""COMPUTED_VALUE"""),"Fernández Dolón, Juan")</f>
        <v>Fernández Dolón, Juan</v>
      </c>
      <c r="B208" s="16" t="str">
        <f ca="1">IFERROR(__xludf.UNSUPPORTED("""COMPUTED_VALUE"""),"Fernández Dolón")</f>
        <v>Fernández Dolón</v>
      </c>
      <c r="C208" s="16" t="str">
        <f ca="1">IFERROR(__xludf.UNSUPPORTED("""COMPUTED_VALUE"""),"Juan")</f>
        <v>Juan</v>
      </c>
      <c r="D208" s="16" t="str">
        <f ca="1">IFERROR(__xludf.UNSUPPORTED("""COMPUTED_VALUE"""),"70891046D")</f>
        <v>70891046D</v>
      </c>
    </row>
    <row r="209" spans="1:4" ht="14.25">
      <c r="A209" s="16" t="str">
        <f ca="1">IFERROR(__xludf.UNSUPPORTED("""COMPUTED_VALUE"""),"Fernández Fillol, Carmen")</f>
        <v>Fernández Fillol, Carmen</v>
      </c>
      <c r="B209" s="16" t="str">
        <f ca="1">IFERROR(__xludf.UNSUPPORTED("""COMPUTED_VALUE"""),"Fernández Fillol")</f>
        <v>Fernández Fillol</v>
      </c>
      <c r="C209" s="16" t="str">
        <f ca="1">IFERROR(__xludf.UNSUPPORTED("""COMPUTED_VALUE"""),"Carmen")</f>
        <v>Carmen</v>
      </c>
      <c r="D209" s="16" t="str">
        <f ca="1">IFERROR(__xludf.UNSUPPORTED("""COMPUTED_VALUE"""),"71355987M")</f>
        <v>71355987M</v>
      </c>
    </row>
    <row r="210" spans="1:4" ht="14.25">
      <c r="A210" s="16" t="str">
        <f ca="1">IFERROR(__xludf.UNSUPPORTED("""COMPUTED_VALUE"""),"Fernández González, María Cristina")</f>
        <v>Fernández González, María Cristina</v>
      </c>
      <c r="B210" s="16" t="str">
        <f ca="1">IFERROR(__xludf.UNSUPPORTED("""COMPUTED_VALUE"""),"Fernández González")</f>
        <v>Fernández González</v>
      </c>
      <c r="C210" s="16" t="str">
        <f ca="1">IFERROR(__xludf.UNSUPPORTED("""COMPUTED_VALUE"""),"María Cristina")</f>
        <v>María Cristina</v>
      </c>
      <c r="D210" s="16" t="str">
        <f ca="1">IFERROR(__xludf.UNSUPPORTED("""COMPUTED_VALUE"""),"42418860Y")</f>
        <v>42418860Y</v>
      </c>
    </row>
    <row r="211" spans="1:4" ht="14.25">
      <c r="A211" s="16" t="str">
        <f ca="1">IFERROR(__xludf.UNSUPPORTED("""COMPUTED_VALUE"""),"Fernández Kirszman, Javier")</f>
        <v>Fernández Kirszman, Javier</v>
      </c>
      <c r="B211" s="16" t="str">
        <f ca="1">IFERROR(__xludf.UNSUPPORTED("""COMPUTED_VALUE"""),"Fernández Kirszman")</f>
        <v>Fernández Kirszman</v>
      </c>
      <c r="C211" s="16" t="str">
        <f ca="1">IFERROR(__xludf.UNSUPPORTED("""COMPUTED_VALUE"""),"Javier")</f>
        <v>Javier</v>
      </c>
      <c r="D211" s="16" t="str">
        <f ca="1">IFERROR(__xludf.UNSUPPORTED("""COMPUTED_VALUE"""),"26661365H")</f>
        <v>26661365H</v>
      </c>
    </row>
    <row r="212" spans="1:4" ht="14.25">
      <c r="A212" s="16" t="str">
        <f ca="1">IFERROR(__xludf.UNSUPPORTED("""COMPUTED_VALUE"""),"Fernández Leyva, Christian")</f>
        <v>Fernández Leyva, Christian</v>
      </c>
      <c r="B212" s="16" t="str">
        <f ca="1">IFERROR(__xludf.UNSUPPORTED("""COMPUTED_VALUE"""),"Fernández Leyva")</f>
        <v>Fernández Leyva</v>
      </c>
      <c r="C212" s="16" t="str">
        <f ca="1">IFERROR(__xludf.UNSUPPORTED("""COMPUTED_VALUE"""),"Christian")</f>
        <v>Christian</v>
      </c>
      <c r="D212" s="16" t="str">
        <f ca="1">IFERROR(__xludf.UNSUPPORTED("""COMPUTED_VALUE"""),"74638917f")</f>
        <v>74638917f</v>
      </c>
    </row>
    <row r="213" spans="1:4" ht="14.25">
      <c r="A213" s="16" t="str">
        <f ca="1">IFERROR(__xludf.UNSUPPORTED("""COMPUTED_VALUE"""),"Fernández Martínez, Iván")</f>
        <v>Fernández Martínez, Iván</v>
      </c>
      <c r="B213" s="16" t="str">
        <f ca="1">IFERROR(__xludf.UNSUPPORTED("""COMPUTED_VALUE"""),"Fernández Martínez")</f>
        <v>Fernández Martínez</v>
      </c>
      <c r="C213" s="16" t="str">
        <f ca="1">IFERROR(__xludf.UNSUPPORTED("""COMPUTED_VALUE"""),"Iván")</f>
        <v>Iván</v>
      </c>
      <c r="D213" s="16" t="str">
        <f ca="1">IFERROR(__xludf.UNSUPPORTED("""COMPUTED_VALUE"""),"45836535L")</f>
        <v>45836535L</v>
      </c>
    </row>
    <row r="214" spans="1:4" ht="14.25">
      <c r="A214" s="16" t="str">
        <f ca="1">IFERROR(__xludf.UNSUPPORTED("""COMPUTED_VALUE"""),"Fernández Musoles, Ricardo")</f>
        <v>Fernández Musoles, Ricardo</v>
      </c>
      <c r="B214" s="16" t="str">
        <f ca="1">IFERROR(__xludf.UNSUPPORTED("""COMPUTED_VALUE"""),"Fernández Musoles")</f>
        <v>Fernández Musoles</v>
      </c>
      <c r="C214" s="16" t="str">
        <f ca="1">IFERROR(__xludf.UNSUPPORTED("""COMPUTED_VALUE"""),"Ricardo")</f>
        <v>Ricardo</v>
      </c>
      <c r="D214" s="16" t="str">
        <f ca="1">IFERROR(__xludf.UNSUPPORTED("""COMPUTED_VALUE"""),"29199912D")</f>
        <v>29199912D</v>
      </c>
    </row>
    <row r="215" spans="1:4" ht="14.25">
      <c r="A215" s="16" t="str">
        <f ca="1">IFERROR(__xludf.UNSUPPORTED("""COMPUTED_VALUE"""),"Fernández Pan, Idoya")</f>
        <v>Fernández Pan, Idoya</v>
      </c>
      <c r="B215" s="16" t="str">
        <f ca="1">IFERROR(__xludf.UNSUPPORTED("""COMPUTED_VALUE"""),"Fernández Pan")</f>
        <v>Fernández Pan</v>
      </c>
      <c r="C215" s="16" t="str">
        <f ca="1">IFERROR(__xludf.UNSUPPORTED("""COMPUTED_VALUE"""),"Idoya")</f>
        <v>Idoya</v>
      </c>
      <c r="D215" s="16" t="str">
        <f ca="1">IFERROR(__xludf.UNSUPPORTED("""COMPUTED_VALUE"""),"72695262J")</f>
        <v>72695262J</v>
      </c>
    </row>
    <row r="216" spans="1:4" ht="14.25">
      <c r="A216" s="16" t="str">
        <f ca="1">IFERROR(__xludf.UNSUPPORTED("""COMPUTED_VALUE"""),"Fernández Presa, Urko")</f>
        <v>Fernández Presa, Urko</v>
      </c>
      <c r="B216" s="16" t="str">
        <f ca="1">IFERROR(__xludf.UNSUPPORTED("""COMPUTED_VALUE"""),"Fernández Presa")</f>
        <v>Fernández Presa</v>
      </c>
      <c r="C216" s="16" t="str">
        <f ca="1">IFERROR(__xludf.UNSUPPORTED("""COMPUTED_VALUE"""),"Urko")</f>
        <v>Urko</v>
      </c>
      <c r="D216" s="16" t="str">
        <f ca="1">IFERROR(__xludf.UNSUPPORTED("""COMPUTED_VALUE"""),"78938790F")</f>
        <v>78938790F</v>
      </c>
    </row>
    <row r="217" spans="1:4" ht="14.25">
      <c r="A217" s="16" t="str">
        <f ca="1">IFERROR(__xludf.UNSUPPORTED("""COMPUTED_VALUE"""),"Fernández Recio, Juan")</f>
        <v>Fernández Recio, Juan</v>
      </c>
      <c r="B217" s="16" t="str">
        <f ca="1">IFERROR(__xludf.UNSUPPORTED("""COMPUTED_VALUE"""),"Fernández Recio")</f>
        <v>Fernández Recio</v>
      </c>
      <c r="C217" s="16" t="str">
        <f ca="1">IFERROR(__xludf.UNSUPPORTED("""COMPUTED_VALUE"""),"Juan")</f>
        <v>Juan</v>
      </c>
      <c r="D217" s="16" t="str">
        <f ca="1">IFERROR(__xludf.UNSUPPORTED("""COMPUTED_VALUE"""),"16553340X")</f>
        <v>16553340X</v>
      </c>
    </row>
    <row r="218" spans="1:4" ht="14.25">
      <c r="A218" s="16" t="str">
        <f ca="1">IFERROR(__xludf.UNSUPPORTED("""COMPUTED_VALUE"""),"Fernández Sabatés, Mónica")</f>
        <v>Fernández Sabatés, Mónica</v>
      </c>
      <c r="B218" s="16" t="str">
        <f ca="1">IFERROR(__xludf.UNSUPPORTED("""COMPUTED_VALUE"""),"Fernández Sabatés")</f>
        <v>Fernández Sabatés</v>
      </c>
      <c r="C218" s="16" t="str">
        <f ca="1">IFERROR(__xludf.UNSUPPORTED("""COMPUTED_VALUE"""),"Mónica")</f>
        <v>Mónica</v>
      </c>
      <c r="D218" s="16" t="str">
        <f ca="1">IFERROR(__xludf.UNSUPPORTED("""COMPUTED_VALUE"""),"47703540E")</f>
        <v>47703540E</v>
      </c>
    </row>
    <row r="219" spans="1:4" ht="14.25">
      <c r="A219" s="16" t="str">
        <f ca="1">IFERROR(__xludf.UNSUPPORTED("""COMPUTED_VALUE"""),"Fernández Sánchez, Maria")</f>
        <v>Fernández Sánchez, Maria</v>
      </c>
      <c r="B219" s="16" t="str">
        <f ca="1">IFERROR(__xludf.UNSUPPORTED("""COMPUTED_VALUE"""),"Fernández Sánchez")</f>
        <v>Fernández Sánchez</v>
      </c>
      <c r="C219" s="16" t="str">
        <f ca="1">IFERROR(__xludf.UNSUPPORTED("""COMPUTED_VALUE"""),"Maria")</f>
        <v>Maria</v>
      </c>
      <c r="D219" s="16" t="str">
        <f ca="1">IFERROR(__xludf.UNSUPPORTED("""COMPUTED_VALUE"""),"70897405C")</f>
        <v>70897405C</v>
      </c>
    </row>
    <row r="220" spans="1:4" ht="14.25">
      <c r="A220" s="16" t="str">
        <f ca="1">IFERROR(__xludf.UNSUPPORTED("""COMPUTED_VALUE"""),"Fernández Serrano, Ana Belén")</f>
        <v>Fernández Serrano, Ana Belén</v>
      </c>
      <c r="B220" s="16" t="str">
        <f ca="1">IFERROR(__xludf.UNSUPPORTED("""COMPUTED_VALUE"""),"Fernández Serrano")</f>
        <v>Fernández Serrano</v>
      </c>
      <c r="C220" s="16" t="str">
        <f ca="1">IFERROR(__xludf.UNSUPPORTED("""COMPUTED_VALUE"""),"Ana Belén")</f>
        <v>Ana Belén</v>
      </c>
      <c r="D220" s="16" t="str">
        <f ca="1">IFERROR(__xludf.UNSUPPORTED("""COMPUTED_VALUE"""),"77711115A")</f>
        <v>77711115A</v>
      </c>
    </row>
    <row r="221" spans="1:4" ht="14.25">
      <c r="A221" s="16" t="str">
        <f ca="1">IFERROR(__xludf.UNSUPPORTED("""COMPUTED_VALUE"""),"Fernández Tobar, Blanca Isabel")</f>
        <v>Fernández Tobar, Blanca Isabel</v>
      </c>
      <c r="B221" s="16" t="str">
        <f ca="1">IFERROR(__xludf.UNSUPPORTED("""COMPUTED_VALUE"""),"Fernández Tobar")</f>
        <v>Fernández Tobar</v>
      </c>
      <c r="C221" s="16" t="str">
        <f ca="1">IFERROR(__xludf.UNSUPPORTED("""COMPUTED_VALUE"""),"Blanca Isabel")</f>
        <v>Blanca Isabel</v>
      </c>
      <c r="D221" s="16" t="str">
        <f ca="1">IFERROR(__xludf.UNSUPPORTED("""COMPUTED_VALUE"""),"18050027H")</f>
        <v>18050027H</v>
      </c>
    </row>
    <row r="222" spans="1:4" ht="14.25">
      <c r="A222" s="16" t="str">
        <f ca="1">IFERROR(__xludf.UNSUPPORTED("""COMPUTED_VALUE"""),"Figueiredo de Magalhaes Peres, Hugo Miguel")</f>
        <v>Figueiredo de Magalhaes Peres, Hugo Miguel</v>
      </c>
      <c r="B222" s="16" t="str">
        <f ca="1">IFERROR(__xludf.UNSUPPORTED("""COMPUTED_VALUE"""),"Figueiredo de Magalhaes Peres")</f>
        <v>Figueiredo de Magalhaes Peres</v>
      </c>
      <c r="C222" s="16" t="str">
        <f ca="1">IFERROR(__xludf.UNSUPPORTED("""COMPUTED_VALUE"""),"Hugo Miguel")</f>
        <v>Hugo Miguel</v>
      </c>
      <c r="D222" s="16" t="str">
        <f ca="1">IFERROR(__xludf.UNSUPPORTED("""COMPUTED_VALUE"""),"X9525674V")</f>
        <v>X9525674V</v>
      </c>
    </row>
    <row r="223" spans="1:4" ht="14.25">
      <c r="A223" s="16" t="str">
        <f ca="1">IFERROR(__xludf.UNSUPPORTED("""COMPUTED_VALUE"""),"Figueredo Canosa, Victoria")</f>
        <v>Figueredo Canosa, Victoria</v>
      </c>
      <c r="B223" s="16" t="str">
        <f ca="1">IFERROR(__xludf.UNSUPPORTED("""COMPUTED_VALUE"""),"Figueredo Canosa")</f>
        <v>Figueredo Canosa</v>
      </c>
      <c r="C223" s="16" t="str">
        <f ca="1">IFERROR(__xludf.UNSUPPORTED("""COMPUTED_VALUE"""),"Victoria")</f>
        <v>Victoria</v>
      </c>
      <c r="D223" s="16" t="str">
        <f ca="1">IFERROR(__xludf.UNSUPPORTED("""COMPUTED_VALUE"""),"75259854J")</f>
        <v>75259854J</v>
      </c>
    </row>
    <row r="224" spans="1:4" ht="14.25">
      <c r="A224" s="16" t="str">
        <f ca="1">IFERROR(__xludf.UNSUPPORTED("""COMPUTED_VALUE"""),"Fisas Quilez, Silvia")</f>
        <v>Fisas Quilez, Silvia</v>
      </c>
      <c r="B224" s="16" t="str">
        <f ca="1">IFERROR(__xludf.UNSUPPORTED("""COMPUTED_VALUE"""),"Fisas Quilez")</f>
        <v>Fisas Quilez</v>
      </c>
      <c r="C224" s="16" t="str">
        <f ca="1">IFERROR(__xludf.UNSUPPORTED("""COMPUTED_VALUE"""),"Silvia")</f>
        <v>Silvia</v>
      </c>
      <c r="D224" s="16"/>
    </row>
    <row r="225" spans="1:4" ht="14.25">
      <c r="A225" s="16" t="str">
        <f ca="1">IFERROR(__xludf.UNSUPPORTED("""COMPUTED_VALUE"""),"Flor Arasil, Patricia")</f>
        <v>Flor Arasil, Patricia</v>
      </c>
      <c r="B225" s="16" t="str">
        <f ca="1">IFERROR(__xludf.UNSUPPORTED("""COMPUTED_VALUE"""),"Flor Arasil")</f>
        <v>Flor Arasil</v>
      </c>
      <c r="C225" s="16" t="str">
        <f ca="1">IFERROR(__xludf.UNSUPPORTED("""COMPUTED_VALUE"""),"Patricia")</f>
        <v>Patricia</v>
      </c>
      <c r="D225" s="16" t="str">
        <f ca="1">IFERROR(__xludf.UNSUPPORTED("""COMPUTED_VALUE"""),"53378917B")</f>
        <v>53378917B</v>
      </c>
    </row>
    <row r="226" spans="1:4" ht="14.25">
      <c r="A226" s="16" t="str">
        <f ca="1">IFERROR(__xludf.UNSUPPORTED("""COMPUTED_VALUE"""),"Flores Plata, Lorena Alejandra")</f>
        <v>Flores Plata, Lorena Alejandra</v>
      </c>
      <c r="B226" s="16" t="str">
        <f ca="1">IFERROR(__xludf.UNSUPPORTED("""COMPUTED_VALUE"""),"Flores Plata")</f>
        <v>Flores Plata</v>
      </c>
      <c r="C226" s="16" t="str">
        <f ca="1">IFERROR(__xludf.UNSUPPORTED("""COMPUTED_VALUE"""),"Lorena Alejandra")</f>
        <v>Lorena Alejandra</v>
      </c>
      <c r="D226" s="16">
        <f ca="1">IFERROR(__xludf.UNSUPPORTED("""COMPUTED_VALUE"""),1742674009)</f>
        <v>1742674009</v>
      </c>
    </row>
    <row r="227" spans="1:4" ht="14.25">
      <c r="A227" s="16" t="str">
        <f ca="1">IFERROR(__xludf.UNSUPPORTED("""COMPUTED_VALUE"""),"Fornes Romero, Gertrudis")</f>
        <v>Fornes Romero, Gertrudis</v>
      </c>
      <c r="B227" s="16" t="str">
        <f ca="1">IFERROR(__xludf.UNSUPPORTED("""COMPUTED_VALUE"""),"Fornes Romero")</f>
        <v>Fornes Romero</v>
      </c>
      <c r="C227" s="16" t="str">
        <f ca="1">IFERROR(__xludf.UNSUPPORTED("""COMPUTED_VALUE"""),"Gertrudis")</f>
        <v>Gertrudis</v>
      </c>
      <c r="D227" s="16" t="str">
        <f ca="1">IFERROR(__xludf.UNSUPPORTED("""COMPUTED_VALUE"""),"20087166R")</f>
        <v>20087166R</v>
      </c>
    </row>
    <row r="228" spans="1:4" ht="14.25">
      <c r="A228" s="16" t="str">
        <f ca="1">IFERROR(__xludf.UNSUPPORTED("""COMPUTED_VALUE"""),"Fortea García, Encarna")</f>
        <v>Fortea García, Encarna</v>
      </c>
      <c r="B228" s="16" t="str">
        <f ca="1">IFERROR(__xludf.UNSUPPORTED("""COMPUTED_VALUE"""),"Fortea García")</f>
        <v>Fortea García</v>
      </c>
      <c r="C228" s="16" t="str">
        <f ca="1">IFERROR(__xludf.UNSUPPORTED("""COMPUTED_VALUE"""),"Encarna")</f>
        <v>Encarna</v>
      </c>
      <c r="D228" s="16" t="str">
        <f ca="1">IFERROR(__xludf.UNSUPPORTED("""COMPUTED_VALUE"""),"79140419H")</f>
        <v>79140419H</v>
      </c>
    </row>
    <row r="229" spans="1:4" ht="14.25">
      <c r="A229" s="16" t="str">
        <f ca="1">IFERROR(__xludf.UNSUPPORTED("""COMPUTED_VALUE"""),"Fuentes Abolafio, Iván José")</f>
        <v>Fuentes Abolafio, Iván José</v>
      </c>
      <c r="B229" s="16" t="str">
        <f ca="1">IFERROR(__xludf.UNSUPPORTED("""COMPUTED_VALUE"""),"Fuentes Abolafio")</f>
        <v>Fuentes Abolafio</v>
      </c>
      <c r="C229" s="16" t="str">
        <f ca="1">IFERROR(__xludf.UNSUPPORTED("""COMPUTED_VALUE"""),"Iván José")</f>
        <v>Iván José</v>
      </c>
      <c r="D229" s="16" t="str">
        <f ca="1">IFERROR(__xludf.UNSUPPORTED("""COMPUTED_VALUE"""),"44651843B")</f>
        <v>44651843B</v>
      </c>
    </row>
    <row r="230" spans="1:4" ht="14.25">
      <c r="A230" s="16" t="str">
        <f ca="1">IFERROR(__xludf.UNSUPPORTED("""COMPUTED_VALUE"""),"Fuentes De Frutos, Silvia")</f>
        <v>Fuentes De Frutos, Silvia</v>
      </c>
      <c r="B230" s="16" t="str">
        <f ca="1">IFERROR(__xludf.UNSUPPORTED("""COMPUTED_VALUE"""),"Fuentes De Frutos")</f>
        <v>Fuentes De Frutos</v>
      </c>
      <c r="C230" s="16" t="str">
        <f ca="1">IFERROR(__xludf.UNSUPPORTED("""COMPUTED_VALUE"""),"Silvia")</f>
        <v>Silvia</v>
      </c>
      <c r="D230" s="16" t="str">
        <f ca="1">IFERROR(__xludf.UNSUPPORTED("""COMPUTED_VALUE"""),"47757871G")</f>
        <v>47757871G</v>
      </c>
    </row>
    <row r="231" spans="1:4" ht="14.25">
      <c r="A231" s="16" t="str">
        <f ca="1">IFERROR(__xludf.UNSUPPORTED("""COMPUTED_VALUE"""),"Fuentes Guaza, Luisa ")</f>
        <v xml:space="preserve">Fuentes Guaza, Luisa </v>
      </c>
      <c r="B231" s="16" t="str">
        <f ca="1">IFERROR(__xludf.UNSUPPORTED("""COMPUTED_VALUE"""),"Fuentes Guaza")</f>
        <v>Fuentes Guaza</v>
      </c>
      <c r="C231" s="16" t="str">
        <f ca="1">IFERROR(__xludf.UNSUPPORTED("""COMPUTED_VALUE"""),"Luisa ")</f>
        <v xml:space="preserve">Luisa </v>
      </c>
      <c r="D231" s="16" t="str">
        <f ca="1">IFERROR(__xludf.UNSUPPORTED("""COMPUTED_VALUE"""),"23271802B")</f>
        <v>23271802B</v>
      </c>
    </row>
    <row r="232" spans="1:4" ht="14.25">
      <c r="A232" s="16" t="str">
        <f ca="1">IFERROR(__xludf.UNSUPPORTED("""COMPUTED_VALUE"""),"Fuentes Sánchez, Nieves")</f>
        <v>Fuentes Sánchez, Nieves</v>
      </c>
      <c r="B232" s="16" t="str">
        <f ca="1">IFERROR(__xludf.UNSUPPORTED("""COMPUTED_VALUE"""),"Fuentes Sánchez")</f>
        <v>Fuentes Sánchez</v>
      </c>
      <c r="C232" s="16" t="str">
        <f ca="1">IFERROR(__xludf.UNSUPPORTED("""COMPUTED_VALUE"""),"Nieves")</f>
        <v>Nieves</v>
      </c>
      <c r="D232" s="16" t="str">
        <f ca="1">IFERROR(__xludf.UNSUPPORTED("""COMPUTED_VALUE"""),"06286446V")</f>
        <v>06286446V</v>
      </c>
    </row>
    <row r="233" spans="1:4" ht="14.25">
      <c r="A233" s="16" t="str">
        <f ca="1">IFERROR(__xludf.UNSUPPORTED("""COMPUTED_VALUE"""),"Fuentes Trillo, Azahara")</f>
        <v>Fuentes Trillo, Azahara</v>
      </c>
      <c r="B233" s="16" t="str">
        <f ca="1">IFERROR(__xludf.UNSUPPORTED("""COMPUTED_VALUE"""),"Fuentes Trillo")</f>
        <v>Fuentes Trillo</v>
      </c>
      <c r="C233" s="16" t="str">
        <f ca="1">IFERROR(__xludf.UNSUPPORTED("""COMPUTED_VALUE"""),"Azahara")</f>
        <v>Azahara</v>
      </c>
      <c r="D233" s="16" t="str">
        <f ca="1">IFERROR(__xludf.UNSUPPORTED("""COMPUTED_VALUE"""),"46073069K")</f>
        <v>46073069K</v>
      </c>
    </row>
    <row r="234" spans="1:4" ht="14.25">
      <c r="A234" s="16" t="str">
        <f ca="1">IFERROR(__xludf.UNSUPPORTED("""COMPUTED_VALUE"""),"Gago Capote, José Antonio")</f>
        <v>Gago Capote, José Antonio</v>
      </c>
      <c r="B234" s="16" t="str">
        <f ca="1">IFERROR(__xludf.UNSUPPORTED("""COMPUTED_VALUE"""),"Gago Capote")</f>
        <v>Gago Capote</v>
      </c>
      <c r="C234" s="16" t="str">
        <f ca="1">IFERROR(__xludf.UNSUPPORTED("""COMPUTED_VALUE"""),"José Antonio")</f>
        <v>José Antonio</v>
      </c>
      <c r="D234" s="16" t="str">
        <f ca="1">IFERROR(__xludf.UNSUPPORTED("""COMPUTED_VALUE"""),"32059147E")</f>
        <v>32059147E</v>
      </c>
    </row>
    <row r="235" spans="1:4" ht="14.25">
      <c r="A235" s="16" t="str">
        <f ca="1">IFERROR(__xludf.UNSUPPORTED("""COMPUTED_VALUE"""),"Galán Chilet, Inmaculada")</f>
        <v>Galán Chilet, Inmaculada</v>
      </c>
      <c r="B235" s="16" t="str">
        <f ca="1">IFERROR(__xludf.UNSUPPORTED("""COMPUTED_VALUE"""),"Galán Chilet")</f>
        <v>Galán Chilet</v>
      </c>
      <c r="C235" s="16" t="str">
        <f ca="1">IFERROR(__xludf.UNSUPPORTED("""COMPUTED_VALUE"""),"Inmaculada")</f>
        <v>Inmaculada</v>
      </c>
      <c r="D235" s="16" t="str">
        <f ca="1">IFERROR(__xludf.UNSUPPORTED("""COMPUTED_VALUE"""),"44883241Y")</f>
        <v>44883241Y</v>
      </c>
    </row>
    <row r="236" spans="1:4" ht="14.25">
      <c r="A236" s="16" t="str">
        <f ca="1">IFERROR(__xludf.UNSUPPORTED("""COMPUTED_VALUE"""),"Galán Morillo, Manuel")</f>
        <v>Galán Morillo, Manuel</v>
      </c>
      <c r="B236" s="16" t="str">
        <f ca="1">IFERROR(__xludf.UNSUPPORTED("""COMPUTED_VALUE"""),"Galán Morillo")</f>
        <v>Galán Morillo</v>
      </c>
      <c r="C236" s="16" t="str">
        <f ca="1">IFERROR(__xludf.UNSUPPORTED("""COMPUTED_VALUE"""),"Manuel")</f>
        <v>Manuel</v>
      </c>
      <c r="D236" s="16" t="str">
        <f ca="1">IFERROR(__xludf.UNSUPPORTED("""COMPUTED_VALUE"""),"71032793F")</f>
        <v>71032793F</v>
      </c>
    </row>
    <row r="237" spans="1:4" ht="14.25">
      <c r="A237" s="16" t="str">
        <f ca="1">IFERROR(__xludf.UNSUPPORTED("""COMPUTED_VALUE"""),"Galano Frutos, Juan José")</f>
        <v>Galano Frutos, Juan José</v>
      </c>
      <c r="B237" s="16" t="str">
        <f ca="1">IFERROR(__xludf.UNSUPPORTED("""COMPUTED_VALUE"""),"Galano Frutos")</f>
        <v>Galano Frutos</v>
      </c>
      <c r="C237" s="16" t="str">
        <f ca="1">IFERROR(__xludf.UNSUPPORTED("""COMPUTED_VALUE"""),"Juan José")</f>
        <v>Juan José</v>
      </c>
      <c r="D237" s="16" t="str">
        <f ca="1">IFERROR(__xludf.UNSUPPORTED("""COMPUTED_VALUE"""),"Y1401632A")</f>
        <v>Y1401632A</v>
      </c>
    </row>
    <row r="238" spans="1:4" ht="14.25">
      <c r="A238" s="16" t="str">
        <f ca="1">IFERROR(__xludf.UNSUPPORTED("""COMPUTED_VALUE"""),"Gallardo Ortin, Laura")</f>
        <v>Gallardo Ortin, Laura</v>
      </c>
      <c r="B238" s="16" t="str">
        <f ca="1">IFERROR(__xludf.UNSUPPORTED("""COMPUTED_VALUE"""),"Gallardo Ortin")</f>
        <v>Gallardo Ortin</v>
      </c>
      <c r="C238" s="16" t="str">
        <f ca="1">IFERROR(__xludf.UNSUPPORTED("""COMPUTED_VALUE"""),"Laura")</f>
        <v>Laura</v>
      </c>
      <c r="D238" s="16" t="str">
        <f ca="1">IFERROR(__xludf.UNSUPPORTED("""COMPUTED_VALUE"""),"18446459E")</f>
        <v>18446459E</v>
      </c>
    </row>
    <row r="239" spans="1:4" ht="14.25">
      <c r="A239" s="16" t="str">
        <f ca="1">IFERROR(__xludf.UNSUPPORTED("""COMPUTED_VALUE"""),"Gallart Palau, Xavier")</f>
        <v>Gallart Palau, Xavier</v>
      </c>
      <c r="B239" s="16" t="str">
        <f ca="1">IFERROR(__xludf.UNSUPPORTED("""COMPUTED_VALUE"""),"Gallart Palau")</f>
        <v>Gallart Palau</v>
      </c>
      <c r="C239" s="16" t="str">
        <f ca="1">IFERROR(__xludf.UNSUPPORTED("""COMPUTED_VALUE"""),"Xavier")</f>
        <v>Xavier</v>
      </c>
      <c r="D239" s="16" t="str">
        <f ca="1">IFERROR(__xludf.UNSUPPORTED("""COMPUTED_VALUE"""),"47685300K")</f>
        <v>47685300K</v>
      </c>
    </row>
    <row r="240" spans="1:4" ht="14.25">
      <c r="A240" s="16" t="str">
        <f ca="1">IFERROR(__xludf.UNSUPPORTED("""COMPUTED_VALUE"""),"Gallego González, Raquel")</f>
        <v>Gallego González, Raquel</v>
      </c>
      <c r="B240" s="16" t="str">
        <f ca="1">IFERROR(__xludf.UNSUPPORTED("""COMPUTED_VALUE"""),"Gallego González")</f>
        <v>Gallego González</v>
      </c>
      <c r="C240" s="16" t="str">
        <f ca="1">IFERROR(__xludf.UNSUPPORTED("""COMPUTED_VALUE"""),"Raquel")</f>
        <v>Raquel</v>
      </c>
      <c r="D240" s="16" t="str">
        <f ca="1">IFERROR(__xludf.UNSUPPORTED("""COMPUTED_VALUE"""),"53172557F")</f>
        <v>53172557F</v>
      </c>
    </row>
    <row r="241" spans="1:4" ht="14.25">
      <c r="A241" s="16" t="str">
        <f ca="1">IFERROR(__xludf.UNSUPPORTED("""COMPUTED_VALUE"""),"Gallent Torres, Cinta")</f>
        <v>Gallent Torres, Cinta</v>
      </c>
      <c r="B241" s="16" t="str">
        <f ca="1">IFERROR(__xludf.UNSUPPORTED("""COMPUTED_VALUE"""),"Gallent Torres")</f>
        <v>Gallent Torres</v>
      </c>
      <c r="C241" s="16" t="str">
        <f ca="1">IFERROR(__xludf.UNSUPPORTED("""COMPUTED_VALUE"""),"Cinta")</f>
        <v>Cinta</v>
      </c>
      <c r="D241" s="16" t="str">
        <f ca="1">IFERROR(__xludf.UNSUPPORTED("""COMPUTED_VALUE"""),"45633357T")</f>
        <v>45633357T</v>
      </c>
    </row>
    <row r="242" spans="1:4" ht="14.25">
      <c r="A242" s="16" t="str">
        <f ca="1">IFERROR(__xludf.UNSUPPORTED("""COMPUTED_VALUE"""),"Gálvez Sánchez, Carmen María")</f>
        <v>Gálvez Sánchez, Carmen María</v>
      </c>
      <c r="B242" s="16" t="str">
        <f ca="1">IFERROR(__xludf.UNSUPPORTED("""COMPUTED_VALUE"""),"Gálvez Sánchez")</f>
        <v>Gálvez Sánchez</v>
      </c>
      <c r="C242" s="16" t="str">
        <f ca="1">IFERROR(__xludf.UNSUPPORTED("""COMPUTED_VALUE"""),"Carmen María")</f>
        <v>Carmen María</v>
      </c>
      <c r="D242" s="16" t="str">
        <f ca="1">IFERROR(__xludf.UNSUPPORTED("""COMPUTED_VALUE"""),"78427358A")</f>
        <v>78427358A</v>
      </c>
    </row>
    <row r="243" spans="1:4" ht="14.25">
      <c r="A243" s="16" t="str">
        <f ca="1">IFERROR(__xludf.UNSUPPORTED("""COMPUTED_VALUE"""),"Gancedo Fernández, Yurena")</f>
        <v>Gancedo Fernández, Yurena</v>
      </c>
      <c r="B243" s="16" t="str">
        <f ca="1">IFERROR(__xludf.UNSUPPORTED("""COMPUTED_VALUE"""),"Gancedo Fernández")</f>
        <v>Gancedo Fernández</v>
      </c>
      <c r="C243" s="16" t="str">
        <f ca="1">IFERROR(__xludf.UNSUPPORTED("""COMPUTED_VALUE"""),"Yurena")</f>
        <v>Yurena</v>
      </c>
      <c r="D243" s="16" t="str">
        <f ca="1">IFERROR(__xludf.UNSUPPORTED("""COMPUTED_VALUE"""),"53520740Q")</f>
        <v>53520740Q</v>
      </c>
    </row>
    <row r="244" spans="1:4" ht="14.25">
      <c r="A244" s="16" t="str">
        <f ca="1">IFERROR(__xludf.UNSUPPORTED("""COMPUTED_VALUE"""),"García Barceló, Néstor")</f>
        <v>García Barceló, Néstor</v>
      </c>
      <c r="B244" s="16" t="str">
        <f ca="1">IFERROR(__xludf.UNSUPPORTED("""COMPUTED_VALUE"""),"García Barceló")</f>
        <v>García Barceló</v>
      </c>
      <c r="C244" s="16" t="str">
        <f ca="1">IFERROR(__xludf.UNSUPPORTED("""COMPUTED_VALUE"""),"Néstor")</f>
        <v>Néstor</v>
      </c>
      <c r="D244" s="16" t="str">
        <f ca="1">IFERROR(__xludf.UNSUPPORTED("""COMPUTED_VALUE"""),"23300870F")</f>
        <v>23300870F</v>
      </c>
    </row>
    <row r="245" spans="1:4" ht="14.25">
      <c r="A245" s="16" t="str">
        <f ca="1">IFERROR(__xludf.UNSUPPORTED("""COMPUTED_VALUE"""),"García Cebollada, Helena")</f>
        <v>García Cebollada, Helena</v>
      </c>
      <c r="B245" s="16" t="str">
        <f ca="1">IFERROR(__xludf.UNSUPPORTED("""COMPUTED_VALUE"""),"García Cebollada")</f>
        <v>García Cebollada</v>
      </c>
      <c r="C245" s="16" t="str">
        <f ca="1">IFERROR(__xludf.UNSUPPORTED("""COMPUTED_VALUE"""),"Helena")</f>
        <v>Helena</v>
      </c>
      <c r="D245" s="16" t="str">
        <f ca="1">IFERROR(__xludf.UNSUPPORTED("""COMPUTED_VALUE"""),"73220449H")</f>
        <v>73220449H</v>
      </c>
    </row>
    <row r="246" spans="1:4" ht="14.25">
      <c r="A246" s="16" t="str">
        <f ca="1">IFERROR(__xludf.UNSUPPORTED("""COMPUTED_VALUE"""),"García Crespo, Ana")</f>
        <v>García Crespo, Ana</v>
      </c>
      <c r="B246" s="16" t="str">
        <f ca="1">IFERROR(__xludf.UNSUPPORTED("""COMPUTED_VALUE"""),"García Crespo")</f>
        <v>García Crespo</v>
      </c>
      <c r="C246" s="16" t="str">
        <f ca="1">IFERROR(__xludf.UNSUPPORTED("""COMPUTED_VALUE"""),"Ana")</f>
        <v>Ana</v>
      </c>
      <c r="D246" s="16" t="str">
        <f ca="1">IFERROR(__xludf.UNSUPPORTED("""COMPUTED_VALUE"""),"71137515X")</f>
        <v>71137515X</v>
      </c>
    </row>
    <row r="247" spans="1:4" ht="14.25">
      <c r="A247" s="16" t="str">
        <f ca="1">IFERROR(__xludf.UNSUPPORTED("""COMPUTED_VALUE"""),"García Cuenca, María Victoria")</f>
        <v>García Cuenca, María Victoria</v>
      </c>
      <c r="B247" s="16" t="str">
        <f ca="1">IFERROR(__xludf.UNSUPPORTED("""COMPUTED_VALUE"""),"García Cuenca")</f>
        <v>García Cuenca</v>
      </c>
      <c r="C247" s="16" t="str">
        <f ca="1">IFERROR(__xludf.UNSUPPORTED("""COMPUTED_VALUE"""),"María Victoria")</f>
        <v>María Victoria</v>
      </c>
      <c r="D247" s="16" t="str">
        <f ca="1">IFERROR(__xludf.UNSUPPORTED("""COMPUTED_VALUE"""),"53364729Z")</f>
        <v>53364729Z</v>
      </c>
    </row>
    <row r="248" spans="1:4" ht="14.25">
      <c r="A248" s="16" t="str">
        <f ca="1">IFERROR(__xludf.UNSUPPORTED("""COMPUTED_VALUE"""),"García Fernández, Luis")</f>
        <v>García Fernández, Luis</v>
      </c>
      <c r="B248" s="16" t="str">
        <f ca="1">IFERROR(__xludf.UNSUPPORTED("""COMPUTED_VALUE"""),"García Fernández")</f>
        <v>García Fernández</v>
      </c>
      <c r="C248" s="16" t="str">
        <f ca="1">IFERROR(__xludf.UNSUPPORTED("""COMPUTED_VALUE"""),"Luis")</f>
        <v>Luis</v>
      </c>
      <c r="D248" s="16" t="str">
        <f ca="1">IFERROR(__xludf.UNSUPPORTED("""COMPUTED_VALUE"""),"71357591E")</f>
        <v>71357591E</v>
      </c>
    </row>
    <row r="249" spans="1:4" ht="14.25">
      <c r="A249" s="16" t="str">
        <f ca="1">IFERROR(__xludf.UNSUPPORTED("""COMPUTED_VALUE"""),"García Iglesias, Alberto")</f>
        <v>García Iglesias, Alberto</v>
      </c>
      <c r="B249" s="16" t="str">
        <f ca="1">IFERROR(__xludf.UNSUPPORTED("""COMPUTED_VALUE"""),"García Iglesias")</f>
        <v>García Iglesias</v>
      </c>
      <c r="C249" s="16" t="str">
        <f ca="1">IFERROR(__xludf.UNSUPPORTED("""COMPUTED_VALUE"""),"Alberto")</f>
        <v>Alberto</v>
      </c>
      <c r="D249" s="16" t="str">
        <f ca="1">IFERROR(__xludf.UNSUPPORTED("""COMPUTED_VALUE"""),"76114852D")</f>
        <v>76114852D</v>
      </c>
    </row>
    <row r="250" spans="1:4" ht="14.25">
      <c r="A250" s="16" t="str">
        <f ca="1">IFERROR(__xludf.UNSUPPORTED("""COMPUTED_VALUE"""),"García Juesas, Juan Antonio")</f>
        <v>García Juesas, Juan Antonio</v>
      </c>
      <c r="B250" s="16" t="str">
        <f ca="1">IFERROR(__xludf.UNSUPPORTED("""COMPUTED_VALUE"""),"García Juesas")</f>
        <v>García Juesas</v>
      </c>
      <c r="C250" s="16" t="str">
        <f ca="1">IFERROR(__xludf.UNSUPPORTED("""COMPUTED_VALUE"""),"Juan Antonio")</f>
        <v>Juan Antonio</v>
      </c>
      <c r="D250" s="16" t="str">
        <f ca="1">IFERROR(__xludf.UNSUPPORTED("""COMPUTED_VALUE"""),"44515596Q")</f>
        <v>44515596Q</v>
      </c>
    </row>
    <row r="251" spans="1:4" ht="14.25">
      <c r="A251" s="16" t="str">
        <f ca="1">IFERROR(__xludf.UNSUPPORTED("""COMPUTED_VALUE"""),"García Martínez, Inmaculada")</f>
        <v>García Martínez, Inmaculada</v>
      </c>
      <c r="B251" s="16" t="str">
        <f ca="1">IFERROR(__xludf.UNSUPPORTED("""COMPUTED_VALUE"""),"García Martínez")</f>
        <v>García Martínez</v>
      </c>
      <c r="C251" s="16" t="str">
        <f ca="1">IFERROR(__xludf.UNSUPPORTED("""COMPUTED_VALUE"""),"Inmaculada")</f>
        <v>Inmaculada</v>
      </c>
      <c r="D251" s="16" t="str">
        <f ca="1">IFERROR(__xludf.UNSUPPORTED("""COMPUTED_VALUE"""),"53595149C")</f>
        <v>53595149C</v>
      </c>
    </row>
    <row r="252" spans="1:4" ht="14.25">
      <c r="A252" s="16" t="str">
        <f ca="1">IFERROR(__xludf.UNSUPPORTED("""COMPUTED_VALUE"""),"García Martínez, Pedro")</f>
        <v>García Martínez, Pedro</v>
      </c>
      <c r="B252" s="16" t="str">
        <f ca="1">IFERROR(__xludf.UNSUPPORTED("""COMPUTED_VALUE"""),"García Martínez")</f>
        <v>García Martínez</v>
      </c>
      <c r="C252" s="16" t="str">
        <f ca="1">IFERROR(__xludf.UNSUPPORTED("""COMPUTED_VALUE"""),"Pedro")</f>
        <v>Pedro</v>
      </c>
      <c r="D252" s="16" t="str">
        <f ca="1">IFERROR(__xludf.UNSUPPORTED("""COMPUTED_VALUE"""),"34831138F")</f>
        <v>34831138F</v>
      </c>
    </row>
    <row r="253" spans="1:4" ht="14.25">
      <c r="A253" s="16" t="str">
        <f ca="1">IFERROR(__xludf.UNSUPPORTED("""COMPUTED_VALUE"""),"García Martínez, Amparo")</f>
        <v>García Martínez, Amparo</v>
      </c>
      <c r="B253" s="16" t="str">
        <f ca="1">IFERROR(__xludf.UNSUPPORTED("""COMPUTED_VALUE"""),"García Martínez")</f>
        <v>García Martínez</v>
      </c>
      <c r="C253" s="16" t="str">
        <f ca="1">IFERROR(__xludf.UNSUPPORTED("""COMPUTED_VALUE"""),"Amparo")</f>
        <v>Amparo</v>
      </c>
      <c r="D253" s="16" t="str">
        <f ca="1">IFERROR(__xludf.UNSUPPORTED("""COMPUTED_VALUE"""),"25406413S")</f>
        <v>25406413S</v>
      </c>
    </row>
    <row r="254" spans="1:4" ht="14.25">
      <c r="A254" s="16" t="str">
        <f ca="1">IFERROR(__xludf.UNSUPPORTED("""COMPUTED_VALUE"""),"García Ocaña, Marcos")</f>
        <v>García Ocaña, Marcos</v>
      </c>
      <c r="B254" s="16" t="str">
        <f ca="1">IFERROR(__xludf.UNSUPPORTED("""COMPUTED_VALUE"""),"García Ocaña")</f>
        <v>García Ocaña</v>
      </c>
      <c r="C254" s="16" t="str">
        <f ca="1">IFERROR(__xludf.UNSUPPORTED("""COMPUTED_VALUE"""),"Marcos")</f>
        <v>Marcos</v>
      </c>
      <c r="D254" s="16" t="str">
        <f ca="1">IFERROR(__xludf.UNSUPPORTED("""COMPUTED_VALUE"""),"71645609B")</f>
        <v>71645609B</v>
      </c>
    </row>
    <row r="255" spans="1:4" ht="14.25">
      <c r="A255" s="16" t="str">
        <f ca="1">IFERROR(__xludf.UNSUPPORTED("""COMPUTED_VALUE"""),"García Pérez, Iciar")</f>
        <v>García Pérez, Iciar</v>
      </c>
      <c r="B255" s="16" t="str">
        <f ca="1">IFERROR(__xludf.UNSUPPORTED("""COMPUTED_VALUE"""),"García Pérez")</f>
        <v>García Pérez</v>
      </c>
      <c r="C255" s="16" t="str">
        <f ca="1">IFERROR(__xludf.UNSUPPORTED("""COMPUTED_VALUE"""),"Iciar")</f>
        <v>Iciar</v>
      </c>
      <c r="D255" s="16" t="str">
        <f ca="1">IFERROR(__xludf.UNSUPPORTED("""COMPUTED_VALUE"""),"52987921S")</f>
        <v>52987921S</v>
      </c>
    </row>
    <row r="256" spans="1:4" ht="14.25">
      <c r="A256" s="16" t="str">
        <f ca="1">IFERROR(__xludf.UNSUPPORTED("""COMPUTED_VALUE"""),"García Ríos, Estefani")</f>
        <v>García Ríos, Estefani</v>
      </c>
      <c r="B256" s="16" t="str">
        <f ca="1">IFERROR(__xludf.UNSUPPORTED("""COMPUTED_VALUE"""),"García Ríos")</f>
        <v>García Ríos</v>
      </c>
      <c r="C256" s="16" t="str">
        <f ca="1">IFERROR(__xludf.UNSUPPORTED("""COMPUTED_VALUE"""),"Estefani")</f>
        <v>Estefani</v>
      </c>
      <c r="D256" s="16" t="str">
        <f ca="1">IFERROR(__xludf.UNSUPPORTED("""COMPUTED_VALUE"""),"71556178G")</f>
        <v>71556178G</v>
      </c>
    </row>
    <row r="257" spans="1:4" ht="14.25">
      <c r="A257" s="16" t="str">
        <f ca="1">IFERROR(__xludf.UNSUPPORTED("""COMPUTED_VALUE"""),"García Rodríguez, Deysi Emilia")</f>
        <v>García Rodríguez, Deysi Emilia</v>
      </c>
      <c r="B257" s="16" t="str">
        <f ca="1">IFERROR(__xludf.UNSUPPORTED("""COMPUTED_VALUE"""),"García Rodríguez")</f>
        <v>García Rodríguez</v>
      </c>
      <c r="C257" s="16" t="str">
        <f ca="1">IFERROR(__xludf.UNSUPPORTED("""COMPUTED_VALUE"""),"Deysi Emilia")</f>
        <v>Deysi Emilia</v>
      </c>
      <c r="D257" s="16" t="str">
        <f ca="1">IFERROR(__xludf.UNSUPPORTED("""COMPUTED_VALUE"""),"Z0048621G")</f>
        <v>Z0048621G</v>
      </c>
    </row>
    <row r="258" spans="1:4" ht="14.25">
      <c r="A258" s="16" t="str">
        <f ca="1">IFERROR(__xludf.UNSUPPORTED("""COMPUTED_VALUE"""),"García Rubio, María José")</f>
        <v>García Rubio, María José</v>
      </c>
      <c r="B258" s="16" t="str">
        <f ca="1">IFERROR(__xludf.UNSUPPORTED("""COMPUTED_VALUE"""),"García Rubio")</f>
        <v>García Rubio</v>
      </c>
      <c r="C258" s="16" t="str">
        <f ca="1">IFERROR(__xludf.UNSUPPORTED("""COMPUTED_VALUE"""),"María José")</f>
        <v>María José</v>
      </c>
      <c r="D258" s="16" t="str">
        <f ca="1">IFERROR(__xludf.UNSUPPORTED("""COMPUTED_VALUE"""),"48650916M")</f>
        <v>48650916M</v>
      </c>
    </row>
    <row r="259" spans="1:4" ht="14.25">
      <c r="A259" s="16" t="str">
        <f ca="1">IFERROR(__xludf.UNSUPPORTED("""COMPUTED_VALUE"""),"García Sierra, Solange Sand")</f>
        <v>García Sierra, Solange Sand</v>
      </c>
      <c r="B259" s="16" t="str">
        <f ca="1">IFERROR(__xludf.UNSUPPORTED("""COMPUTED_VALUE"""),"García Sierra")</f>
        <v>García Sierra</v>
      </c>
      <c r="C259" s="16" t="str">
        <f ca="1">IFERROR(__xludf.UNSUPPORTED("""COMPUTED_VALUE"""),"Solange Sand")</f>
        <v>Solange Sand</v>
      </c>
      <c r="D259" s="16" t="str">
        <f ca="1">IFERROR(__xludf.UNSUPPORTED("""COMPUTED_VALUE"""),"30833375N")</f>
        <v>30833375N</v>
      </c>
    </row>
    <row r="260" spans="1:4" ht="14.25">
      <c r="A260" s="16" t="str">
        <f ca="1">IFERROR(__xludf.UNSUPPORTED("""COMPUTED_VALUE"""),"García Tarín, Óscar")</f>
        <v>García Tarín, Óscar</v>
      </c>
      <c r="B260" s="16" t="str">
        <f ca="1">IFERROR(__xludf.UNSUPPORTED("""COMPUTED_VALUE"""),"García Tarín")</f>
        <v>García Tarín</v>
      </c>
      <c r="C260" s="16" t="str">
        <f ca="1">IFERROR(__xludf.UNSUPPORTED("""COMPUTED_VALUE"""),"Óscar")</f>
        <v>Óscar</v>
      </c>
      <c r="D260" s="16" t="str">
        <f ca="1">IFERROR(__xludf.UNSUPPORTED("""COMPUTED_VALUE"""),"19883303X")</f>
        <v>19883303X</v>
      </c>
    </row>
    <row r="261" spans="1:4" ht="14.25">
      <c r="A261" s="16" t="str">
        <f ca="1">IFERROR(__xludf.UNSUPPORTED("""COMPUTED_VALUE"""),"García Tejedor, Aurora")</f>
        <v>García Tejedor, Aurora</v>
      </c>
      <c r="B261" s="16" t="str">
        <f ca="1">IFERROR(__xludf.UNSUPPORTED("""COMPUTED_VALUE"""),"García Tejedor")</f>
        <v>García Tejedor</v>
      </c>
      <c r="C261" s="16" t="str">
        <f ca="1">IFERROR(__xludf.UNSUPPORTED("""COMPUTED_VALUE"""),"Aurora")</f>
        <v>Aurora</v>
      </c>
      <c r="D261" s="16" t="str">
        <f ca="1">IFERROR(__xludf.UNSUPPORTED("""COMPUTED_VALUE"""),"73571959L")</f>
        <v>73571959L</v>
      </c>
    </row>
    <row r="262" spans="1:4" ht="14.25">
      <c r="A262" s="16" t="str">
        <f ca="1">IFERROR(__xludf.UNSUPPORTED("""COMPUTED_VALUE"""),"García Vicente, Sergio")</f>
        <v>García Vicente, Sergio</v>
      </c>
      <c r="B262" s="16" t="str">
        <f ca="1">IFERROR(__xludf.UNSUPPORTED("""COMPUTED_VALUE"""),"García Vicente")</f>
        <v>García Vicente</v>
      </c>
      <c r="C262" s="16" t="str">
        <f ca="1">IFERROR(__xludf.UNSUPPORTED("""COMPUTED_VALUE"""),"Sergio")</f>
        <v>Sergio</v>
      </c>
      <c r="D262" s="16" t="str">
        <f ca="1">IFERROR(__xludf.UNSUPPORTED("""COMPUTED_VALUE"""),"52726229V")</f>
        <v>52726229V</v>
      </c>
    </row>
    <row r="263" spans="1:4" ht="14.25">
      <c r="A263" s="16" t="str">
        <f ca="1">IFERROR(__xludf.UNSUPPORTED("""COMPUTED_VALUE"""),"García Vidal, Marcos")</f>
        <v>García Vidal, Marcos</v>
      </c>
      <c r="B263" s="16" t="str">
        <f ca="1">IFERROR(__xludf.UNSUPPORTED("""COMPUTED_VALUE"""),"García Vidal")</f>
        <v>García Vidal</v>
      </c>
      <c r="C263" s="16" t="str">
        <f ca="1">IFERROR(__xludf.UNSUPPORTED("""COMPUTED_VALUE"""),"Marcos")</f>
        <v>Marcos</v>
      </c>
      <c r="D263" s="16" t="str">
        <f ca="1">IFERROR(__xludf.UNSUPPORTED("""COMPUTED_VALUE"""),"29021120L")</f>
        <v>29021120L</v>
      </c>
    </row>
    <row r="264" spans="1:4" ht="14.25">
      <c r="A264" s="16" t="str">
        <f ca="1">IFERROR(__xludf.UNSUPPORTED("""COMPUTED_VALUE"""),"García Vita, María del Mar")</f>
        <v>García Vita, María del Mar</v>
      </c>
      <c r="B264" s="16" t="str">
        <f ca="1">IFERROR(__xludf.UNSUPPORTED("""COMPUTED_VALUE"""),"García Vita")</f>
        <v>García Vita</v>
      </c>
      <c r="C264" s="16" t="str">
        <f ca="1">IFERROR(__xludf.UNSUPPORTED("""COMPUTED_VALUE"""),"María del Mar")</f>
        <v>María del Mar</v>
      </c>
      <c r="D264" s="16" t="str">
        <f ca="1">IFERROR(__xludf.UNSUPPORTED("""COMPUTED_VALUE"""),"75718959S")</f>
        <v>75718959S</v>
      </c>
    </row>
    <row r="265" spans="1:4" ht="14.25">
      <c r="A265" s="16" t="str">
        <f ca="1">IFERROR(__xludf.UNSUPPORTED("""COMPUTED_VALUE"""),"Garrido Martínez, Nicolás")</f>
        <v>Garrido Martínez, Nicolás</v>
      </c>
      <c r="B265" s="16" t="str">
        <f ca="1">IFERROR(__xludf.UNSUPPORTED("""COMPUTED_VALUE"""),"Garrido Martínez")</f>
        <v>Garrido Martínez</v>
      </c>
      <c r="C265" s="16" t="str">
        <f ca="1">IFERROR(__xludf.UNSUPPORTED("""COMPUTED_VALUE"""),"Nicolás")</f>
        <v>Nicolás</v>
      </c>
      <c r="D265" s="16" t="str">
        <f ca="1">IFERROR(__xludf.UNSUPPORTED("""COMPUTED_VALUE"""),"26479015N")</f>
        <v>26479015N</v>
      </c>
    </row>
    <row r="266" spans="1:4" ht="14.25">
      <c r="A266" s="16" t="str">
        <f ca="1">IFERROR(__xludf.UNSUPPORTED("""COMPUTED_VALUE"""),"Garzón Garzón, María José")</f>
        <v>Garzón Garzón, María José</v>
      </c>
      <c r="B266" s="16" t="str">
        <f ca="1">IFERROR(__xludf.UNSUPPORTED("""COMPUTED_VALUE"""),"Garzón Garzón")</f>
        <v>Garzón Garzón</v>
      </c>
      <c r="C266" s="16" t="str">
        <f ca="1">IFERROR(__xludf.UNSUPPORTED("""COMPUTED_VALUE"""),"María José")</f>
        <v>María José</v>
      </c>
      <c r="D266" s="16" t="str">
        <f ca="1">IFERROR(__xludf.UNSUPPORTED("""COMPUTED_VALUE"""),"48444429N")</f>
        <v>48444429N</v>
      </c>
    </row>
    <row r="267" spans="1:4" ht="14.25">
      <c r="A267" s="16" t="str">
        <f ca="1">IFERROR(__xludf.UNSUPPORTED("""COMPUTED_VALUE"""),"Gascón Aguilar, Mariló")</f>
        <v>Gascón Aguilar, Mariló</v>
      </c>
      <c r="B267" s="16" t="str">
        <f ca="1">IFERROR(__xludf.UNSUPPORTED("""COMPUTED_VALUE"""),"Gascón Aguilar")</f>
        <v>Gascón Aguilar</v>
      </c>
      <c r="C267" s="16" t="str">
        <f ca="1">IFERROR(__xludf.UNSUPPORTED("""COMPUTED_VALUE"""),"Mariló")</f>
        <v>Mariló</v>
      </c>
      <c r="D267" s="16" t="str">
        <f ca="1">IFERROR(__xludf.UNSUPPORTED("""COMPUTED_VALUE"""),"28867273L")</f>
        <v>28867273L</v>
      </c>
    </row>
    <row r="268" spans="1:4" ht="14.25">
      <c r="A268" s="16" t="str">
        <f ca="1">IFERROR(__xludf.UNSUPPORTED("""COMPUTED_VALUE"""),"Gayol Samutlom, Jorge")</f>
        <v>Gayol Samutlom, Jorge</v>
      </c>
      <c r="B268" s="16" t="str">
        <f ca="1">IFERROR(__xludf.UNSUPPORTED("""COMPUTED_VALUE"""),"Gayol Samutlom")</f>
        <v>Gayol Samutlom</v>
      </c>
      <c r="C268" s="16" t="str">
        <f ca="1">IFERROR(__xludf.UNSUPPORTED("""COMPUTED_VALUE"""),"Jorge")</f>
        <v>Jorge</v>
      </c>
      <c r="D268" s="16" t="str">
        <f ca="1">IFERROR(__xludf.UNSUPPORTED("""COMPUTED_VALUE"""),"53518360M")</f>
        <v>53518360M</v>
      </c>
    </row>
    <row r="269" spans="1:4" ht="14.25">
      <c r="A269" s="16" t="str">
        <f ca="1">IFERROR(__xludf.UNSUPPORTED("""COMPUTED_VALUE"""),"Gea Caballero, Vicente Antonio")</f>
        <v>Gea Caballero, Vicente Antonio</v>
      </c>
      <c r="B269" s="16" t="str">
        <f ca="1">IFERROR(__xludf.UNSUPPORTED("""COMPUTED_VALUE"""),"Gea Caballero")</f>
        <v>Gea Caballero</v>
      </c>
      <c r="C269" s="16" t="str">
        <f ca="1">IFERROR(__xludf.UNSUPPORTED("""COMPUTED_VALUE"""),"Vicente Antonio")</f>
        <v>Vicente Antonio</v>
      </c>
      <c r="D269" s="16" t="str">
        <f ca="1">IFERROR(__xludf.UNSUPPORTED("""COMPUTED_VALUE"""),"73944194E")</f>
        <v>73944194E</v>
      </c>
    </row>
    <row r="270" spans="1:4" ht="14.25">
      <c r="A270" s="16" t="str">
        <f ca="1">IFERROR(__xludf.UNSUPPORTED("""COMPUTED_VALUE"""),"Gil Castillo, David")</f>
        <v>Gil Castillo, David</v>
      </c>
      <c r="B270" s="16" t="str">
        <f ca="1">IFERROR(__xludf.UNSUPPORTED("""COMPUTED_VALUE"""),"Gil Castillo")</f>
        <v>Gil Castillo</v>
      </c>
      <c r="C270" s="16" t="str">
        <f ca="1">IFERROR(__xludf.UNSUPPORTED("""COMPUTED_VALUE"""),"David")</f>
        <v>David</v>
      </c>
      <c r="D270" s="16" t="str">
        <f ca="1">IFERROR(__xludf.UNSUPPORTED("""COMPUTED_VALUE"""),"24376777C")</f>
        <v>24376777C</v>
      </c>
    </row>
    <row r="271" spans="1:4" ht="14.25">
      <c r="A271" s="16" t="str">
        <f ca="1">IFERROR(__xludf.UNSUPPORTED("""COMPUTED_VALUE"""),"Gil Rodríguez, Héctor")</f>
        <v>Gil Rodríguez, Héctor</v>
      </c>
      <c r="B271" s="16" t="str">
        <f ca="1">IFERROR(__xludf.UNSUPPORTED("""COMPUTED_VALUE"""),"Gil Rodríguez")</f>
        <v>Gil Rodríguez</v>
      </c>
      <c r="C271" s="16" t="str">
        <f ca="1">IFERROR(__xludf.UNSUPPORTED("""COMPUTED_VALUE"""),"Héctor")</f>
        <v>Héctor</v>
      </c>
      <c r="D271" s="16" t="str">
        <f ca="1">IFERROR(__xludf.UNSUPPORTED("""COMPUTED_VALUE"""),"52015023V")</f>
        <v>52015023V</v>
      </c>
    </row>
    <row r="272" spans="1:4" ht="14.25">
      <c r="A272" s="16" t="str">
        <f ca="1">IFERROR(__xludf.UNSUPPORTED("""COMPUTED_VALUE"""),"Gil Salmerón, Alejandro")</f>
        <v>Gil Salmerón, Alejandro</v>
      </c>
      <c r="B272" s="16" t="str">
        <f ca="1">IFERROR(__xludf.UNSUPPORTED("""COMPUTED_VALUE"""),"Gil Salmerón")</f>
        <v>Gil Salmerón</v>
      </c>
      <c r="C272" s="16" t="str">
        <f ca="1">IFERROR(__xludf.UNSUPPORTED("""COMPUTED_VALUE"""),"Alejandro")</f>
        <v>Alejandro</v>
      </c>
      <c r="D272" s="16" t="str">
        <f ca="1">IFERROR(__xludf.UNSUPPORTED("""COMPUTED_VALUE"""),"48580523S")</f>
        <v>48580523S</v>
      </c>
    </row>
    <row r="273" spans="1:4" ht="14.25">
      <c r="A273" s="16" t="str">
        <f ca="1">IFERROR(__xludf.UNSUPPORTED("""COMPUTED_VALUE"""),"Giménez de los Galanes Aguirre, Jesus Vicente")</f>
        <v>Giménez de los Galanes Aguirre, Jesus Vicente</v>
      </c>
      <c r="B273" s="16" t="str">
        <f ca="1">IFERROR(__xludf.UNSUPPORTED("""COMPUTED_VALUE"""),"Giménez de los Galanes Aguirre")</f>
        <v>Giménez de los Galanes Aguirre</v>
      </c>
      <c r="C273" s="16" t="str">
        <f ca="1">IFERROR(__xludf.UNSUPPORTED("""COMPUTED_VALUE"""),"Jesus Vicente")</f>
        <v>Jesus Vicente</v>
      </c>
      <c r="D273" s="16" t="str">
        <f ca="1">IFERROR(__xludf.UNSUPPORTED("""COMPUTED_VALUE"""),"05684291W")</f>
        <v>05684291W</v>
      </c>
    </row>
    <row r="274" spans="1:4" ht="14.25">
      <c r="A274" s="16" t="str">
        <f ca="1">IFERROR(__xludf.UNSUPPORTED("""COMPUTED_VALUE"""),"Giménez Fernández, Tamara")</f>
        <v>Giménez Fernández, Tamara</v>
      </c>
      <c r="B274" s="16" t="str">
        <f ca="1">IFERROR(__xludf.UNSUPPORTED("""COMPUTED_VALUE"""),"Giménez Fernández")</f>
        <v>Giménez Fernández</v>
      </c>
      <c r="C274" s="16" t="str">
        <f ca="1">IFERROR(__xludf.UNSUPPORTED("""COMPUTED_VALUE"""),"Tamara")</f>
        <v>Tamara</v>
      </c>
      <c r="D274" s="16" t="str">
        <f ca="1">IFERROR(__xludf.UNSUPPORTED("""COMPUTED_VALUE"""),"50116372Q")</f>
        <v>50116372Q</v>
      </c>
    </row>
    <row r="275" spans="1:4" ht="14.25">
      <c r="A275" s="16" t="str">
        <f ca="1">IFERROR(__xludf.UNSUPPORTED("""COMPUTED_VALUE"""),"Giménez Gualdo, Ana María")</f>
        <v>Giménez Gualdo, Ana María</v>
      </c>
      <c r="B275" s="16" t="str">
        <f ca="1">IFERROR(__xludf.UNSUPPORTED("""COMPUTED_VALUE"""),"Giménez Gualdo")</f>
        <v>Giménez Gualdo</v>
      </c>
      <c r="C275" s="16" t="str">
        <f ca="1">IFERROR(__xludf.UNSUPPORTED("""COMPUTED_VALUE"""),"Ana María")</f>
        <v>Ana María</v>
      </c>
      <c r="D275" s="16" t="str">
        <f ca="1">IFERROR(__xludf.UNSUPPORTED("""COMPUTED_VALUE"""),"77718121V")</f>
        <v>77718121V</v>
      </c>
    </row>
    <row r="276" spans="1:4" ht="14.25">
      <c r="A276" s="16" t="str">
        <f ca="1">IFERROR(__xludf.UNSUPPORTED("""COMPUTED_VALUE"""),"Gimeno Valiente, Francisco")</f>
        <v>Gimeno Valiente, Francisco</v>
      </c>
      <c r="B276" s="16" t="str">
        <f ca="1">IFERROR(__xludf.UNSUPPORTED("""COMPUTED_VALUE"""),"Gimeno Valiente")</f>
        <v>Gimeno Valiente</v>
      </c>
      <c r="C276" s="16" t="str">
        <f ca="1">IFERROR(__xludf.UNSUPPORTED("""COMPUTED_VALUE"""),"Francisco")</f>
        <v>Francisco</v>
      </c>
      <c r="D276" s="16" t="str">
        <f ca="1">IFERROR(__xludf.UNSUPPORTED("""COMPUTED_VALUE"""),"21005816P")</f>
        <v>21005816P</v>
      </c>
    </row>
    <row r="277" spans="1:4" ht="14.25">
      <c r="A277" s="16" t="str">
        <f ca="1">IFERROR(__xludf.UNSUPPORTED("""COMPUTED_VALUE"""),"Ginel Ramírez, Raquel")</f>
        <v>Ginel Ramírez, Raquel</v>
      </c>
      <c r="B277" s="16" t="str">
        <f ca="1">IFERROR(__xludf.UNSUPPORTED("""COMPUTED_VALUE"""),"Ginel Ramírez")</f>
        <v>Ginel Ramírez</v>
      </c>
      <c r="C277" s="16" t="str">
        <f ca="1">IFERROR(__xludf.UNSUPPORTED("""COMPUTED_VALUE"""),"Raquel")</f>
        <v>Raquel</v>
      </c>
      <c r="D277" s="16" t="str">
        <f ca="1">IFERROR(__xludf.UNSUPPORTED("""COMPUTED_VALUE"""),"20034670Z")</f>
        <v>20034670Z</v>
      </c>
    </row>
    <row r="278" spans="1:4" ht="14.25">
      <c r="A278" s="16" t="str">
        <f ca="1">IFERROR(__xludf.UNSUPPORTED("""COMPUTED_VALUE"""),"Gogishvili Asanishvili, Megi")</f>
        <v>Gogishvili Asanishvili, Megi</v>
      </c>
      <c r="B278" s="16" t="str">
        <f ca="1">IFERROR(__xludf.UNSUPPORTED("""COMPUTED_VALUE"""),"Gogishvili Asanishvili")</f>
        <v>Gogishvili Asanishvili</v>
      </c>
      <c r="C278" s="16" t="str">
        <f ca="1">IFERROR(__xludf.UNSUPPORTED("""COMPUTED_VALUE"""),"Megi")</f>
        <v>Megi</v>
      </c>
      <c r="D278" s="16" t="str">
        <f ca="1">IFERROR(__xludf.UNSUPPORTED("""COMPUTED_VALUE"""),"13312084Y")</f>
        <v>13312084Y</v>
      </c>
    </row>
    <row r="279" spans="1:4" ht="14.25">
      <c r="A279" s="16" t="str">
        <f ca="1">IFERROR(__xludf.UNSUPPORTED("""COMPUTED_VALUE"""),"Gómez Cebrián, Nuria")</f>
        <v>Gómez Cebrián, Nuria</v>
      </c>
      <c r="B279" s="16" t="str">
        <f ca="1">IFERROR(__xludf.UNSUPPORTED("""COMPUTED_VALUE"""),"Gómez Cebrián")</f>
        <v>Gómez Cebrián</v>
      </c>
      <c r="C279" s="16" t="str">
        <f ca="1">IFERROR(__xludf.UNSUPPORTED("""COMPUTED_VALUE"""),"Nuria")</f>
        <v>Nuria</v>
      </c>
      <c r="D279" s="16" t="str">
        <f ca="1">IFERROR(__xludf.UNSUPPORTED("""COMPUTED_VALUE"""),"48689098F")</f>
        <v>48689098F</v>
      </c>
    </row>
    <row r="280" spans="1:4" ht="14.25">
      <c r="A280" s="16" t="str">
        <f ca="1">IFERROR(__xludf.UNSUPPORTED("""COMPUTED_VALUE"""),"Gómez Escribano, Ana Pilar")</f>
        <v>Gómez Escribano, Ana Pilar</v>
      </c>
      <c r="B280" s="16" t="str">
        <f ca="1">IFERROR(__xludf.UNSUPPORTED("""COMPUTED_VALUE"""),"Gómez Escribano")</f>
        <v>Gómez Escribano</v>
      </c>
      <c r="C280" s="16" t="str">
        <f ca="1">IFERROR(__xludf.UNSUPPORTED("""COMPUTED_VALUE"""),"Ana Pilar")</f>
        <v>Ana Pilar</v>
      </c>
      <c r="D280" s="16" t="str">
        <f ca="1">IFERROR(__xludf.UNSUPPORTED("""COMPUTED_VALUE"""),"74518008D")</f>
        <v>74518008D</v>
      </c>
    </row>
    <row r="281" spans="1:4" ht="14.25">
      <c r="A281" s="16" t="str">
        <f ca="1">IFERROR(__xludf.UNSUPPORTED("""COMPUTED_VALUE"""),"Gómez Leyva, Susana")</f>
        <v>Gómez Leyva, Susana</v>
      </c>
      <c r="B281" s="16" t="str">
        <f ca="1">IFERROR(__xludf.UNSUPPORTED("""COMPUTED_VALUE"""),"Gómez Leyva")</f>
        <v>Gómez Leyva</v>
      </c>
      <c r="C281" s="16" t="str">
        <f ca="1">IFERROR(__xludf.UNSUPPORTED("""COMPUTED_VALUE"""),"Susana")</f>
        <v>Susana</v>
      </c>
      <c r="D281" s="16" t="str">
        <f ca="1">IFERROR(__xludf.UNSUPPORTED("""COMPUTED_VALUE"""),"24204201J")</f>
        <v>24204201J</v>
      </c>
    </row>
    <row r="282" spans="1:4" ht="14.25">
      <c r="A282" s="16" t="str">
        <f ca="1">IFERROR(__xludf.UNSUPPORTED("""COMPUTED_VALUE"""),"Gómez Martínez, Sandra")</f>
        <v>Gómez Martínez, Sandra</v>
      </c>
      <c r="B282" s="16" t="str">
        <f ca="1">IFERROR(__xludf.UNSUPPORTED("""COMPUTED_VALUE"""),"Gómez Martínez")</f>
        <v>Gómez Martínez</v>
      </c>
      <c r="C282" s="16" t="str">
        <f ca="1">IFERROR(__xludf.UNSUPPORTED("""COMPUTED_VALUE"""),"Sandra")</f>
        <v>Sandra</v>
      </c>
      <c r="D282" s="16" t="str">
        <f ca="1">IFERROR(__xludf.UNSUPPORTED("""COMPUTED_VALUE"""),"73576306L")</f>
        <v>73576306L</v>
      </c>
    </row>
    <row r="283" spans="1:4" ht="14.25">
      <c r="A283" s="16" t="str">
        <f ca="1">IFERROR(__xludf.UNSUPPORTED("""COMPUTED_VALUE"""),"Gómez Pérez, Vanesa")</f>
        <v>Gómez Pérez, Vanesa</v>
      </c>
      <c r="B283" s="16" t="str">
        <f ca="1">IFERROR(__xludf.UNSUPPORTED("""COMPUTED_VALUE"""),"Gómez Pérez")</f>
        <v>Gómez Pérez</v>
      </c>
      <c r="C283" s="16" t="str">
        <f ca="1">IFERROR(__xludf.UNSUPPORTED("""COMPUTED_VALUE"""),"Vanesa")</f>
        <v>Vanesa</v>
      </c>
      <c r="D283" s="16" t="str">
        <f ca="1">IFERROR(__xludf.UNSUPPORTED("""COMPUTED_VALUE"""),"73570484Q")</f>
        <v>73570484Q</v>
      </c>
    </row>
    <row r="284" spans="1:4" ht="14.25">
      <c r="A284" s="16" t="str">
        <f ca="1">IFERROR(__xludf.UNSUPPORTED("""COMPUTED_VALUE"""),"Gómez Salgado, Patricia")</f>
        <v>Gómez Salgado, Patricia</v>
      </c>
      <c r="B284" s="16" t="str">
        <f ca="1">IFERROR(__xludf.UNSUPPORTED("""COMPUTED_VALUE"""),"Gómez Salgado")</f>
        <v>Gómez Salgado</v>
      </c>
      <c r="C284" s="16" t="str">
        <f ca="1">IFERROR(__xludf.UNSUPPORTED("""COMPUTED_VALUE"""),"Patricia")</f>
        <v>Patricia</v>
      </c>
      <c r="D284" s="16" t="str">
        <f ca="1">IFERROR(__xludf.UNSUPPORTED("""COMPUTED_VALUE"""),"44488055Y")</f>
        <v>44488055Y</v>
      </c>
    </row>
    <row r="285" spans="1:4" ht="14.25">
      <c r="A285" s="16" t="str">
        <f ca="1">IFERROR(__xludf.UNSUPPORTED("""COMPUTED_VALUE"""),"Gómez Yepes, Talía")</f>
        <v>Gómez Yepes, Talía</v>
      </c>
      <c r="B285" s="16" t="str">
        <f ca="1">IFERROR(__xludf.UNSUPPORTED("""COMPUTED_VALUE"""),"Gómez Yepes")</f>
        <v>Gómez Yepes</v>
      </c>
      <c r="C285" s="16" t="str">
        <f ca="1">IFERROR(__xludf.UNSUPPORTED("""COMPUTED_VALUE"""),"Talía")</f>
        <v>Talía</v>
      </c>
      <c r="D285" s="16" t="str">
        <f ca="1">IFERROR(__xludf.UNSUPPORTED("""COMPUTED_VALUE"""),"55063956R")</f>
        <v>55063956R</v>
      </c>
    </row>
    <row r="286" spans="1:4" ht="14.25">
      <c r="A286" s="16" t="str">
        <f ca="1">IFERROR(__xludf.UNSUPPORTED("""COMPUTED_VALUE"""),"Gomis Jimeno, Francisco Javier")</f>
        <v>Gomis Jimeno, Francisco Javier</v>
      </c>
      <c r="B286" s="16" t="str">
        <f ca="1">IFERROR(__xludf.UNSUPPORTED("""COMPUTED_VALUE"""),"Gomis Jimeno")</f>
        <v>Gomis Jimeno</v>
      </c>
      <c r="C286" s="16" t="str">
        <f ca="1">IFERROR(__xludf.UNSUPPORTED("""COMPUTED_VALUE"""),"Francisco Javier")</f>
        <v>Francisco Javier</v>
      </c>
      <c r="D286" s="16" t="str">
        <f ca="1">IFERROR(__xludf.UNSUPPORTED("""COMPUTED_VALUE"""),"48624984V")</f>
        <v>48624984V</v>
      </c>
    </row>
    <row r="287" spans="1:4" ht="14.25">
      <c r="A287" s="16" t="str">
        <f ca="1">IFERROR(__xludf.UNSUPPORTED("""COMPUTED_VALUE"""),"González, Lucas Ezequiel")</f>
        <v>González, Lucas Ezequiel</v>
      </c>
      <c r="B287" s="16" t="str">
        <f ca="1">IFERROR(__xludf.UNSUPPORTED("""COMPUTED_VALUE"""),"González")</f>
        <v>González</v>
      </c>
      <c r="C287" s="16" t="str">
        <f ca="1">IFERROR(__xludf.UNSUPPORTED("""COMPUTED_VALUE"""),"Lucas Ezequiel")</f>
        <v>Lucas Ezequiel</v>
      </c>
      <c r="D287" s="16" t="str">
        <f ca="1">IFERROR(__xludf.UNSUPPORTED("""COMPUTED_VALUE"""),"Y5694465R")</f>
        <v>Y5694465R</v>
      </c>
    </row>
    <row r="288" spans="1:4" ht="14.25">
      <c r="A288" s="16" t="str">
        <f ca="1">IFERROR(__xludf.UNSUPPORTED("""COMPUTED_VALUE"""),"González Aguilar, María Josefina")</f>
        <v>González Aguilar, María Josefina</v>
      </c>
      <c r="B288" s="16" t="str">
        <f ca="1">IFERROR(__xludf.UNSUPPORTED("""COMPUTED_VALUE"""),"González Aguilar")</f>
        <v>González Aguilar</v>
      </c>
      <c r="C288" s="16" t="str">
        <f ca="1">IFERROR(__xludf.UNSUPPORTED("""COMPUTED_VALUE"""),"María Josefina")</f>
        <v>María Josefina</v>
      </c>
      <c r="D288" s="16">
        <f ca="1">IFERROR(__xludf.UNSUPPORTED("""COMPUTED_VALUE"""),27351487173)</f>
        <v>27351487173</v>
      </c>
    </row>
    <row r="289" spans="1:4" ht="14.25">
      <c r="A289" s="16" t="str">
        <f ca="1">IFERROR(__xludf.UNSUPPORTED("""COMPUTED_VALUE"""),"González Amado, Bárbara")</f>
        <v>González Amado, Bárbara</v>
      </c>
      <c r="B289" s="16" t="str">
        <f ca="1">IFERROR(__xludf.UNSUPPORTED("""COMPUTED_VALUE"""),"González Amado")</f>
        <v>González Amado</v>
      </c>
      <c r="C289" s="16" t="str">
        <f ca="1">IFERROR(__xludf.UNSUPPORTED("""COMPUTED_VALUE"""),"Bárbara")</f>
        <v>Bárbara</v>
      </c>
      <c r="D289" s="16" t="str">
        <f ca="1">IFERROR(__xludf.UNSUPPORTED("""COMPUTED_VALUE"""),"77415753F")</f>
        <v>77415753F</v>
      </c>
    </row>
    <row r="290" spans="1:4" ht="14.25">
      <c r="A290" s="16" t="str">
        <f ca="1">IFERROR(__xludf.UNSUPPORTED("""COMPUTED_VALUE"""),"González Cervantes, José Javier")</f>
        <v>González Cervantes, José Javier</v>
      </c>
      <c r="B290" s="16" t="str">
        <f ca="1">IFERROR(__xludf.UNSUPPORTED("""COMPUTED_VALUE"""),"González Cervantes")</f>
        <v>González Cervantes</v>
      </c>
      <c r="C290" s="16" t="str">
        <f ca="1">IFERROR(__xludf.UNSUPPORTED("""COMPUTED_VALUE"""),"José Javier")</f>
        <v>José Javier</v>
      </c>
      <c r="D290" s="16" t="str">
        <f ca="1">IFERROR(__xludf.UNSUPPORTED("""COMPUTED_VALUE"""),"19100908Y")</f>
        <v>19100908Y</v>
      </c>
    </row>
    <row r="291" spans="1:4" ht="14.25">
      <c r="A291" s="16" t="str">
        <f ca="1">IFERROR(__xludf.UNSUPPORTED("""COMPUTED_VALUE"""),"González Chordá, Víctor Manuel")</f>
        <v>González Chordá, Víctor Manuel</v>
      </c>
      <c r="B291" s="16" t="str">
        <f ca="1">IFERROR(__xludf.UNSUPPORTED("""COMPUTED_VALUE"""),"González Chordá")</f>
        <v>González Chordá</v>
      </c>
      <c r="C291" s="16" t="str">
        <f ca="1">IFERROR(__xludf.UNSUPPORTED("""COMPUTED_VALUE"""),"Víctor Manuel")</f>
        <v>Víctor Manuel</v>
      </c>
      <c r="D291" s="16" t="str">
        <f ca="1">IFERROR(__xludf.UNSUPPORTED("""COMPUTED_VALUE"""),"53222314S")</f>
        <v>53222314S</v>
      </c>
    </row>
    <row r="292" spans="1:4" ht="14.25">
      <c r="A292" s="16" t="str">
        <f ca="1">IFERROR(__xludf.UNSUPPORTED("""COMPUTED_VALUE"""),"González de la Iglesia, María")</f>
        <v>González de la Iglesia, María</v>
      </c>
      <c r="B292" s="16" t="str">
        <f ca="1">IFERROR(__xludf.UNSUPPORTED("""COMPUTED_VALUE"""),"González de la Iglesia")</f>
        <v>González de la Iglesia</v>
      </c>
      <c r="C292" s="16" t="str">
        <f ca="1">IFERROR(__xludf.UNSUPPORTED("""COMPUTED_VALUE"""),"María")</f>
        <v>María</v>
      </c>
      <c r="D292" s="16" t="str">
        <f ca="1">IFERROR(__xludf.UNSUPPORTED("""COMPUTED_VALUE"""),"25180070S")</f>
        <v>25180070S</v>
      </c>
    </row>
    <row r="293" spans="1:4" ht="14.25">
      <c r="A293" s="16" t="str">
        <f ca="1">IFERROR(__xludf.UNSUPPORTED("""COMPUTED_VALUE"""),"González Gil, Julio")</f>
        <v>González Gil, Julio</v>
      </c>
      <c r="B293" s="16" t="str">
        <f ca="1">IFERROR(__xludf.UNSUPPORTED("""COMPUTED_VALUE"""),"González Gil")</f>
        <v>González Gil</v>
      </c>
      <c r="C293" s="16" t="str">
        <f ca="1">IFERROR(__xludf.UNSUPPORTED("""COMPUTED_VALUE"""),"Julio")</f>
        <v>Julio</v>
      </c>
      <c r="D293" s="16" t="str">
        <f ca="1">IFERROR(__xludf.UNSUPPORTED("""COMPUTED_VALUE"""),"08864141X")</f>
        <v>08864141X</v>
      </c>
    </row>
    <row r="294" spans="1:4" ht="14.25">
      <c r="A294" s="16" t="str">
        <f ca="1">IFERROR(__xludf.UNSUPPORTED("""COMPUTED_VALUE"""),"González Hernández, Edgar")</f>
        <v>González Hernández, Edgar</v>
      </c>
      <c r="B294" s="16" t="str">
        <f ca="1">IFERROR(__xludf.UNSUPPORTED("""COMPUTED_VALUE"""),"González Hernández")</f>
        <v>González Hernández</v>
      </c>
      <c r="C294" s="16" t="str">
        <f ca="1">IFERROR(__xludf.UNSUPPORTED("""COMPUTED_VALUE"""),"Edgar")</f>
        <v>Edgar</v>
      </c>
      <c r="D294" s="16" t="str">
        <f ca="1">IFERROR(__xludf.UNSUPPORTED("""COMPUTED_VALUE"""),"X5480753Z")</f>
        <v>X5480753Z</v>
      </c>
    </row>
    <row r="295" spans="1:4" ht="14.25">
      <c r="A295" s="16" t="str">
        <f ca="1">IFERROR(__xludf.UNSUPPORTED("""COMPUTED_VALUE"""),"González Jiménez, Albert")</f>
        <v>González Jiménez, Albert</v>
      </c>
      <c r="B295" s="16" t="str">
        <f ca="1">IFERROR(__xludf.UNSUPPORTED("""COMPUTED_VALUE"""),"González Jiménez")</f>
        <v>González Jiménez</v>
      </c>
      <c r="C295" s="16" t="str">
        <f ca="1">IFERROR(__xludf.UNSUPPORTED("""COMPUTED_VALUE"""),"Albert")</f>
        <v>Albert</v>
      </c>
      <c r="D295" s="16" t="str">
        <f ca="1">IFERROR(__xludf.UNSUPPORTED("""COMPUTED_VALUE"""),"38821404A")</f>
        <v>38821404A</v>
      </c>
    </row>
    <row r="296" spans="1:4" ht="14.25">
      <c r="A296" s="16" t="str">
        <f ca="1">IFERROR(__xludf.UNSUPPORTED("""COMPUTED_VALUE"""),"González Moreno, Jesús")</f>
        <v>González Moreno, Jesús</v>
      </c>
      <c r="B296" s="16" t="str">
        <f ca="1">IFERROR(__xludf.UNSUPPORTED("""COMPUTED_VALUE"""),"González Moreno")</f>
        <v>González Moreno</v>
      </c>
      <c r="C296" s="16" t="str">
        <f ca="1">IFERROR(__xludf.UNSUPPORTED("""COMPUTED_VALUE"""),"Jesús")</f>
        <v>Jesús</v>
      </c>
      <c r="D296" s="16" t="str">
        <f ca="1">IFERROR(__xludf.UNSUPPORTED("""COMPUTED_VALUE"""),"73587926R")</f>
        <v>73587926R</v>
      </c>
    </row>
    <row r="297" spans="1:4" ht="14.25">
      <c r="A297" s="16" t="str">
        <f ca="1">IFERROR(__xludf.UNSUPPORTED("""COMPUTED_VALUE"""),"González Pais, María del Carmen")</f>
        <v>González Pais, María del Carmen</v>
      </c>
      <c r="B297" s="16" t="str">
        <f ca="1">IFERROR(__xludf.UNSUPPORTED("""COMPUTED_VALUE"""),"González Pais")</f>
        <v>González Pais</v>
      </c>
      <c r="C297" s="16" t="str">
        <f ca="1">IFERROR(__xludf.UNSUPPORTED("""COMPUTED_VALUE"""),"María del Carmen")</f>
        <v>María del Carmen</v>
      </c>
      <c r="D297" s="16" t="str">
        <f ca="1">IFERROR(__xludf.UNSUPPORTED("""COMPUTED_VALUE"""),"33287426D")</f>
        <v>33287426D</v>
      </c>
    </row>
    <row r="298" spans="1:4" ht="14.25">
      <c r="A298" s="16" t="str">
        <f ca="1">IFERROR(__xludf.UNSUPPORTED("""COMPUTED_VALUE"""),"González Pérez, Adelaida")</f>
        <v>González Pérez, Adelaida</v>
      </c>
      <c r="B298" s="16" t="str">
        <f ca="1">IFERROR(__xludf.UNSUPPORTED("""COMPUTED_VALUE"""),"González Pérez")</f>
        <v>González Pérez</v>
      </c>
      <c r="C298" s="16" t="str">
        <f ca="1">IFERROR(__xludf.UNSUPPORTED("""COMPUTED_VALUE"""),"Adelaida")</f>
        <v>Adelaida</v>
      </c>
      <c r="D298" s="16" t="str">
        <f ca="1">IFERROR(__xludf.UNSUPPORTED("""COMPUTED_VALUE"""),"26744893X")</f>
        <v>26744893X</v>
      </c>
    </row>
    <row r="299" spans="1:4" ht="14.25">
      <c r="A299" s="16" t="str">
        <f ca="1">IFERROR(__xludf.UNSUPPORTED("""COMPUTED_VALUE"""),"González Robles, Vicente Alberto")</f>
        <v>González Robles, Vicente Alberto</v>
      </c>
      <c r="B299" s="16" t="str">
        <f ca="1">IFERROR(__xludf.UNSUPPORTED("""COMPUTED_VALUE"""),"González Robles")</f>
        <v>González Robles</v>
      </c>
      <c r="C299" s="16" t="str">
        <f ca="1">IFERROR(__xludf.UNSUPPORTED("""COMPUTED_VALUE"""),"Vicente Alberto")</f>
        <v>Vicente Alberto</v>
      </c>
      <c r="D299" s="16" t="str">
        <f ca="1">IFERROR(__xludf.UNSUPPORTED("""COMPUTED_VALUE"""),"39921445T")</f>
        <v>39921445T</v>
      </c>
    </row>
    <row r="300" spans="1:4" ht="14.25">
      <c r="A300" s="16" t="str">
        <f ca="1">IFERROR(__xludf.UNSUPPORTED("""COMPUTED_VALUE"""),"González Sánchez, Beatriz")</f>
        <v>González Sánchez, Beatriz</v>
      </c>
      <c r="B300" s="16" t="str">
        <f ca="1">IFERROR(__xludf.UNSUPPORTED("""COMPUTED_VALUE"""),"González Sánchez")</f>
        <v>González Sánchez</v>
      </c>
      <c r="C300" s="16" t="str">
        <f ca="1">IFERROR(__xludf.UNSUPPORTED("""COMPUTED_VALUE"""),"Beatriz")</f>
        <v>Beatriz</v>
      </c>
      <c r="D300" s="16" t="str">
        <f ca="1">IFERROR(__xludf.UNSUPPORTED("""COMPUTED_VALUE"""),"14312637J")</f>
        <v>14312637J</v>
      </c>
    </row>
    <row r="301" spans="1:4" ht="14.25">
      <c r="A301" s="16" t="str">
        <f ca="1">IFERROR(__xludf.UNSUPPORTED("""COMPUTED_VALUE"""),"González Vaca, Julia")</f>
        <v>González Vaca, Julia</v>
      </c>
      <c r="B301" s="16" t="str">
        <f ca="1">IFERROR(__xludf.UNSUPPORTED("""COMPUTED_VALUE"""),"González Vaca")</f>
        <v>González Vaca</v>
      </c>
      <c r="C301" s="16" t="str">
        <f ca="1">IFERROR(__xludf.UNSUPPORTED("""COMPUTED_VALUE"""),"Julia")</f>
        <v>Julia</v>
      </c>
      <c r="D301" s="16" t="str">
        <f ca="1">IFERROR(__xludf.UNSUPPORTED("""COMPUTED_VALUE"""),"51460044M")</f>
        <v>51460044M</v>
      </c>
    </row>
    <row r="302" spans="1:4" ht="14.25">
      <c r="A302" s="16" t="str">
        <f ca="1">IFERROR(__xludf.UNSUPPORTED("""COMPUTED_VALUE"""),"Gonzálvez Maestre, Maria Teresa")</f>
        <v>Gonzálvez Maestre, Maria Teresa</v>
      </c>
      <c r="B302" s="16" t="str">
        <f ca="1">IFERROR(__xludf.UNSUPPORTED("""COMPUTED_VALUE"""),"Gonzálvez Maestre")</f>
        <v>Gonzálvez Maestre</v>
      </c>
      <c r="C302" s="16" t="str">
        <f ca="1">IFERROR(__xludf.UNSUPPORTED("""COMPUTED_VALUE"""),"Maria Teresa")</f>
        <v>Maria Teresa</v>
      </c>
      <c r="D302" s="16" t="str">
        <f ca="1">IFERROR(__xludf.UNSUPPORTED("""COMPUTED_VALUE"""),"74246552E")</f>
        <v>74246552E</v>
      </c>
    </row>
    <row r="303" spans="1:4" ht="14.25">
      <c r="A303" s="16" t="str">
        <f ca="1">IFERROR(__xludf.UNSUPPORTED("""COMPUTED_VALUE"""),"Gorchs Molist, Montserrat")</f>
        <v>Gorchs Molist, Montserrat</v>
      </c>
      <c r="B303" s="16" t="str">
        <f ca="1">IFERROR(__xludf.UNSUPPORTED("""COMPUTED_VALUE"""),"Gorchs Molist")</f>
        <v>Gorchs Molist</v>
      </c>
      <c r="C303" s="16" t="str">
        <f ca="1">IFERROR(__xludf.UNSUPPORTED("""COMPUTED_VALUE"""),"Montserrat")</f>
        <v>Montserrat</v>
      </c>
      <c r="D303" s="16" t="str">
        <f ca="1">IFERROR(__xludf.UNSUPPORTED("""COMPUTED_VALUE"""),"33941902C")</f>
        <v>33941902C</v>
      </c>
    </row>
    <row r="304" spans="1:4" ht="14.25">
      <c r="A304" s="16" t="str">
        <f ca="1">IFERROR(__xludf.UNSUPPORTED("""COMPUTED_VALUE"""),"Gozalbo Monfort, Mónica María")</f>
        <v>Gozalbo Monfort, Mónica María</v>
      </c>
      <c r="B304" s="16" t="str">
        <f ca="1">IFERROR(__xludf.UNSUPPORTED("""COMPUTED_VALUE"""),"Gozalbo Monfort")</f>
        <v>Gozalbo Monfort</v>
      </c>
      <c r="C304" s="16" t="str">
        <f ca="1">IFERROR(__xludf.UNSUPPORTED("""COMPUTED_VALUE"""),"Mónica María")</f>
        <v>Mónica María</v>
      </c>
      <c r="D304" s="16" t="str">
        <f ca="1">IFERROR(__xludf.UNSUPPORTED("""COMPUTED_VALUE"""),"18986878X")</f>
        <v>18986878X</v>
      </c>
    </row>
    <row r="305" spans="1:4" ht="14.25">
      <c r="A305" s="16" t="str">
        <f ca="1">IFERROR(__xludf.UNSUPPORTED("""COMPUTED_VALUE"""),"Granada López, José Manuel")</f>
        <v>Granada López, José Manuel</v>
      </c>
      <c r="B305" s="16" t="str">
        <f ca="1">IFERROR(__xludf.UNSUPPORTED("""COMPUTED_VALUE"""),"Granada López")</f>
        <v>Granada López</v>
      </c>
      <c r="C305" s="16" t="str">
        <f ca="1">IFERROR(__xludf.UNSUPPORTED("""COMPUTED_VALUE"""),"José Manuel")</f>
        <v>José Manuel</v>
      </c>
      <c r="D305" s="16" t="str">
        <f ca="1">IFERROR(__xludf.UNSUPPORTED("""COMPUTED_VALUE"""),"29092139Z")</f>
        <v>29092139Z</v>
      </c>
    </row>
    <row r="306" spans="1:4" ht="14.25">
      <c r="A306" s="16" t="str">
        <f ca="1">IFERROR(__xludf.UNSUPPORTED("""COMPUTED_VALUE"""),"Grimplet, Jerome")</f>
        <v>Grimplet, Jerome</v>
      </c>
      <c r="B306" s="16" t="str">
        <f ca="1">IFERROR(__xludf.UNSUPPORTED("""COMPUTED_VALUE"""),"Grimplet")</f>
        <v>Grimplet</v>
      </c>
      <c r="C306" s="16" t="str">
        <f ca="1">IFERROR(__xludf.UNSUPPORTED("""COMPUTED_VALUE"""),"Jerome")</f>
        <v>Jerome</v>
      </c>
      <c r="D306" s="16" t="str">
        <f ca="1">IFERROR(__xludf.UNSUPPORTED("""COMPUTED_VALUE"""),"Y0659226Z")</f>
        <v>Y0659226Z</v>
      </c>
    </row>
    <row r="307" spans="1:4" ht="14.25">
      <c r="A307" s="16" t="str">
        <f ca="1">IFERROR(__xludf.UNSUPPORTED("""COMPUTED_VALUE"""),"Guillamó Mínguez, Carlos")</f>
        <v>Guillamó Mínguez, Carlos</v>
      </c>
      <c r="B307" s="16" t="str">
        <f ca="1">IFERROR(__xludf.UNSUPPORTED("""COMPUTED_VALUE"""),"Guillamó Mínguez")</f>
        <v>Guillamó Mínguez</v>
      </c>
      <c r="C307" s="16" t="str">
        <f ca="1">IFERROR(__xludf.UNSUPPORTED("""COMPUTED_VALUE"""),"Carlos")</f>
        <v>Carlos</v>
      </c>
      <c r="D307" s="16" t="str">
        <f ca="1">IFERROR(__xludf.UNSUPPORTED("""COMPUTED_VALUE"""),"48455938K")</f>
        <v>48455938K</v>
      </c>
    </row>
    <row r="308" spans="1:4" ht="14.25">
      <c r="A308" s="16" t="str">
        <f ca="1">IFERROR(__xludf.UNSUPPORTED("""COMPUTED_VALUE"""),"Guillem Saiz, Javier")</f>
        <v>Guillem Saiz, Javier</v>
      </c>
      <c r="B308" s="16" t="str">
        <f ca="1">IFERROR(__xludf.UNSUPPORTED("""COMPUTED_VALUE"""),"Guillem Saiz")</f>
        <v>Guillem Saiz</v>
      </c>
      <c r="C308" s="16" t="str">
        <f ca="1">IFERROR(__xludf.UNSUPPORTED("""COMPUTED_VALUE"""),"Javier")</f>
        <v>Javier</v>
      </c>
      <c r="D308" s="16" t="str">
        <f ca="1">IFERROR(__xludf.UNSUPPORTED("""COMPUTED_VALUE"""),"44524314V")</f>
        <v>44524314V</v>
      </c>
    </row>
    <row r="309" spans="1:4" ht="14.25">
      <c r="A309" s="16" t="str">
        <f ca="1">IFERROR(__xludf.UNSUPPORTED("""COMPUTED_VALUE"""),"Guillén Riquelme, Alejandro")</f>
        <v>Guillén Riquelme, Alejandro</v>
      </c>
      <c r="B309" s="16" t="str">
        <f ca="1">IFERROR(__xludf.UNSUPPORTED("""COMPUTED_VALUE"""),"Guillén Riquelme")</f>
        <v>Guillén Riquelme</v>
      </c>
      <c r="C309" s="16" t="str">
        <f ca="1">IFERROR(__xludf.UNSUPPORTED("""COMPUTED_VALUE"""),"Alejandro")</f>
        <v>Alejandro</v>
      </c>
      <c r="D309" s="16" t="str">
        <f ca="1">IFERROR(__xludf.UNSUPPORTED("""COMPUTED_VALUE"""),"44774333A")</f>
        <v>44774333A</v>
      </c>
    </row>
    <row r="310" spans="1:4" ht="14.25">
      <c r="A310" s="16" t="str">
        <f ca="1">IFERROR(__xludf.UNSUPPORTED("""COMPUTED_VALUE"""),"Gutiérrez Macías, Laura")</f>
        <v>Gutiérrez Macías, Laura</v>
      </c>
      <c r="B310" s="16" t="str">
        <f ca="1">IFERROR(__xludf.UNSUPPORTED("""COMPUTED_VALUE"""),"Gutiérrez Macías")</f>
        <v>Gutiérrez Macías</v>
      </c>
      <c r="C310" s="16" t="str">
        <f ca="1">IFERROR(__xludf.UNSUPPORTED("""COMPUTED_VALUE"""),"Laura")</f>
        <v>Laura</v>
      </c>
      <c r="D310" s="16" t="str">
        <f ca="1">IFERROR(__xludf.UNSUPPORTED("""COMPUTED_VALUE"""),"71451984T")</f>
        <v>71451984T</v>
      </c>
    </row>
    <row r="311" spans="1:4" ht="14.25">
      <c r="A311" s="16" t="str">
        <f ca="1">IFERROR(__xludf.UNSUPPORTED("""COMPUTED_VALUE"""),"Gutiérrez Menéndez, Alba")</f>
        <v>Gutiérrez Menéndez, Alba</v>
      </c>
      <c r="B311" s="16" t="str">
        <f ca="1">IFERROR(__xludf.UNSUPPORTED("""COMPUTED_VALUE"""),"Gutiérrez Menéndez")</f>
        <v>Gutiérrez Menéndez</v>
      </c>
      <c r="C311" s="16" t="str">
        <f ca="1">IFERROR(__xludf.UNSUPPORTED("""COMPUTED_VALUE"""),"Alba")</f>
        <v>Alba</v>
      </c>
      <c r="D311" s="16" t="str">
        <f ca="1">IFERROR(__xludf.UNSUPPORTED("""COMPUTED_VALUE"""),"71779951X")</f>
        <v>71779951X</v>
      </c>
    </row>
    <row r="312" spans="1:4" ht="14.25">
      <c r="A312" s="16" t="str">
        <f ca="1">IFERROR(__xludf.UNSUPPORTED("""COMPUTED_VALUE"""),"Gutiérrez Naharro, Eva")</f>
        <v>Gutiérrez Naharro, Eva</v>
      </c>
      <c r="B312" s="16" t="str">
        <f ca="1">IFERROR(__xludf.UNSUPPORTED("""COMPUTED_VALUE"""),"Gutiérrez Naharro")</f>
        <v>Gutiérrez Naharro</v>
      </c>
      <c r="C312" s="16" t="str">
        <f ca="1">IFERROR(__xludf.UNSUPPORTED("""COMPUTED_VALUE"""),"Eva")</f>
        <v>Eva</v>
      </c>
      <c r="D312" s="16" t="str">
        <f ca="1">IFERROR(__xludf.UNSUPPORTED("""COMPUTED_VALUE"""),"52596948L")</f>
        <v>52596948L</v>
      </c>
    </row>
    <row r="313" spans="1:4" ht="14.25">
      <c r="A313" s="16" t="str">
        <f ca="1">IFERROR(__xludf.UNSUPPORTED("""COMPUTED_VALUE"""),"Herencias Rodríguez, Cristina")</f>
        <v>Herencias Rodríguez, Cristina</v>
      </c>
      <c r="B313" s="16" t="str">
        <f ca="1">IFERROR(__xludf.UNSUPPORTED("""COMPUTED_VALUE"""),"Herencias Rodríguez")</f>
        <v>Herencias Rodríguez</v>
      </c>
      <c r="C313" s="16" t="str">
        <f ca="1">IFERROR(__xludf.UNSUPPORTED("""COMPUTED_VALUE"""),"Cristina")</f>
        <v>Cristina</v>
      </c>
      <c r="D313" s="16" t="str">
        <f ca="1">IFERROR(__xludf.UNSUPPORTED("""COMPUTED_VALUE"""),"51475237H")</f>
        <v>51475237H</v>
      </c>
    </row>
    <row r="314" spans="1:4" ht="14.25">
      <c r="A314" s="16" t="str">
        <f ca="1">IFERROR(__xludf.UNSUPPORTED("""COMPUTED_VALUE"""),"Hernández del Mazo, Patricia")</f>
        <v>Hernández del Mazo, Patricia</v>
      </c>
      <c r="B314" s="16" t="str">
        <f ca="1">IFERROR(__xludf.UNSUPPORTED("""COMPUTED_VALUE"""),"Hernández del Mazo")</f>
        <v>Hernández del Mazo</v>
      </c>
      <c r="C314" s="16" t="str">
        <f ca="1">IFERROR(__xludf.UNSUPPORTED("""COMPUTED_VALUE"""),"Patricia")</f>
        <v>Patricia</v>
      </c>
      <c r="D314" s="16" t="str">
        <f ca="1">IFERROR(__xludf.UNSUPPORTED("""COMPUTED_VALUE"""),"04198788T")</f>
        <v>04198788T</v>
      </c>
    </row>
    <row r="315" spans="1:4" ht="14.25">
      <c r="A315" s="16" t="str">
        <f ca="1">IFERROR(__xludf.UNSUPPORTED("""COMPUTED_VALUE"""),"Hernández Hernández, Laura")</f>
        <v>Hernández Hernández, Laura</v>
      </c>
      <c r="B315" s="16" t="str">
        <f ca="1">IFERROR(__xludf.UNSUPPORTED("""COMPUTED_VALUE"""),"Hernández Hernández")</f>
        <v>Hernández Hernández</v>
      </c>
      <c r="C315" s="16" t="str">
        <f ca="1">IFERROR(__xludf.UNSUPPORTED("""COMPUTED_VALUE"""),"Laura")</f>
        <v>Laura</v>
      </c>
      <c r="D315" s="16" t="str">
        <f ca="1">IFERROR(__xludf.UNSUPPORTED("""COMPUTED_VALUE"""),"07981414T")</f>
        <v>07981414T</v>
      </c>
    </row>
    <row r="316" spans="1:4" ht="14.25">
      <c r="A316" s="16" t="str">
        <f ca="1">IFERROR(__xludf.UNSUPPORTED("""COMPUTED_VALUE"""),"Hernández Jiménez, María Jesús")</f>
        <v>Hernández Jiménez, María Jesús</v>
      </c>
      <c r="B316" s="16" t="str">
        <f ca="1">IFERROR(__xludf.UNSUPPORTED("""COMPUTED_VALUE"""),"Hernández Jiménez")</f>
        <v>Hernández Jiménez</v>
      </c>
      <c r="C316" s="16" t="str">
        <f ca="1">IFERROR(__xludf.UNSUPPORTED("""COMPUTED_VALUE"""),"María Jesús")</f>
        <v>María Jesús</v>
      </c>
      <c r="D316" s="16" t="str">
        <f ca="1">IFERROR(__xludf.UNSUPPORTED("""COMPUTED_VALUE"""),"74507728X")</f>
        <v>74507728X</v>
      </c>
    </row>
    <row r="317" spans="1:4" ht="14.25">
      <c r="A317" s="16" t="str">
        <f ca="1">IFERROR(__xludf.UNSUPPORTED("""COMPUTED_VALUE"""),"Hernández Núñez-Polo, Mercedes")</f>
        <v>Hernández Núñez-Polo, Mercedes</v>
      </c>
      <c r="B317" s="16" t="str">
        <f ca="1">IFERROR(__xludf.UNSUPPORTED("""COMPUTED_VALUE"""),"Hernández Núñez-Polo")</f>
        <v>Hernández Núñez-Polo</v>
      </c>
      <c r="C317" s="16" t="str">
        <f ca="1">IFERROR(__xludf.UNSUPPORTED("""COMPUTED_VALUE"""),"Mercedes")</f>
        <v>Mercedes</v>
      </c>
      <c r="D317" s="16" t="str">
        <f ca="1">IFERROR(__xludf.UNSUPPORTED("""COMPUTED_VALUE"""),"51362698H")</f>
        <v>51362698H</v>
      </c>
    </row>
    <row r="318" spans="1:4" ht="14.25">
      <c r="A318" s="16" t="str">
        <f ca="1">IFERROR(__xludf.UNSUPPORTED("""COMPUTED_VALUE"""),"Hernández Saguar, Aida Esther")</f>
        <v>Hernández Saguar, Aida Esther</v>
      </c>
      <c r="B318" s="16" t="str">
        <f ca="1">IFERROR(__xludf.UNSUPPORTED("""COMPUTED_VALUE"""),"Hernández Saguar")</f>
        <v>Hernández Saguar</v>
      </c>
      <c r="C318" s="16" t="str">
        <f ca="1">IFERROR(__xludf.UNSUPPORTED("""COMPUTED_VALUE"""),"Aida Esther")</f>
        <v>Aida Esther</v>
      </c>
      <c r="D318" s="16" t="str">
        <f ca="1">IFERROR(__xludf.UNSUPPORTED("""COMPUTED_VALUE"""),"70068688Q")</f>
        <v>70068688Q</v>
      </c>
    </row>
    <row r="319" spans="1:4" ht="14.25">
      <c r="A319" s="16" t="str">
        <f ca="1">IFERROR(__xludf.UNSUPPORTED("""COMPUTED_VALUE"""),"Hernández Sánchez, Francisco Esteban")</f>
        <v>Hernández Sánchez, Francisco Esteban</v>
      </c>
      <c r="B319" s="16" t="str">
        <f ca="1">IFERROR(__xludf.UNSUPPORTED("""COMPUTED_VALUE"""),"Hernández Sánchez")</f>
        <v>Hernández Sánchez</v>
      </c>
      <c r="C319" s="16" t="str">
        <f ca="1">IFERROR(__xludf.UNSUPPORTED("""COMPUTED_VALUE"""),"Francisco Esteban")</f>
        <v>Francisco Esteban</v>
      </c>
      <c r="D319" s="16" t="str">
        <f ca="1">IFERROR(__xludf.UNSUPPORTED("""COMPUTED_VALUE"""),"19847784A")</f>
        <v>19847784A</v>
      </c>
    </row>
    <row r="320" spans="1:4" ht="14.25">
      <c r="A320" s="16" t="str">
        <f ca="1">IFERROR(__xludf.UNSUPPORTED("""COMPUTED_VALUE"""),"Herrera Alarcón, Juan Francisco")</f>
        <v>Herrera Alarcón, Juan Francisco</v>
      </c>
      <c r="B320" s="16" t="str">
        <f ca="1">IFERROR(__xludf.UNSUPPORTED("""COMPUTED_VALUE"""),"Herrera Alarcón")</f>
        <v>Herrera Alarcón</v>
      </c>
      <c r="C320" s="16" t="str">
        <f ca="1">IFERROR(__xludf.UNSUPPORTED("""COMPUTED_VALUE"""),"Juan Francisco")</f>
        <v>Juan Francisco</v>
      </c>
      <c r="D320" s="16" t="str">
        <f ca="1">IFERROR(__xludf.UNSUPPORTED("""COMPUTED_VALUE"""),"75886763B")</f>
        <v>75886763B</v>
      </c>
    </row>
    <row r="321" spans="1:4" ht="14.25">
      <c r="A321" s="16" t="str">
        <f ca="1">IFERROR(__xludf.UNSUPPORTED("""COMPUTED_VALUE"""),"Herrera Pérez, Salvador")</f>
        <v>Herrera Pérez, Salvador</v>
      </c>
      <c r="B321" s="16" t="str">
        <f ca="1">IFERROR(__xludf.UNSUPPORTED("""COMPUTED_VALUE"""),"Herrera Pérez")</f>
        <v>Herrera Pérez</v>
      </c>
      <c r="C321" s="16" t="str">
        <f ca="1">IFERROR(__xludf.UNSUPPORTED("""COMPUTED_VALUE"""),"Salvador")</f>
        <v>Salvador</v>
      </c>
      <c r="D321" s="16" t="str">
        <f ca="1">IFERROR(__xludf.UNSUPPORTED("""COMPUTED_VALUE"""),"77004260F")</f>
        <v>77004260F</v>
      </c>
    </row>
    <row r="322" spans="1:4" ht="14.25">
      <c r="A322" s="16" t="str">
        <f ca="1">IFERROR(__xludf.UNSUPPORTED("""COMPUTED_VALUE"""),"Hijazo Larrosa, Sergio")</f>
        <v>Hijazo Larrosa, Sergio</v>
      </c>
      <c r="B322" s="16" t="str">
        <f ca="1">IFERROR(__xludf.UNSUPPORTED("""COMPUTED_VALUE"""),"Hijazo Larrosa")</f>
        <v>Hijazo Larrosa</v>
      </c>
      <c r="C322" s="16" t="str">
        <f ca="1">IFERROR(__xludf.UNSUPPORTED("""COMPUTED_VALUE"""),"Sergio")</f>
        <v>Sergio</v>
      </c>
      <c r="D322" s="16" t="str">
        <f ca="1">IFERROR(__xludf.UNSUPPORTED("""COMPUTED_VALUE"""),"17725278Y")</f>
        <v>17725278Y</v>
      </c>
    </row>
    <row r="323" spans="1:4" ht="14.25">
      <c r="A323" s="16" t="str">
        <f ca="1">IFERROR(__xludf.UNSUPPORTED("""COMPUTED_VALUE"""),"Hita Yáñez, Eva María")</f>
        <v>Hita Yáñez, Eva María</v>
      </c>
      <c r="B323" s="16" t="str">
        <f ca="1">IFERROR(__xludf.UNSUPPORTED("""COMPUTED_VALUE"""),"Hita Yáñez")</f>
        <v>Hita Yáñez</v>
      </c>
      <c r="C323" s="16" t="str">
        <f ca="1">IFERROR(__xludf.UNSUPPORTED("""COMPUTED_VALUE"""),"Eva María")</f>
        <v>Eva María</v>
      </c>
      <c r="D323" s="16" t="str">
        <f ca="1">IFERROR(__xludf.UNSUPPORTED("""COMPUTED_VALUE"""),"75135462M")</f>
        <v>75135462M</v>
      </c>
    </row>
    <row r="324" spans="1:4" ht="14.25">
      <c r="A324" s="16" t="str">
        <f ca="1">IFERROR(__xludf.UNSUPPORTED("""COMPUTED_VALUE"""),"Hmadcha Afif, Abdelkrim")</f>
        <v>Hmadcha Afif, Abdelkrim</v>
      </c>
      <c r="B324" s="16" t="str">
        <f ca="1">IFERROR(__xludf.UNSUPPORTED("""COMPUTED_VALUE"""),"Hmadcha Afif")</f>
        <v>Hmadcha Afif</v>
      </c>
      <c r="C324" s="16" t="str">
        <f ca="1">IFERROR(__xludf.UNSUPPORTED("""COMPUTED_VALUE"""),"Abdelkrim")</f>
        <v>Abdelkrim</v>
      </c>
      <c r="D324" s="16" t="str">
        <f ca="1">IFERROR(__xludf.UNSUPPORTED("""COMPUTED_VALUE"""),"29499679V")</f>
        <v>29499679V</v>
      </c>
    </row>
    <row r="325" spans="1:4" ht="14.25">
      <c r="A325" s="16" t="str">
        <f ca="1">IFERROR(__xludf.UNSUPPORTED("""COMPUTED_VALUE"""),"Iantzi Vicente, Stella")</f>
        <v>Iantzi Vicente, Stella</v>
      </c>
      <c r="B325" s="16" t="str">
        <f ca="1">IFERROR(__xludf.UNSUPPORTED("""COMPUTED_VALUE"""),"Iantzi Vicente")</f>
        <v>Iantzi Vicente</v>
      </c>
      <c r="C325" s="16" t="str">
        <f ca="1">IFERROR(__xludf.UNSUPPORTED("""COMPUTED_VALUE"""),"Stella")</f>
        <v>Stella</v>
      </c>
      <c r="D325" s="16" t="str">
        <f ca="1">IFERROR(__xludf.UNSUPPORTED("""COMPUTED_VALUE"""),"21071057K")</f>
        <v>21071057K</v>
      </c>
    </row>
    <row r="326" spans="1:4" ht="14.25">
      <c r="A326" s="16" t="str">
        <f ca="1">IFERROR(__xludf.UNSUPPORTED("""COMPUTED_VALUE"""),"Ibáñez Torres, Nerea")</f>
        <v>Ibáñez Torres, Nerea</v>
      </c>
      <c r="B326" s="16" t="str">
        <f ca="1">IFERROR(__xludf.UNSUPPORTED("""COMPUTED_VALUE"""),"Ibáñez Torres")</f>
        <v>Ibáñez Torres</v>
      </c>
      <c r="C326" s="16" t="str">
        <f ca="1">IFERROR(__xludf.UNSUPPORTED("""COMPUTED_VALUE"""),"Nerea")</f>
        <v>Nerea</v>
      </c>
      <c r="D326" s="16" t="str">
        <f ca="1">IFERROR(__xludf.UNSUPPORTED("""COMPUTED_VALUE"""),"74391393D")</f>
        <v>74391393D</v>
      </c>
    </row>
    <row r="327" spans="1:4" ht="14.25">
      <c r="A327" s="16" t="str">
        <f ca="1">IFERROR(__xludf.UNSUPPORTED("""COMPUTED_VALUE"""),"Incera Fernández, Daniel")</f>
        <v>Incera Fernández, Daniel</v>
      </c>
      <c r="B327" s="16" t="str">
        <f ca="1">IFERROR(__xludf.UNSUPPORTED("""COMPUTED_VALUE"""),"Incera Fernández")</f>
        <v>Incera Fernández</v>
      </c>
      <c r="C327" s="16" t="str">
        <f ca="1">IFERROR(__xludf.UNSUPPORTED("""COMPUTED_VALUE"""),"Daniel")</f>
        <v>Daniel</v>
      </c>
      <c r="D327" s="16" t="str">
        <f ca="1">IFERROR(__xludf.UNSUPPORTED("""COMPUTED_VALUE"""),"76129602Q")</f>
        <v>76129602Q</v>
      </c>
    </row>
    <row r="328" spans="1:4" ht="14.25">
      <c r="A328" s="16" t="str">
        <f ca="1">IFERROR(__xludf.UNSUPPORTED("""COMPUTED_VALUE"""),"Infante Caballero, Desirée")</f>
        <v>Infante Caballero, Desirée</v>
      </c>
      <c r="B328" s="16" t="str">
        <f ca="1">IFERROR(__xludf.UNSUPPORTED("""COMPUTED_VALUE"""),"Infante Caballero")</f>
        <v>Infante Caballero</v>
      </c>
      <c r="C328" s="16" t="str">
        <f ca="1">IFERROR(__xludf.UNSUPPORTED("""COMPUTED_VALUE"""),"Desirée")</f>
        <v>Desirée</v>
      </c>
      <c r="D328" s="16" t="str">
        <f ca="1">IFERROR(__xludf.UNSUPPORTED("""COMPUTED_VALUE"""),"47804635D")</f>
        <v>47804635D</v>
      </c>
    </row>
    <row r="329" spans="1:4" ht="14.25">
      <c r="A329" s="16" t="str">
        <f ca="1">IFERROR(__xludf.UNSUPPORTED("""COMPUTED_VALUE"""),"Invernón Gómez, Ana Isabel")</f>
        <v>Invernón Gómez, Ana Isabel</v>
      </c>
      <c r="B329" s="16" t="str">
        <f ca="1">IFERROR(__xludf.UNSUPPORTED("""COMPUTED_VALUE"""),"Invernón Gómez")</f>
        <v>Invernón Gómez</v>
      </c>
      <c r="C329" s="16" t="str">
        <f ca="1">IFERROR(__xludf.UNSUPPORTED("""COMPUTED_VALUE"""),"Ana Isabel")</f>
        <v>Ana Isabel</v>
      </c>
      <c r="D329" s="16" t="str">
        <f ca="1">IFERROR(__xludf.UNSUPPORTED("""COMPUTED_VALUE"""),"23282257R")</f>
        <v>23282257R</v>
      </c>
    </row>
    <row r="330" spans="1:4" ht="14.25">
      <c r="A330" s="16" t="str">
        <f ca="1">IFERROR(__xludf.UNSUPPORTED("""COMPUTED_VALUE"""),"Iranzo Ejarque, Begoña")</f>
        <v>Iranzo Ejarque, Begoña</v>
      </c>
      <c r="B330" s="16" t="str">
        <f ca="1">IFERROR(__xludf.UNSUPPORTED("""COMPUTED_VALUE"""),"Iranzo Ejarque")</f>
        <v>Iranzo Ejarque</v>
      </c>
      <c r="C330" s="16" t="str">
        <f ca="1">IFERROR(__xludf.UNSUPPORTED("""COMPUTED_VALUE"""),"Begoña")</f>
        <v>Begoña</v>
      </c>
      <c r="D330" s="16" t="str">
        <f ca="1">IFERROR(__xludf.UNSUPPORTED("""COMPUTED_VALUE"""),"44885938N")</f>
        <v>44885938N</v>
      </c>
    </row>
    <row r="331" spans="1:4" ht="14.25">
      <c r="A331" s="16" t="str">
        <f ca="1">IFERROR(__xludf.UNSUPPORTED("""COMPUTED_VALUE"""),"Isorna Folgar, Manuel")</f>
        <v>Isorna Folgar, Manuel</v>
      </c>
      <c r="B331" s="16" t="str">
        <f ca="1">IFERROR(__xludf.UNSUPPORTED("""COMPUTED_VALUE"""),"Isorna Folgar")</f>
        <v>Isorna Folgar</v>
      </c>
      <c r="C331" s="16" t="str">
        <f ca="1">IFERROR(__xludf.UNSUPPORTED("""COMPUTED_VALUE"""),"Manuel")</f>
        <v>Manuel</v>
      </c>
      <c r="D331" s="16" t="str">
        <f ca="1">IFERROR(__xludf.UNSUPPORTED("""COMPUTED_VALUE"""),"35453103Y")</f>
        <v>35453103Y</v>
      </c>
    </row>
    <row r="332" spans="1:4" ht="14.25">
      <c r="A332" s="16" t="str">
        <f ca="1">IFERROR(__xludf.UNSUPPORTED("""COMPUTED_VALUE"""),"Izquierdo Alventosa, Ruth")</f>
        <v>Izquierdo Alventosa, Ruth</v>
      </c>
      <c r="B332" s="16" t="str">
        <f ca="1">IFERROR(__xludf.UNSUPPORTED("""COMPUTED_VALUE"""),"Izquierdo Alventosa")</f>
        <v>Izquierdo Alventosa</v>
      </c>
      <c r="C332" s="16" t="str">
        <f ca="1">IFERROR(__xludf.UNSUPPORTED("""COMPUTED_VALUE"""),"Ruth")</f>
        <v>Ruth</v>
      </c>
      <c r="D332" s="16" t="str">
        <f ca="1">IFERROR(__xludf.UNSUPPORTED("""COMPUTED_VALUE"""),"44883044Q")</f>
        <v>44883044Q</v>
      </c>
    </row>
    <row r="333" spans="1:4" ht="14.25">
      <c r="A333" s="16" t="str">
        <f ca="1">IFERROR(__xludf.UNSUPPORTED("""COMPUTED_VALUE"""),"Izquierdo García, José Luis")</f>
        <v>Izquierdo García, José Luis</v>
      </c>
      <c r="B333" s="16" t="str">
        <f ca="1">IFERROR(__xludf.UNSUPPORTED("""COMPUTED_VALUE"""),"Izquierdo García")</f>
        <v>Izquierdo García</v>
      </c>
      <c r="C333" s="16" t="str">
        <f ca="1">IFERROR(__xludf.UNSUPPORTED("""COMPUTED_VALUE"""),"José Luis")</f>
        <v>José Luis</v>
      </c>
      <c r="D333" s="16" t="str">
        <f ca="1">IFERROR(__xludf.UNSUPPORTED("""COMPUTED_VALUE"""),"53445462V")</f>
        <v>53445462V</v>
      </c>
    </row>
    <row r="334" spans="1:4" ht="14.25">
      <c r="A334" s="16" t="str">
        <f ca="1">IFERROR(__xludf.UNSUPPORTED("""COMPUTED_VALUE"""),"Izquierdo Zarzo, Ana")</f>
        <v>Izquierdo Zarzo, Ana</v>
      </c>
      <c r="B334" s="16" t="str">
        <f ca="1">IFERROR(__xludf.UNSUPPORTED("""COMPUTED_VALUE"""),"Izquierdo Zarzo")</f>
        <v>Izquierdo Zarzo</v>
      </c>
      <c r="C334" s="16" t="str">
        <f ca="1">IFERROR(__xludf.UNSUPPORTED("""COMPUTED_VALUE"""),"Ana")</f>
        <v>Ana</v>
      </c>
      <c r="D334" s="16" t="str">
        <f ca="1">IFERROR(__xludf.UNSUPPORTED("""COMPUTED_VALUE"""),"05454651V")</f>
        <v>05454651V</v>
      </c>
    </row>
    <row r="335" spans="1:4" ht="14.25">
      <c r="A335" s="16" t="str">
        <f ca="1">IFERROR(__xludf.UNSUPPORTED("""COMPUTED_VALUE"""),"Jaén Parrilla, Irene")</f>
        <v>Jaén Parrilla, Irene</v>
      </c>
      <c r="B335" s="16" t="str">
        <f ca="1">IFERROR(__xludf.UNSUPPORTED("""COMPUTED_VALUE"""),"Jaén Parrilla")</f>
        <v>Jaén Parrilla</v>
      </c>
      <c r="C335" s="16" t="str">
        <f ca="1">IFERROR(__xludf.UNSUPPORTED("""COMPUTED_VALUE"""),"Irene")</f>
        <v>Irene</v>
      </c>
      <c r="D335" s="16" t="str">
        <f ca="1">IFERROR(__xludf.UNSUPPORTED("""COMPUTED_VALUE"""),"20455693E")</f>
        <v>20455693E</v>
      </c>
    </row>
    <row r="336" spans="1:4" ht="14.25">
      <c r="A336" s="16" t="str">
        <f ca="1">IFERROR(__xludf.UNSUPPORTED("""COMPUTED_VALUE"""),"Jatahy Peixoto, Clicia")</f>
        <v>Jatahy Peixoto, Clicia</v>
      </c>
      <c r="B336" s="16" t="str">
        <f ca="1">IFERROR(__xludf.UNSUPPORTED("""COMPUTED_VALUE"""),"Jatahy Peixoto")</f>
        <v>Jatahy Peixoto</v>
      </c>
      <c r="C336" s="16" t="str">
        <f ca="1">IFERROR(__xludf.UNSUPPORTED("""COMPUTED_VALUE"""),"Clicia")</f>
        <v>Clicia</v>
      </c>
      <c r="D336" s="16" t="str">
        <f ca="1">IFERROR(__xludf.UNSUPPORTED("""COMPUTED_VALUE"""),"13998388J")</f>
        <v>13998388J</v>
      </c>
    </row>
    <row r="337" spans="1:4" ht="14.25">
      <c r="A337" s="16" t="str">
        <f ca="1">IFERROR(__xludf.UNSUPPORTED("""COMPUTED_VALUE"""),"Jayo Andrés, Asier")</f>
        <v>Jayo Andrés, Asier</v>
      </c>
      <c r="B337" s="16" t="str">
        <f ca="1">IFERROR(__xludf.UNSUPPORTED("""COMPUTED_VALUE"""),"Jayo Andrés")</f>
        <v>Jayo Andrés</v>
      </c>
      <c r="C337" s="16" t="str">
        <f ca="1">IFERROR(__xludf.UNSUPPORTED("""COMPUTED_VALUE"""),"Asier")</f>
        <v>Asier</v>
      </c>
      <c r="D337" s="16" t="str">
        <f ca="1">IFERROR(__xludf.UNSUPPORTED("""COMPUTED_VALUE"""),"45678285D")</f>
        <v>45678285D</v>
      </c>
    </row>
    <row r="338" spans="1:4" ht="14.25">
      <c r="A338" s="16" t="str">
        <f ca="1">IFERROR(__xludf.UNSUPPORTED("""COMPUTED_VALUE"""),"Jiménez Arberas, Estíbaliz")</f>
        <v>Jiménez Arberas, Estíbaliz</v>
      </c>
      <c r="B338" s="16" t="str">
        <f ca="1">IFERROR(__xludf.UNSUPPORTED("""COMPUTED_VALUE"""),"Jiménez Arberas")</f>
        <v>Jiménez Arberas</v>
      </c>
      <c r="C338" s="16" t="str">
        <f ca="1">IFERROR(__xludf.UNSUPPORTED("""COMPUTED_VALUE"""),"Estíbaliz")</f>
        <v>Estíbaliz</v>
      </c>
      <c r="D338" s="16" t="str">
        <f ca="1">IFERROR(__xludf.UNSUPPORTED("""COMPUTED_VALUE"""),"07991322H")</f>
        <v>07991322H</v>
      </c>
    </row>
    <row r="339" spans="1:4" ht="14.25">
      <c r="A339" s="16" t="str">
        <f ca="1">IFERROR(__xludf.UNSUPPORTED("""COMPUTED_VALUE"""),"Jiménez Ballester, Ana María")</f>
        <v>Jiménez Ballester, Ana María</v>
      </c>
      <c r="B339" s="16" t="str">
        <f ca="1">IFERROR(__xludf.UNSUPPORTED("""COMPUTED_VALUE"""),"Jiménez Ballester")</f>
        <v>Jiménez Ballester</v>
      </c>
      <c r="C339" s="16" t="str">
        <f ca="1">IFERROR(__xludf.UNSUPPORTED("""COMPUTED_VALUE"""),"Ana María")</f>
        <v>Ana María</v>
      </c>
      <c r="D339" s="16" t="str">
        <f ca="1">IFERROR(__xludf.UNSUPPORTED("""COMPUTED_VALUE"""),"53252050N")</f>
        <v>53252050N</v>
      </c>
    </row>
    <row r="340" spans="1:4" ht="14.25">
      <c r="A340" s="16" t="str">
        <f ca="1">IFERROR(__xludf.UNSUPPORTED("""COMPUTED_VALUE"""),"Jiménez García-Escribano, Patricia")</f>
        <v>Jiménez García-Escribano, Patricia</v>
      </c>
      <c r="B340" s="16" t="str">
        <f ca="1">IFERROR(__xludf.UNSUPPORTED("""COMPUTED_VALUE"""),"Jiménez García-Escribano")</f>
        <v>Jiménez García-Escribano</v>
      </c>
      <c r="C340" s="16" t="str">
        <f ca="1">IFERROR(__xludf.UNSUPPORTED("""COMPUTED_VALUE"""),"Patricia")</f>
        <v>Patricia</v>
      </c>
      <c r="D340" s="16" t="str">
        <f ca="1">IFERROR(__xludf.UNSUPPORTED("""COMPUTED_VALUE"""),"49025397T")</f>
        <v>49025397T</v>
      </c>
    </row>
    <row r="341" spans="1:4" ht="14.25">
      <c r="A341" s="16" t="str">
        <f ca="1">IFERROR(__xludf.UNSUPPORTED("""COMPUTED_VALUE"""),"Jiménez López, Paul Eduardo")</f>
        <v>Jiménez López, Paul Eduardo</v>
      </c>
      <c r="B341" s="16" t="str">
        <f ca="1">IFERROR(__xludf.UNSUPPORTED("""COMPUTED_VALUE"""),"Jiménez López")</f>
        <v>Jiménez López</v>
      </c>
      <c r="C341" s="16" t="str">
        <f ca="1">IFERROR(__xludf.UNSUPPORTED("""COMPUTED_VALUE"""),"Paul Eduardo")</f>
        <v>Paul Eduardo</v>
      </c>
      <c r="D341" s="16" t="str">
        <f ca="1">IFERROR(__xludf.UNSUPPORTED("""COMPUTED_VALUE"""),"JILP870623HCSMPL09")</f>
        <v>JILP870623HCSMPL09</v>
      </c>
    </row>
    <row r="342" spans="1:4" ht="14.25">
      <c r="A342" s="16" t="str">
        <f ca="1">IFERROR(__xludf.UNSUPPORTED("""COMPUTED_VALUE"""),"Jiménez Marín, Antonio")</f>
        <v>Jiménez Marín, Antonio</v>
      </c>
      <c r="B342" s="16" t="str">
        <f ca="1">IFERROR(__xludf.UNSUPPORTED("""COMPUTED_VALUE"""),"Jiménez Marín")</f>
        <v>Jiménez Marín</v>
      </c>
      <c r="C342" s="16" t="str">
        <f ca="1">IFERROR(__xludf.UNSUPPORTED("""COMPUTED_VALUE"""),"Antonio")</f>
        <v>Antonio</v>
      </c>
      <c r="D342" s="16" t="str">
        <f ca="1">IFERROR(__xludf.UNSUPPORTED("""COMPUTED_VALUE"""),"77140489F")</f>
        <v>77140489F</v>
      </c>
    </row>
    <row r="343" spans="1:4" ht="14.25">
      <c r="A343" s="16" t="str">
        <f ca="1">IFERROR(__xludf.UNSUPPORTED("""COMPUTED_VALUE"""),"Jiménez Mérida, María del Rocío")</f>
        <v>Jiménez Mérida, María del Rocío</v>
      </c>
      <c r="B343" s="16" t="str">
        <f ca="1">IFERROR(__xludf.UNSUPPORTED("""COMPUTED_VALUE"""),"Jiménez Mérida")</f>
        <v>Jiménez Mérida</v>
      </c>
      <c r="C343" s="16" t="str">
        <f ca="1">IFERROR(__xludf.UNSUPPORTED("""COMPUTED_VALUE"""),"María del Rocío")</f>
        <v>María del Rocío</v>
      </c>
      <c r="D343" s="16" t="str">
        <f ca="1">IFERROR(__xludf.UNSUPPORTED("""COMPUTED_VALUE"""),"30999213C")</f>
        <v>30999213C</v>
      </c>
    </row>
    <row r="344" spans="1:4" ht="14.25">
      <c r="A344" s="16" t="str">
        <f ca="1">IFERROR(__xludf.UNSUPPORTED("""COMPUTED_VALUE"""),"Jiménez Rodríguez, José Manuel")</f>
        <v>Jiménez Rodríguez, José Manuel</v>
      </c>
      <c r="B344" s="16" t="str">
        <f ca="1">IFERROR(__xludf.UNSUPPORTED("""COMPUTED_VALUE"""),"Jiménez Rodríguez")</f>
        <v>Jiménez Rodríguez</v>
      </c>
      <c r="C344" s="16" t="str">
        <f ca="1">IFERROR(__xludf.UNSUPPORTED("""COMPUTED_VALUE"""),"José Manuel")</f>
        <v>José Manuel</v>
      </c>
      <c r="D344" s="16" t="str">
        <f ca="1">IFERROR(__xludf.UNSUPPORTED("""COMPUTED_VALUE"""),"22222222a")</f>
        <v>22222222a</v>
      </c>
    </row>
    <row r="345" spans="1:4" ht="14.25">
      <c r="A345" s="16" t="str">
        <f ca="1">IFERROR(__xludf.UNSUPPORTED("""COMPUTED_VALUE"""),"Jiménez Rubio, María Yolanda")</f>
        <v>Jiménez Rubio, María Yolanda</v>
      </c>
      <c r="B345" s="16" t="str">
        <f ca="1">IFERROR(__xludf.UNSUPPORTED("""COMPUTED_VALUE"""),"Jiménez Rubio")</f>
        <v>Jiménez Rubio</v>
      </c>
      <c r="C345" s="16" t="str">
        <f ca="1">IFERROR(__xludf.UNSUPPORTED("""COMPUTED_VALUE"""),"María Yolanda")</f>
        <v>María Yolanda</v>
      </c>
      <c r="D345" s="16" t="str">
        <f ca="1">IFERROR(__xludf.UNSUPPORTED("""COMPUTED_VALUE"""),"04595624V")</f>
        <v>04595624V</v>
      </c>
    </row>
    <row r="346" spans="1:4" ht="14.25">
      <c r="A346" s="16" t="str">
        <f ca="1">IFERROR(__xludf.UNSUPPORTED("""COMPUTED_VALUE"""),"Jiménez Sánchez, Cecilia")</f>
        <v>Jiménez Sánchez, Cecilia</v>
      </c>
      <c r="B346" s="16" t="str">
        <f ca="1">IFERROR(__xludf.UNSUPPORTED("""COMPUTED_VALUE"""),"Jiménez Sánchez")</f>
        <v>Jiménez Sánchez</v>
      </c>
      <c r="C346" s="16" t="str">
        <f ca="1">IFERROR(__xludf.UNSUPPORTED("""COMPUTED_VALUE"""),"Cecilia")</f>
        <v>Cecilia</v>
      </c>
      <c r="D346" s="16" t="str">
        <f ca="1">IFERROR(__xludf.UNSUPPORTED("""COMPUTED_VALUE"""),"75136991Q")</f>
        <v>75136991Q</v>
      </c>
    </row>
    <row r="347" spans="1:4" ht="14.25">
      <c r="A347" s="16" t="str">
        <f ca="1">IFERROR(__xludf.UNSUPPORTED("""COMPUTED_VALUE"""),"Juárez Carreño, Sergio")</f>
        <v>Juárez Carreño, Sergio</v>
      </c>
      <c r="B347" s="16" t="str">
        <f ca="1">IFERROR(__xludf.UNSUPPORTED("""COMPUTED_VALUE"""),"Juárez Carreño")</f>
        <v>Juárez Carreño</v>
      </c>
      <c r="C347" s="16" t="str">
        <f ca="1">IFERROR(__xludf.UNSUPPORTED("""COMPUTED_VALUE"""),"Sergio")</f>
        <v>Sergio</v>
      </c>
      <c r="D347" s="16" t="str">
        <f ca="1">IFERROR(__xludf.UNSUPPORTED("""COMPUTED_VALUE"""),"70355021E")</f>
        <v>70355021E</v>
      </c>
    </row>
    <row r="348" spans="1:4" ht="14.25">
      <c r="A348" s="16" t="str">
        <f ca="1">IFERROR(__xludf.UNSUPPORTED("""COMPUTED_VALUE"""),"Juarros Basterretxea, Joel")</f>
        <v>Juarros Basterretxea, Joel</v>
      </c>
      <c r="B348" s="16" t="str">
        <f ca="1">IFERROR(__xludf.UNSUPPORTED("""COMPUTED_VALUE"""),"Juarros Basterretxea")</f>
        <v>Juarros Basterretxea</v>
      </c>
      <c r="C348" s="16" t="str">
        <f ca="1">IFERROR(__xludf.UNSUPPORTED("""COMPUTED_VALUE"""),"Joel")</f>
        <v>Joel</v>
      </c>
      <c r="D348" s="16" t="str">
        <f ca="1">IFERROR(__xludf.UNSUPPORTED("""COMPUTED_VALUE"""),"78949358H")</f>
        <v>78949358H</v>
      </c>
    </row>
    <row r="349" spans="1:4" ht="14.25">
      <c r="A349" s="16" t="str">
        <f ca="1">IFERROR(__xludf.UNSUPPORTED("""COMPUTED_VALUE"""),"Lacomba Trejo, Laura")</f>
        <v>Lacomba Trejo, Laura</v>
      </c>
      <c r="B349" s="16" t="str">
        <f ca="1">IFERROR(__xludf.UNSUPPORTED("""COMPUTED_VALUE"""),"Lacomba Trejo")</f>
        <v>Lacomba Trejo</v>
      </c>
      <c r="C349" s="16" t="str">
        <f ca="1">IFERROR(__xludf.UNSUPPORTED("""COMPUTED_VALUE"""),"Laura")</f>
        <v>Laura</v>
      </c>
      <c r="D349" s="16" t="str">
        <f ca="1">IFERROR(__xludf.UNSUPPORTED("""COMPUTED_VALUE"""),"44893986X")</f>
        <v>44893986X</v>
      </c>
    </row>
    <row r="350" spans="1:4" ht="14.25">
      <c r="A350" s="16" t="str">
        <f ca="1">IFERROR(__xludf.UNSUPPORTED("""COMPUTED_VALUE"""),"Lairón Peris, Maria")</f>
        <v>Lairón Peris, Maria</v>
      </c>
      <c r="B350" s="16" t="str">
        <f ca="1">IFERROR(__xludf.UNSUPPORTED("""COMPUTED_VALUE"""),"Lairón Peris")</f>
        <v>Lairón Peris</v>
      </c>
      <c r="C350" s="16" t="str">
        <f ca="1">IFERROR(__xludf.UNSUPPORTED("""COMPUTED_VALUE"""),"Maria")</f>
        <v>Maria</v>
      </c>
      <c r="D350" s="16" t="str">
        <f ca="1">IFERROR(__xludf.UNSUPPORTED("""COMPUTED_VALUE"""),"20858109F")</f>
        <v>20858109F</v>
      </c>
    </row>
    <row r="351" spans="1:4" ht="14.25">
      <c r="A351" s="16" t="str">
        <f ca="1">IFERROR(__xludf.UNSUPPORTED("""COMPUTED_VALUE"""),"Lamiquiz Moneo, Itziar")</f>
        <v>Lamiquiz Moneo, Itziar</v>
      </c>
      <c r="B351" s="16" t="str">
        <f ca="1">IFERROR(__xludf.UNSUPPORTED("""COMPUTED_VALUE"""),"Lamiquiz Moneo")</f>
        <v>Lamiquiz Moneo</v>
      </c>
      <c r="C351" s="16" t="str">
        <f ca="1">IFERROR(__xludf.UNSUPPORTED("""COMPUTED_VALUE"""),"Itziar")</f>
        <v>Itziar</v>
      </c>
      <c r="D351" s="16" t="str">
        <f ca="1">IFERROR(__xludf.UNSUPPORTED("""COMPUTED_VALUE"""),"76924903T")</f>
        <v>76924903T</v>
      </c>
    </row>
    <row r="352" spans="1:4" ht="14.25">
      <c r="A352" s="16" t="str">
        <f ca="1">IFERROR(__xludf.UNSUPPORTED("""COMPUTED_VALUE"""),"Laorden Gutiérrez, Cristina")</f>
        <v>Laorden Gutiérrez, Cristina</v>
      </c>
      <c r="B352" s="16" t="str">
        <f ca="1">IFERROR(__xludf.UNSUPPORTED("""COMPUTED_VALUE"""),"Laorden Gutiérrez")</f>
        <v>Laorden Gutiérrez</v>
      </c>
      <c r="C352" s="16" t="str">
        <f ca="1">IFERROR(__xludf.UNSUPPORTED("""COMPUTED_VALUE"""),"Cristina")</f>
        <v>Cristina</v>
      </c>
      <c r="D352" s="16" t="str">
        <f ca="1">IFERROR(__xludf.UNSUPPORTED("""COMPUTED_VALUE"""),"02601370R")</f>
        <v>02601370R</v>
      </c>
    </row>
    <row r="353" spans="1:4" ht="14.25">
      <c r="A353" s="16" t="str">
        <f ca="1">IFERROR(__xludf.UNSUPPORTED("""COMPUTED_VALUE"""),"Lara Pérez, Elvira")</f>
        <v>Lara Pérez, Elvira</v>
      </c>
      <c r="B353" s="16" t="str">
        <f ca="1">IFERROR(__xludf.UNSUPPORTED("""COMPUTED_VALUE"""),"Lara Pérez")</f>
        <v>Lara Pérez</v>
      </c>
      <c r="C353" s="16" t="str">
        <f ca="1">IFERROR(__xludf.UNSUPPORTED("""COMPUTED_VALUE"""),"Elvira")</f>
        <v>Elvira</v>
      </c>
      <c r="D353" s="16" t="str">
        <f ca="1">IFERROR(__xludf.UNSUPPORTED("""COMPUTED_VALUE"""),"25600335R")</f>
        <v>25600335R</v>
      </c>
    </row>
    <row r="354" spans="1:4" ht="14.25">
      <c r="A354" s="16" t="str">
        <f ca="1">IFERROR(__xludf.UNSUPPORTED("""COMPUTED_VALUE"""),"Larumbe Llobell, Laura")</f>
        <v>Larumbe Llobell, Laura</v>
      </c>
      <c r="B354" s="16" t="str">
        <f ca="1">IFERROR(__xludf.UNSUPPORTED("""COMPUTED_VALUE"""),"Larumbe Llobell")</f>
        <v>Larumbe Llobell</v>
      </c>
      <c r="C354" s="16" t="str">
        <f ca="1">IFERROR(__xludf.UNSUPPORTED("""COMPUTED_VALUE"""),"Laura")</f>
        <v>Laura</v>
      </c>
      <c r="D354" s="16" t="str">
        <f ca="1">IFERROR(__xludf.UNSUPPORTED("""COMPUTED_VALUE"""),"21790788J")</f>
        <v>21790788J</v>
      </c>
    </row>
    <row r="355" spans="1:4" ht="14.25">
      <c r="A355" s="16" t="str">
        <f ca="1">IFERROR(__xludf.UNSUPPORTED("""COMPUTED_VALUE"""),"Layrón Folgado, José Enrique")</f>
        <v>Layrón Folgado, José Enrique</v>
      </c>
      <c r="B355" s="16" t="str">
        <f ca="1">IFERROR(__xludf.UNSUPPORTED("""COMPUTED_VALUE"""),"Layrón Folgado")</f>
        <v>Layrón Folgado</v>
      </c>
      <c r="C355" s="16" t="str">
        <f ca="1">IFERROR(__xludf.UNSUPPORTED("""COMPUTED_VALUE"""),"José Enrique")</f>
        <v>José Enrique</v>
      </c>
      <c r="D355" s="16" t="str">
        <f ca="1">IFERROR(__xludf.UNSUPPORTED("""COMPUTED_VALUE"""),"33565475B")</f>
        <v>33565475B</v>
      </c>
    </row>
    <row r="356" spans="1:4" ht="14.25">
      <c r="A356" s="16" t="str">
        <f ca="1">IFERROR(__xludf.UNSUPPORTED("""COMPUTED_VALUE"""),"Lázaro Pérez, Esther")</f>
        <v>Lázaro Pérez, Esther</v>
      </c>
      <c r="B356" s="16" t="str">
        <f ca="1">IFERROR(__xludf.UNSUPPORTED("""COMPUTED_VALUE"""),"Lázaro Pérez")</f>
        <v>Lázaro Pérez</v>
      </c>
      <c r="C356" s="16" t="str">
        <f ca="1">IFERROR(__xludf.UNSUPPORTED("""COMPUTED_VALUE"""),"Esther")</f>
        <v>Esther</v>
      </c>
      <c r="D356" s="16" t="str">
        <f ca="1">IFERROR(__xludf.UNSUPPORTED("""COMPUTED_VALUE"""),"30692613X")</f>
        <v>30692613X</v>
      </c>
    </row>
    <row r="357" spans="1:4" ht="14.25">
      <c r="A357" s="16" t="str">
        <f ca="1">IFERROR(__xludf.UNSUPPORTED("""COMPUTED_VALUE"""),"Lebrusán Murillo, Irene")</f>
        <v>Lebrusán Murillo, Irene</v>
      </c>
      <c r="B357" s="16" t="str">
        <f ca="1">IFERROR(__xludf.UNSUPPORTED("""COMPUTED_VALUE"""),"Lebrusán Murillo")</f>
        <v>Lebrusán Murillo</v>
      </c>
      <c r="C357" s="16" t="str">
        <f ca="1">IFERROR(__xludf.UNSUPPORTED("""COMPUTED_VALUE"""),"Irene")</f>
        <v>Irene</v>
      </c>
      <c r="D357" s="16" t="str">
        <f ca="1">IFERROR(__xludf.UNSUPPORTED("""COMPUTED_VALUE"""),"51995808F")</f>
        <v>51995808F</v>
      </c>
    </row>
    <row r="358" spans="1:4" ht="14.25">
      <c r="A358" s="16" t="str">
        <f ca="1">IFERROR(__xludf.UNSUPPORTED("""COMPUTED_VALUE"""),"Lendínez Mesa, Alejandro")</f>
        <v>Lendínez Mesa, Alejandro</v>
      </c>
      <c r="B358" s="16" t="str">
        <f ca="1">IFERROR(__xludf.UNSUPPORTED("""COMPUTED_VALUE"""),"Lendínez Mesa")</f>
        <v>Lendínez Mesa</v>
      </c>
      <c r="C358" s="16" t="str">
        <f ca="1">IFERROR(__xludf.UNSUPPORTED("""COMPUTED_VALUE"""),"Alejandro")</f>
        <v>Alejandro</v>
      </c>
      <c r="D358" s="16" t="str">
        <f ca="1">IFERROR(__xludf.UNSUPPORTED("""COMPUTED_VALUE"""),"53716301P")</f>
        <v>53716301P</v>
      </c>
    </row>
    <row r="359" spans="1:4" ht="14.25">
      <c r="A359" s="16" t="str">
        <f ca="1">IFERROR(__xludf.UNSUPPORTED("""COMPUTED_VALUE"""),"Lendínez Turón, Ana")</f>
        <v>Lendínez Turón, Ana</v>
      </c>
      <c r="B359" s="16" t="str">
        <f ca="1">IFERROR(__xludf.UNSUPPORTED("""COMPUTED_VALUE"""),"Lendínez Turón")</f>
        <v>Lendínez Turón</v>
      </c>
      <c r="C359" s="16" t="str">
        <f ca="1">IFERROR(__xludf.UNSUPPORTED("""COMPUTED_VALUE"""),"Ana")</f>
        <v>Ana</v>
      </c>
      <c r="D359" s="16" t="str">
        <f ca="1">IFERROR(__xludf.UNSUPPORTED("""COMPUTED_VALUE"""),"26254625X")</f>
        <v>26254625X</v>
      </c>
    </row>
    <row r="360" spans="1:4" ht="14.25">
      <c r="A360" s="16" t="str">
        <f ca="1">IFERROR(__xludf.UNSUPPORTED("""COMPUTED_VALUE"""),"León Medina, Vanesa")</f>
        <v>León Medina, Vanesa</v>
      </c>
      <c r="B360" s="16" t="str">
        <f ca="1">IFERROR(__xludf.UNSUPPORTED("""COMPUTED_VALUE"""),"León Medina")</f>
        <v>León Medina</v>
      </c>
      <c r="C360" s="16" t="str">
        <f ca="1">IFERROR(__xludf.UNSUPPORTED("""COMPUTED_VALUE"""),"Vanesa")</f>
        <v>Vanesa</v>
      </c>
      <c r="D360" s="16" t="str">
        <f ca="1">IFERROR(__xludf.UNSUPPORTED("""COMPUTED_VALUE"""),"20488648H")</f>
        <v>20488648H</v>
      </c>
    </row>
    <row r="361" spans="1:4" ht="14.25">
      <c r="A361" s="16" t="str">
        <f ca="1">IFERROR(__xludf.UNSUPPORTED("""COMPUTED_VALUE"""),"Lillo Crespo, Manuel")</f>
        <v>Lillo Crespo, Manuel</v>
      </c>
      <c r="B361" s="16" t="str">
        <f ca="1">IFERROR(__xludf.UNSUPPORTED("""COMPUTED_VALUE"""),"Lillo Crespo")</f>
        <v>Lillo Crespo</v>
      </c>
      <c r="C361" s="16" t="str">
        <f ca="1">IFERROR(__xludf.UNSUPPORTED("""COMPUTED_VALUE"""),"Manuel")</f>
        <v>Manuel</v>
      </c>
      <c r="D361" s="16" t="str">
        <f ca="1">IFERROR(__xludf.UNSUPPORTED("""COMPUTED_VALUE"""),"48345363F")</f>
        <v>48345363F</v>
      </c>
    </row>
    <row r="362" spans="1:4" ht="14.25">
      <c r="A362" s="16" t="str">
        <f ca="1">IFERROR(__xludf.UNSUPPORTED("""COMPUTED_VALUE"""),"Llamas Pérez, Encarna")</f>
        <v>Llamas Pérez, Encarna</v>
      </c>
      <c r="B362" s="16" t="str">
        <f ca="1">IFERROR(__xludf.UNSUPPORTED("""COMPUTED_VALUE"""),"Llamas Pérez")</f>
        <v>Llamas Pérez</v>
      </c>
      <c r="C362" s="16" t="str">
        <f ca="1">IFERROR(__xludf.UNSUPPORTED("""COMPUTED_VALUE"""),"Encarna")</f>
        <v>Encarna</v>
      </c>
      <c r="D362" s="16" t="str">
        <f ca="1">IFERROR(__xludf.UNSUPPORTED("""COMPUTED_VALUE"""),"34804420S")</f>
        <v>34804420S</v>
      </c>
    </row>
    <row r="363" spans="1:4" ht="14.25">
      <c r="A363" s="16" t="str">
        <f ca="1">IFERROR(__xludf.UNSUPPORTED("""COMPUTED_VALUE"""),"Llanos Román, Gabriela Andrea")</f>
        <v>Llanos Román, Gabriela Andrea</v>
      </c>
      <c r="B363" s="16" t="str">
        <f ca="1">IFERROR(__xludf.UNSUPPORTED("""COMPUTED_VALUE"""),"Llanos Román")</f>
        <v>Llanos Román</v>
      </c>
      <c r="C363" s="16" t="str">
        <f ca="1">IFERROR(__xludf.UNSUPPORTED("""COMPUTED_VALUE"""),"Gabriela Andrea")</f>
        <v>Gabriela Andrea</v>
      </c>
      <c r="D363" s="16" t="str">
        <f ca="1">IFERROR(__xludf.UNSUPPORTED("""COMPUTED_VALUE"""),"Y3718768G")</f>
        <v>Y3718768G</v>
      </c>
    </row>
    <row r="364" spans="1:4" ht="14.25">
      <c r="A364" s="16" t="str">
        <f ca="1">IFERROR(__xludf.UNSUPPORTED("""COMPUTED_VALUE"""),"Llerena Companioni, Odalia")</f>
        <v>Llerena Companioni, Odalia</v>
      </c>
      <c r="B364" s="16" t="str">
        <f ca="1">IFERROR(__xludf.UNSUPPORTED("""COMPUTED_VALUE"""),"Llerena Companioni")</f>
        <v>Llerena Companioni</v>
      </c>
      <c r="C364" s="16" t="str">
        <f ca="1">IFERROR(__xludf.UNSUPPORTED("""COMPUTED_VALUE"""),"Odalia")</f>
        <v>Odalia</v>
      </c>
      <c r="D364" s="16" t="str">
        <f ca="1">IFERROR(__xludf.UNSUPPORTED("""COMPUTED_VALUE"""),"096045354-6")</f>
        <v>096045354-6</v>
      </c>
    </row>
    <row r="365" spans="1:4" ht="14.25">
      <c r="A365" s="16" t="str">
        <f ca="1">IFERROR(__xludf.UNSUPPORTED("""COMPUTED_VALUE"""),"Llorens Aleixandre, Noelia")</f>
        <v>Llorens Aleixandre, Noelia</v>
      </c>
      <c r="B365" s="16" t="str">
        <f ca="1">IFERROR(__xludf.UNSUPPORTED("""COMPUTED_VALUE"""),"Llorens Aleixandre")</f>
        <v>Llorens Aleixandre</v>
      </c>
      <c r="C365" s="16" t="str">
        <f ca="1">IFERROR(__xludf.UNSUPPORTED("""COMPUTED_VALUE"""),"Noelia")</f>
        <v>Noelia</v>
      </c>
      <c r="D365" s="16" t="str">
        <f ca="1">IFERROR(__xludf.UNSUPPORTED("""COMPUTED_VALUE"""),"33412946H")</f>
        <v>33412946H</v>
      </c>
    </row>
    <row r="366" spans="1:4" ht="14.25">
      <c r="A366" s="16" t="str">
        <f ca="1">IFERROR(__xludf.UNSUPPORTED("""COMPUTED_VALUE"""),"Lloret Fernández, Carla")</f>
        <v>Lloret Fernández, Carla</v>
      </c>
      <c r="B366" s="16" t="str">
        <f ca="1">IFERROR(__xludf.UNSUPPORTED("""COMPUTED_VALUE"""),"Lloret Fernández")</f>
        <v>Lloret Fernández</v>
      </c>
      <c r="C366" s="16" t="str">
        <f ca="1">IFERROR(__xludf.UNSUPPORTED("""COMPUTED_VALUE"""),"Carla")</f>
        <v>Carla</v>
      </c>
      <c r="D366" s="16" t="str">
        <f ca="1">IFERROR(__xludf.UNSUPPORTED("""COMPUTED_VALUE"""),"48591148Z")</f>
        <v>48591148Z</v>
      </c>
    </row>
    <row r="367" spans="1:4" ht="14.25">
      <c r="A367" s="16" t="str">
        <f ca="1">IFERROR(__xludf.UNSUPPORTED("""COMPUTED_VALUE"""),"Lluch Sanz, Cristina")</f>
        <v>Lluch Sanz, Cristina</v>
      </c>
      <c r="B367" s="16" t="str">
        <f ca="1">IFERROR(__xludf.UNSUPPORTED("""COMPUTED_VALUE"""),"Lluch Sanz")</f>
        <v>Lluch Sanz</v>
      </c>
      <c r="C367" s="16" t="str">
        <f ca="1">IFERROR(__xludf.UNSUPPORTED("""COMPUTED_VALUE"""),"Cristina")</f>
        <v>Cristina</v>
      </c>
      <c r="D367" s="16" t="str">
        <f ca="1">IFERROR(__xludf.UNSUPPORTED("""COMPUTED_VALUE"""),"48606434M")</f>
        <v>48606434M</v>
      </c>
    </row>
    <row r="368" spans="1:4" ht="14.25">
      <c r="A368" s="16" t="str">
        <f ca="1">IFERROR(__xludf.UNSUPPORTED("""COMPUTED_VALUE"""),"Loinaz Calvo, Ismael")</f>
        <v>Loinaz Calvo, Ismael</v>
      </c>
      <c r="B368" s="16" t="str">
        <f ca="1">IFERROR(__xludf.UNSUPPORTED("""COMPUTED_VALUE"""),"Loinaz Calvo")</f>
        <v>Loinaz Calvo</v>
      </c>
      <c r="C368" s="16" t="str">
        <f ca="1">IFERROR(__xludf.UNSUPPORTED("""COMPUTED_VALUE"""),"Ismael")</f>
        <v>Ismael</v>
      </c>
      <c r="D368" s="16" t="str">
        <f ca="1">IFERROR(__xludf.UNSUPPORTED("""COMPUTED_VALUE"""),"72490435R")</f>
        <v>72490435R</v>
      </c>
    </row>
    <row r="369" spans="1:4" ht="14.25">
      <c r="A369" s="16" t="str">
        <f ca="1">IFERROR(__xludf.UNSUPPORTED("""COMPUTED_VALUE"""),"Longares Segarra, María")</f>
        <v>Longares Segarra, María</v>
      </c>
      <c r="B369" s="16" t="str">
        <f ca="1">IFERROR(__xludf.UNSUPPORTED("""COMPUTED_VALUE"""),"Longares Segarra")</f>
        <v>Longares Segarra</v>
      </c>
      <c r="C369" s="16" t="str">
        <f ca="1">IFERROR(__xludf.UNSUPPORTED("""COMPUTED_VALUE"""),"María")</f>
        <v>María</v>
      </c>
      <c r="D369" s="16" t="str">
        <f ca="1">IFERROR(__xludf.UNSUPPORTED("""COMPUTED_VALUE"""),"24379008C")</f>
        <v>24379008C</v>
      </c>
    </row>
    <row r="370" spans="1:4" ht="14.25">
      <c r="A370" s="16" t="str">
        <f ca="1">IFERROR(__xludf.UNSUPPORTED("""COMPUTED_VALUE"""),"López Alba, Cristina")</f>
        <v>López Alba, Cristina</v>
      </c>
      <c r="B370" s="16" t="str">
        <f ca="1">IFERROR(__xludf.UNSUPPORTED("""COMPUTED_VALUE"""),"López Alba")</f>
        <v>López Alba</v>
      </c>
      <c r="C370" s="16" t="str">
        <f ca="1">IFERROR(__xludf.UNSUPPORTED("""COMPUTED_VALUE"""),"Cristina")</f>
        <v>Cristina</v>
      </c>
      <c r="D370" s="16" t="str">
        <f ca="1">IFERROR(__xludf.UNSUPPORTED("""COMPUTED_VALUE"""),"50232206E")</f>
        <v>50232206E</v>
      </c>
    </row>
    <row r="371" spans="1:4" ht="14.25">
      <c r="A371" s="16" t="str">
        <f ca="1">IFERROR(__xludf.UNSUPPORTED("""COMPUTED_VALUE"""),"López Carballo, Gracia")</f>
        <v>López Carballo, Gracia</v>
      </c>
      <c r="B371" s="16" t="str">
        <f ca="1">IFERROR(__xludf.UNSUPPORTED("""COMPUTED_VALUE"""),"López Carballo")</f>
        <v>López Carballo</v>
      </c>
      <c r="C371" s="16" t="str">
        <f ca="1">IFERROR(__xludf.UNSUPPORTED("""COMPUTED_VALUE"""),"Gracia")</f>
        <v>Gracia</v>
      </c>
      <c r="D371" s="16" t="str">
        <f ca="1">IFERROR(__xludf.UNSUPPORTED("""COMPUTED_VALUE"""),"24358541T")</f>
        <v>24358541T</v>
      </c>
    </row>
    <row r="372" spans="1:4" ht="14.25">
      <c r="A372" s="16" t="str">
        <f ca="1">IFERROR(__xludf.UNSUPPORTED("""COMPUTED_VALUE"""),"López de las Hazas Mingo, Maria del Carmen")</f>
        <v>López de las Hazas Mingo, Maria del Carmen</v>
      </c>
      <c r="B372" s="16" t="str">
        <f ca="1">IFERROR(__xludf.UNSUPPORTED("""COMPUTED_VALUE"""),"López de las Hazas Mingo")</f>
        <v>López de las Hazas Mingo</v>
      </c>
      <c r="C372" s="16" t="str">
        <f ca="1">IFERROR(__xludf.UNSUPPORTED("""COMPUTED_VALUE"""),"Maria del Carmen")</f>
        <v>Maria del Carmen</v>
      </c>
      <c r="D372" s="16" t="str">
        <f ca="1">IFERROR(__xludf.UNSUPPORTED("""COMPUTED_VALUE"""),"50556355D")</f>
        <v>50556355D</v>
      </c>
    </row>
    <row r="373" spans="1:4" ht="14.25">
      <c r="A373" s="16" t="str">
        <f ca="1">IFERROR(__xludf.UNSUPPORTED("""COMPUTED_VALUE"""),"López de Solórzano, Carmen Consuelo")</f>
        <v>López de Solórzano, Carmen Consuelo</v>
      </c>
      <c r="B373" s="16" t="str">
        <f ca="1">IFERROR(__xludf.UNSUPPORTED("""COMPUTED_VALUE"""),"López de Solórzano")</f>
        <v>López de Solórzano</v>
      </c>
      <c r="C373" s="16" t="str">
        <f ca="1">IFERROR(__xludf.UNSUPPORTED("""COMPUTED_VALUE"""),"Carmen Consuelo")</f>
        <v>Carmen Consuelo</v>
      </c>
      <c r="D373" s="16">
        <f ca="1">IFERROR(__xludf.UNSUPPORTED("""COMPUTED_VALUE"""),11785079)</f>
        <v>11785079</v>
      </c>
    </row>
    <row r="374" spans="1:4" ht="14.25">
      <c r="A374" s="16" t="str">
        <f ca="1">IFERROR(__xludf.UNSUPPORTED("""COMPUTED_VALUE"""),"López Fernández, María Luisa")</f>
        <v>López Fernández, María Luisa</v>
      </c>
      <c r="B374" s="16" t="str">
        <f ca="1">IFERROR(__xludf.UNSUPPORTED("""COMPUTED_VALUE"""),"López Fernández")</f>
        <v>López Fernández</v>
      </c>
      <c r="C374" s="16" t="str">
        <f ca="1">IFERROR(__xludf.UNSUPPORTED("""COMPUTED_VALUE"""),"María Luisa")</f>
        <v>María Luisa</v>
      </c>
      <c r="D374" s="16" t="str">
        <f ca="1">IFERROR(__xludf.UNSUPPORTED("""COMPUTED_VALUE"""),"51350655G")</f>
        <v>51350655G</v>
      </c>
    </row>
    <row r="375" spans="1:4" ht="14.25">
      <c r="A375" s="16" t="str">
        <f ca="1">IFERROR(__xludf.UNSUPPORTED("""COMPUTED_VALUE"""),"López García, Marta")</f>
        <v>López García, Marta</v>
      </c>
      <c r="B375" s="16" t="str">
        <f ca="1">IFERROR(__xludf.UNSUPPORTED("""COMPUTED_VALUE"""),"López García")</f>
        <v>López García</v>
      </c>
      <c r="C375" s="16" t="str">
        <f ca="1">IFERROR(__xludf.UNSUPPORTED("""COMPUTED_VALUE"""),"Marta")</f>
        <v>Marta</v>
      </c>
      <c r="D375" s="16" t="str">
        <f ca="1">IFERROR(__xludf.UNSUPPORTED("""COMPUTED_VALUE"""),"46762443Q")</f>
        <v>46762443Q</v>
      </c>
    </row>
    <row r="376" spans="1:4" ht="14.25">
      <c r="A376" s="16" t="str">
        <f ca="1">IFERROR(__xludf.UNSUPPORTED("""COMPUTED_VALUE"""),"López Hernández, Bárbara Patricia")</f>
        <v>López Hernández, Bárbara Patricia</v>
      </c>
      <c r="B376" s="16" t="str">
        <f ca="1">IFERROR(__xludf.UNSUPPORTED("""COMPUTED_VALUE"""),"López Hernández")</f>
        <v>López Hernández</v>
      </c>
      <c r="C376" s="16" t="str">
        <f ca="1">IFERROR(__xludf.UNSUPPORTED("""COMPUTED_VALUE"""),"Bárbara Patricia")</f>
        <v>Bárbara Patricia</v>
      </c>
      <c r="D376" s="16" t="str">
        <f ca="1">IFERROR(__xludf.UNSUPPORTED("""COMPUTED_VALUE"""),"42237159M")</f>
        <v>42237159M</v>
      </c>
    </row>
    <row r="377" spans="1:4" ht="14.25">
      <c r="A377" s="16" t="str">
        <f ca="1">IFERROR(__xludf.UNSUPPORTED("""COMPUTED_VALUE"""),"López Mases, Patricia")</f>
        <v>López Mases, Patricia</v>
      </c>
      <c r="B377" s="16" t="str">
        <f ca="1">IFERROR(__xludf.UNSUPPORTED("""COMPUTED_VALUE"""),"López Mases")</f>
        <v>López Mases</v>
      </c>
      <c r="C377" s="16" t="str">
        <f ca="1">IFERROR(__xludf.UNSUPPORTED("""COMPUTED_VALUE"""),"Patricia")</f>
        <v>Patricia</v>
      </c>
      <c r="D377" s="16" t="str">
        <f ca="1">IFERROR(__xludf.UNSUPPORTED("""COMPUTED_VALUE"""),"29216710V")</f>
        <v>29216710V</v>
      </c>
    </row>
    <row r="378" spans="1:4" ht="14.25">
      <c r="A378" s="16" t="str">
        <f ca="1">IFERROR(__xludf.UNSUPPORTED("""COMPUTED_VALUE"""),"López Montoyo, Alba")</f>
        <v>López Montoyo, Alba</v>
      </c>
      <c r="B378" s="16" t="str">
        <f ca="1">IFERROR(__xludf.UNSUPPORTED("""COMPUTED_VALUE"""),"López Montoyo")</f>
        <v>López Montoyo</v>
      </c>
      <c r="C378" s="16" t="str">
        <f ca="1">IFERROR(__xludf.UNSUPPORTED("""COMPUTED_VALUE"""),"Alba")</f>
        <v>Alba</v>
      </c>
      <c r="D378" s="16" t="str">
        <f ca="1">IFERROR(__xludf.UNSUPPORTED("""COMPUTED_VALUE"""),"72987413H")</f>
        <v>72987413H</v>
      </c>
    </row>
    <row r="379" spans="1:4" ht="14.25">
      <c r="A379" s="16" t="str">
        <f ca="1">IFERROR(__xludf.UNSUPPORTED("""COMPUTED_VALUE"""),"López Pérez, Maria Luisa")</f>
        <v>López Pérez, Maria Luisa</v>
      </c>
      <c r="B379" s="16" t="str">
        <f ca="1">IFERROR(__xludf.UNSUPPORTED("""COMPUTED_VALUE"""),"López Pérez")</f>
        <v>López Pérez</v>
      </c>
      <c r="C379" s="16" t="str">
        <f ca="1">IFERROR(__xludf.UNSUPPORTED("""COMPUTED_VALUE"""),"Maria Luisa")</f>
        <v>Maria Luisa</v>
      </c>
      <c r="D379" s="16" t="str">
        <f ca="1">IFERROR(__xludf.UNSUPPORTED("""COMPUTED_VALUE"""),"76581817M")</f>
        <v>76581817M</v>
      </c>
    </row>
    <row r="380" spans="1:4" ht="14.25">
      <c r="A380" s="16" t="str">
        <f ca="1">IFERROR(__xludf.UNSUPPORTED("""COMPUTED_VALUE"""),"López Ruiz, Pilar")</f>
        <v>López Ruiz, Pilar</v>
      </c>
      <c r="B380" s="16" t="str">
        <f ca="1">IFERROR(__xludf.UNSUPPORTED("""COMPUTED_VALUE"""),"López Ruiz")</f>
        <v>López Ruiz</v>
      </c>
      <c r="C380" s="16" t="str">
        <f ca="1">IFERROR(__xludf.UNSUPPORTED("""COMPUTED_VALUE"""),"Pilar")</f>
        <v>Pilar</v>
      </c>
      <c r="D380" s="16" t="str">
        <f ca="1">IFERROR(__xludf.UNSUPPORTED("""COMPUTED_VALUE"""),"25409990G")</f>
        <v>25409990G</v>
      </c>
    </row>
    <row r="381" spans="1:4" ht="14.25">
      <c r="A381" s="16" t="str">
        <f ca="1">IFERROR(__xludf.UNSUPPORTED("""COMPUTED_VALUE"""),"López-Almansa Beaus, Laura Emmanuela")</f>
        <v>López-Almansa Beaus, Laura Emmanuela</v>
      </c>
      <c r="B381" s="16" t="str">
        <f ca="1">IFERROR(__xludf.UNSUPPORTED("""COMPUTED_VALUE"""),"López-Almansa Beaus")</f>
        <v>López-Almansa Beaus</v>
      </c>
      <c r="C381" s="16" t="str">
        <f ca="1">IFERROR(__xludf.UNSUPPORTED("""COMPUTED_VALUE"""),"Laura Emmanuela")</f>
        <v>Laura Emmanuela</v>
      </c>
      <c r="D381" s="16" t="str">
        <f ca="1">IFERROR(__xludf.UNSUPPORTED("""COMPUTED_VALUE"""),"29177184M")</f>
        <v>29177184M</v>
      </c>
    </row>
    <row r="382" spans="1:4" ht="14.25">
      <c r="A382" s="16" t="str">
        <f ca="1">IFERROR(__xludf.UNSUPPORTED("""COMPUTED_VALUE"""),"Lorenzo López, María Victoria")</f>
        <v>Lorenzo López, María Victoria</v>
      </c>
      <c r="B382" s="16" t="str">
        <f ca="1">IFERROR(__xludf.UNSUPPORTED("""COMPUTED_VALUE"""),"Lorenzo López")</f>
        <v>Lorenzo López</v>
      </c>
      <c r="C382" s="16" t="str">
        <f ca="1">IFERROR(__xludf.UNSUPPORTED("""COMPUTED_VALUE"""),"María Victoria")</f>
        <v>María Victoria</v>
      </c>
      <c r="D382" s="16" t="str">
        <f ca="1">IFERROR(__xludf.UNSUPPORTED("""COMPUTED_VALUE"""),"47062964L")</f>
        <v>47062964L</v>
      </c>
    </row>
    <row r="383" spans="1:4" ht="14.25">
      <c r="A383" s="16" t="str">
        <f ca="1">IFERROR(__xludf.UNSUPPORTED("""COMPUTED_VALUE"""),"Lozano García, Alejandro")</f>
        <v>Lozano García, Alejandro</v>
      </c>
      <c r="B383" s="16" t="str">
        <f ca="1">IFERROR(__xludf.UNSUPPORTED("""COMPUTED_VALUE"""),"Lozano García")</f>
        <v>Lozano García</v>
      </c>
      <c r="C383" s="16" t="str">
        <f ca="1">IFERROR(__xludf.UNSUPPORTED("""COMPUTED_VALUE"""),"Alejandro")</f>
        <v>Alejandro</v>
      </c>
      <c r="D383" s="16" t="str">
        <f ca="1">IFERROR(__xludf.UNSUPPORTED("""COMPUTED_VALUE"""),"44528805T")</f>
        <v>44528805T</v>
      </c>
    </row>
    <row r="384" spans="1:4" ht="14.25">
      <c r="A384" s="16" t="str">
        <f ca="1">IFERROR(__xludf.UNSUPPORTED("""COMPUTED_VALUE"""),"Lozano Ruiz, Álvaro")</f>
        <v>Lozano Ruiz, Álvaro</v>
      </c>
      <c r="B384" s="16" t="str">
        <f ca="1">IFERROR(__xludf.UNSUPPORTED("""COMPUTED_VALUE"""),"Lozano Ruiz")</f>
        <v>Lozano Ruiz</v>
      </c>
      <c r="C384" s="16" t="str">
        <f ca="1">IFERROR(__xludf.UNSUPPORTED("""COMPUTED_VALUE"""),"Álvaro")</f>
        <v>Álvaro</v>
      </c>
      <c r="D384" s="16" t="str">
        <f ca="1">IFERROR(__xludf.UNSUPPORTED("""COMPUTED_VALUE"""),"15520626L")</f>
        <v>15520626L</v>
      </c>
    </row>
    <row r="385" spans="1:4" ht="14.25">
      <c r="A385" s="16" t="str">
        <f ca="1">IFERROR(__xludf.UNSUPPORTED("""COMPUTED_VALUE"""),"Lucantoni, Federico")</f>
        <v>Lucantoni, Federico</v>
      </c>
      <c r="B385" s="16" t="str">
        <f ca="1">IFERROR(__xludf.UNSUPPORTED("""COMPUTED_VALUE"""),"Lucantoni")</f>
        <v>Lucantoni</v>
      </c>
      <c r="C385" s="16" t="str">
        <f ca="1">IFERROR(__xludf.UNSUPPORTED("""COMPUTED_VALUE"""),"Federico")</f>
        <v>Federico</v>
      </c>
      <c r="D385" s="16" t="str">
        <f ca="1">IFERROR(__xludf.UNSUPPORTED("""COMPUTED_VALUE"""),"Y2825825J")</f>
        <v>Y2825825J</v>
      </c>
    </row>
    <row r="386" spans="1:4" ht="14.25">
      <c r="A386" s="16" t="str">
        <f ca="1">IFERROR(__xludf.UNSUPPORTED("""COMPUTED_VALUE"""),"Luna Calcaño, Inés María")</f>
        <v>Luna Calcaño, Inés María</v>
      </c>
      <c r="B386" s="16" t="str">
        <f ca="1">IFERROR(__xludf.UNSUPPORTED("""COMPUTED_VALUE"""),"Luna Calcaño")</f>
        <v>Luna Calcaño</v>
      </c>
      <c r="C386" s="16" t="str">
        <f ca="1">IFERROR(__xludf.UNSUPPORTED("""COMPUTED_VALUE"""),"Inés María")</f>
        <v>Inés María</v>
      </c>
      <c r="D386" s="16" t="str">
        <f ca="1">IFERROR(__xludf.UNSUPPORTED("""COMPUTED_VALUE"""),"24461911P")</f>
        <v>24461911P</v>
      </c>
    </row>
    <row r="387" spans="1:4" ht="14.25">
      <c r="A387" s="16" t="str">
        <f ca="1">IFERROR(__xludf.UNSUPPORTED("""COMPUTED_VALUE"""),"Luna Ovalle, Paula")</f>
        <v>Luna Ovalle, Paula</v>
      </c>
      <c r="B387" s="16" t="str">
        <f ca="1">IFERROR(__xludf.UNSUPPORTED("""COMPUTED_VALUE"""),"Luna Ovalle")</f>
        <v>Luna Ovalle</v>
      </c>
      <c r="C387" s="16" t="str">
        <f ca="1">IFERROR(__xludf.UNSUPPORTED("""COMPUTED_VALUE"""),"Paula")</f>
        <v>Paula</v>
      </c>
      <c r="D387" s="16" t="str">
        <f ca="1">IFERROR(__xludf.UNSUPPORTED("""COMPUTED_VALUE"""),"Y4910472D")</f>
        <v>Y4910472D</v>
      </c>
    </row>
    <row r="388" spans="1:4" ht="14.25">
      <c r="A388" s="16" t="str">
        <f ca="1">IFERROR(__xludf.UNSUPPORTED("""COMPUTED_VALUE"""),"Macías Morón, Juan José")</f>
        <v>Macías Morón, Juan José</v>
      </c>
      <c r="B388" s="16" t="str">
        <f ca="1">IFERROR(__xludf.UNSUPPORTED("""COMPUTED_VALUE"""),"Macías Morón")</f>
        <v>Macías Morón</v>
      </c>
      <c r="C388" s="16" t="str">
        <f ca="1">IFERROR(__xludf.UNSUPPORTED("""COMPUTED_VALUE"""),"Juan José")</f>
        <v>Juan José</v>
      </c>
      <c r="D388" s="16" t="str">
        <f ca="1">IFERROR(__xludf.UNSUPPORTED("""COMPUTED_VALUE"""),"78978259P")</f>
        <v>78978259P</v>
      </c>
    </row>
    <row r="389" spans="1:4" ht="14.25">
      <c r="A389" s="16" t="str">
        <f ca="1">IFERROR(__xludf.UNSUPPORTED("""COMPUTED_VALUE"""),"Madrid Mañez, Elena")</f>
        <v>Madrid Mañez, Elena</v>
      </c>
      <c r="B389" s="16" t="str">
        <f ca="1">IFERROR(__xludf.UNSUPPORTED("""COMPUTED_VALUE"""),"Madrid Mañez")</f>
        <v>Madrid Mañez</v>
      </c>
      <c r="C389" s="16" t="str">
        <f ca="1">IFERROR(__xludf.UNSUPPORTED("""COMPUTED_VALUE"""),"Elena")</f>
        <v>Elena</v>
      </c>
      <c r="D389" s="16" t="str">
        <f ca="1">IFERROR(__xludf.UNSUPPORTED("""COMPUTED_VALUE"""),"85087075R")</f>
        <v>85087075R</v>
      </c>
    </row>
    <row r="390" spans="1:4" ht="14.25">
      <c r="A390" s="16" t="str">
        <f ca="1">IFERROR(__xludf.UNSUPPORTED("""COMPUTED_VALUE"""),"Magán Maganto, Maria del Carmen")</f>
        <v>Magán Maganto, Maria del Carmen</v>
      </c>
      <c r="B390" s="16" t="str">
        <f ca="1">IFERROR(__xludf.UNSUPPORTED("""COMPUTED_VALUE"""),"Magán Maganto")</f>
        <v>Magán Maganto</v>
      </c>
      <c r="C390" s="16" t="str">
        <f ca="1">IFERROR(__xludf.UNSUPPORTED("""COMPUTED_VALUE"""),"Maria del Carmen")</f>
        <v>Maria del Carmen</v>
      </c>
      <c r="D390" s="16" t="str">
        <f ca="1">IFERROR(__xludf.UNSUPPORTED("""COMPUTED_VALUE"""),"03917950S")</f>
        <v>03917950S</v>
      </c>
    </row>
    <row r="391" spans="1:4" ht="14.25">
      <c r="A391" s="16" t="str">
        <f ca="1">IFERROR(__xludf.UNSUPPORTED("""COMPUTED_VALUE"""),"Maldonado Aragón, Mónica Soledad")</f>
        <v>Maldonado Aragón, Mónica Soledad</v>
      </c>
      <c r="B391" s="16" t="str">
        <f ca="1">IFERROR(__xludf.UNSUPPORTED("""COMPUTED_VALUE"""),"Maldonado Aragón")</f>
        <v>Maldonado Aragón</v>
      </c>
      <c r="C391" s="16" t="str">
        <f ca="1">IFERROR(__xludf.UNSUPPORTED("""COMPUTED_VALUE"""),"Mónica Soledad")</f>
        <v>Mónica Soledad</v>
      </c>
      <c r="D391" s="16" t="str">
        <f ca="1">IFERROR(__xludf.UNSUPPORTED("""COMPUTED_VALUE"""),"Y8485386X")</f>
        <v>Y8485386X</v>
      </c>
    </row>
    <row r="392" spans="1:4" ht="14.25">
      <c r="A392" s="16" t="str">
        <f ca="1">IFERROR(__xludf.UNSUPPORTED("""COMPUTED_VALUE"""),"Maldonado López , Marina")</f>
        <v>Maldonado López , Marina</v>
      </c>
      <c r="B392" s="16" t="str">
        <f ca="1">IFERROR(__xludf.UNSUPPORTED("""COMPUTED_VALUE"""),"Maldonado López ")</f>
        <v xml:space="preserve">Maldonado López </v>
      </c>
      <c r="C392" s="16" t="str">
        <f ca="1">IFERROR(__xludf.UNSUPPORTED("""COMPUTED_VALUE"""),"Marina")</f>
        <v>Marina</v>
      </c>
      <c r="D392" s="16" t="str">
        <f ca="1">IFERROR(__xludf.UNSUPPORTED("""COMPUTED_VALUE"""),"74384772N")</f>
        <v>74384772N</v>
      </c>
    </row>
    <row r="393" spans="1:4" ht="14.25">
      <c r="A393" s="16" t="str">
        <f ca="1">IFERROR(__xludf.UNSUPPORTED("""COMPUTED_VALUE"""),"Manchón López , Javier")</f>
        <v>Manchón López , Javier</v>
      </c>
      <c r="B393" s="16" t="str">
        <f ca="1">IFERROR(__xludf.UNSUPPORTED("""COMPUTED_VALUE"""),"Manchón López ")</f>
        <v xml:space="preserve">Manchón López </v>
      </c>
      <c r="C393" s="16" t="str">
        <f ca="1">IFERROR(__xludf.UNSUPPORTED("""COMPUTED_VALUE"""),"Javier")</f>
        <v>Javier</v>
      </c>
      <c r="D393" s="16" t="str">
        <f ca="1">IFERROR(__xludf.UNSUPPORTED("""COMPUTED_VALUE"""),"74377966Z")</f>
        <v>74377966Z</v>
      </c>
    </row>
    <row r="394" spans="1:4" ht="14.25">
      <c r="A394" s="16" t="str">
        <f ca="1">IFERROR(__xludf.UNSUPPORTED("""COMPUTED_VALUE"""),"Mangas Losada, Alba")</f>
        <v>Mangas Losada, Alba</v>
      </c>
      <c r="B394" s="16" t="str">
        <f ca="1">IFERROR(__xludf.UNSUPPORTED("""COMPUTED_VALUE"""),"Mangas Losada")</f>
        <v>Mangas Losada</v>
      </c>
      <c r="C394" s="16" t="str">
        <f ca="1">IFERROR(__xludf.UNSUPPORTED("""COMPUTED_VALUE"""),"Alba")</f>
        <v>Alba</v>
      </c>
      <c r="D394" s="16" t="str">
        <f ca="1">IFERROR(__xludf.UNSUPPORTED("""COMPUTED_VALUE"""),"76044255E")</f>
        <v>76044255E</v>
      </c>
    </row>
    <row r="395" spans="1:4" ht="14.25">
      <c r="A395" s="16" t="str">
        <f ca="1">IFERROR(__xludf.UNSUPPORTED("""COMPUTED_VALUE"""),"Manjón Luque, Ester María")</f>
        <v>Manjón Luque, Ester María</v>
      </c>
      <c r="B395" s="16" t="str">
        <f ca="1">IFERROR(__xludf.UNSUPPORTED("""COMPUTED_VALUE"""),"Manjón Luque")</f>
        <v>Manjón Luque</v>
      </c>
      <c r="C395" s="16" t="str">
        <f ca="1">IFERROR(__xludf.UNSUPPORTED("""COMPUTED_VALUE"""),"Ester María")</f>
        <v>Ester María</v>
      </c>
      <c r="D395" s="16" t="str">
        <f ca="1">IFERROR(__xludf.UNSUPPORTED("""COMPUTED_VALUE"""),"50609819K")</f>
        <v>50609819K</v>
      </c>
    </row>
    <row r="396" spans="1:4" ht="14.25">
      <c r="A396" s="16" t="str">
        <f ca="1">IFERROR(__xludf.UNSUPPORTED("""COMPUTED_VALUE"""),"Mansego Talavera, María Luisa")</f>
        <v>Mansego Talavera, María Luisa</v>
      </c>
      <c r="B396" s="16" t="str">
        <f ca="1">IFERROR(__xludf.UNSUPPORTED("""COMPUTED_VALUE"""),"Mansego Talavera")</f>
        <v>Mansego Talavera</v>
      </c>
      <c r="C396" s="16" t="str">
        <f ca="1">IFERROR(__xludf.UNSUPPORTED("""COMPUTED_VALUE"""),"María Luisa")</f>
        <v>María Luisa</v>
      </c>
      <c r="D396" s="16" t="str">
        <f ca="1">IFERROR(__xludf.UNSUPPORTED("""COMPUTED_VALUE"""),"33460095V")</f>
        <v>33460095V</v>
      </c>
    </row>
    <row r="397" spans="1:4" ht="14.25">
      <c r="A397" s="16" t="str">
        <f ca="1">IFERROR(__xludf.UNSUPPORTED("""COMPUTED_VALUE"""),"Manzano Nuñez, Fatima")</f>
        <v>Manzano Nuñez, Fatima</v>
      </c>
      <c r="B397" s="16" t="str">
        <f ca="1">IFERROR(__xludf.UNSUPPORTED("""COMPUTED_VALUE"""),"Manzano Nuñez")</f>
        <v>Manzano Nuñez</v>
      </c>
      <c r="C397" s="16" t="str">
        <f ca="1">IFERROR(__xludf.UNSUPPORTED("""COMPUTED_VALUE"""),"Fatima")</f>
        <v>Fatima</v>
      </c>
      <c r="D397" s="16" t="str">
        <f ca="1">IFERROR(__xludf.UNSUPPORTED("""COMPUTED_VALUE"""),"71221671D")</f>
        <v>71221671D</v>
      </c>
    </row>
    <row r="398" spans="1:4" ht="14.25">
      <c r="A398" s="16" t="str">
        <f ca="1">IFERROR(__xludf.UNSUPPORTED("""COMPUTED_VALUE"""),"Mañas Pérez, Antonio Francisco")</f>
        <v>Mañas Pérez, Antonio Francisco</v>
      </c>
      <c r="B398" s="16" t="str">
        <f ca="1">IFERROR(__xludf.UNSUPPORTED("""COMPUTED_VALUE"""),"Mañas Pérez")</f>
        <v>Mañas Pérez</v>
      </c>
      <c r="C398" s="16" t="str">
        <f ca="1">IFERROR(__xludf.UNSUPPORTED("""COMPUTED_VALUE"""),"Antonio Francisco")</f>
        <v>Antonio Francisco</v>
      </c>
      <c r="D398" s="16" t="str">
        <f ca="1">IFERROR(__xludf.UNSUPPORTED("""COMPUTED_VALUE"""),"21479497G")</f>
        <v>21479497G</v>
      </c>
    </row>
    <row r="399" spans="1:4" ht="14.25">
      <c r="A399" s="16" t="str">
        <f ca="1">IFERROR(__xludf.UNSUPPORTED("""COMPUTED_VALUE"""),"Marcelín Alvarado, María Alejandra")</f>
        <v>Marcelín Alvarado, María Alejandra</v>
      </c>
      <c r="B399" s="16" t="str">
        <f ca="1">IFERROR(__xludf.UNSUPPORTED("""COMPUTED_VALUE"""),"Marcelín Alvarado")</f>
        <v>Marcelín Alvarado</v>
      </c>
      <c r="C399" s="16" t="str">
        <f ca="1">IFERROR(__xludf.UNSUPPORTED("""COMPUTED_VALUE"""),"María Alejandra")</f>
        <v>María Alejandra</v>
      </c>
      <c r="D399" s="16" t="str">
        <f ca="1">IFERROR(__xludf.UNSUPPORTED("""COMPUTED_VALUE"""),"G36988918")</f>
        <v>G36988918</v>
      </c>
    </row>
    <row r="400" spans="1:4" ht="14.25">
      <c r="A400" s="16" t="str">
        <f ca="1">IFERROR(__xludf.UNSUPPORTED("""COMPUTED_VALUE"""),"Marco Francisco, Miriam")</f>
        <v>Marco Francisco, Miriam</v>
      </c>
      <c r="B400" s="16" t="str">
        <f ca="1">IFERROR(__xludf.UNSUPPORTED("""COMPUTED_VALUE"""),"Marco Francisco")</f>
        <v>Marco Francisco</v>
      </c>
      <c r="C400" s="16" t="str">
        <f ca="1">IFERROR(__xludf.UNSUPPORTED("""COMPUTED_VALUE"""),"Miriam")</f>
        <v>Miriam</v>
      </c>
      <c r="D400" s="16" t="str">
        <f ca="1">IFERROR(__xludf.UNSUPPORTED("""COMPUTED_VALUE"""),"48621374H")</f>
        <v>48621374H</v>
      </c>
    </row>
    <row r="401" spans="1:4" ht="14.25">
      <c r="A401" s="16" t="str">
        <f ca="1">IFERROR(__xludf.UNSUPPORTED("""COMPUTED_VALUE"""),"Marco Garbayo, José Luis")</f>
        <v>Marco Garbayo, José Luis</v>
      </c>
      <c r="B401" s="16" t="str">
        <f ca="1">IFERROR(__xludf.UNSUPPORTED("""COMPUTED_VALUE"""),"Marco Garbayo")</f>
        <v>Marco Garbayo</v>
      </c>
      <c r="C401" s="16" t="str">
        <f ca="1">IFERROR(__xludf.UNSUPPORTED("""COMPUTED_VALUE"""),"José Luis")</f>
        <v>José Luis</v>
      </c>
      <c r="D401" s="16" t="str">
        <f ca="1">IFERROR(__xludf.UNSUPPORTED("""COMPUTED_VALUE"""),"22111947T")</f>
        <v>22111947T</v>
      </c>
    </row>
    <row r="402" spans="1:4" ht="14.25">
      <c r="A402" s="16" t="str">
        <f ca="1">IFERROR(__xludf.UNSUPPORTED("""COMPUTED_VALUE"""),"Marco Moyano, Adrián")</f>
        <v>Marco Moyano, Adrián</v>
      </c>
      <c r="B402" s="16" t="str">
        <f ca="1">IFERROR(__xludf.UNSUPPORTED("""COMPUTED_VALUE"""),"Marco Moyano")</f>
        <v>Marco Moyano</v>
      </c>
      <c r="C402" s="16" t="str">
        <f ca="1">IFERROR(__xludf.UNSUPPORTED("""COMPUTED_VALUE"""),"Adrián")</f>
        <v>Adrián</v>
      </c>
      <c r="D402" s="16" t="str">
        <f ca="1">IFERROR(__xludf.UNSUPPORTED("""COMPUTED_VALUE"""),"20053200Y")</f>
        <v>20053200Y</v>
      </c>
    </row>
    <row r="403" spans="1:4" ht="14.25">
      <c r="A403" s="16" t="str">
        <f ca="1">IFERROR(__xludf.UNSUPPORTED("""COMPUTED_VALUE"""),"Marcos Martínez, Verónica")</f>
        <v>Marcos Martínez, Verónica</v>
      </c>
      <c r="B403" s="16" t="str">
        <f ca="1">IFERROR(__xludf.UNSUPPORTED("""COMPUTED_VALUE"""),"Marcos Martínez")</f>
        <v>Marcos Martínez</v>
      </c>
      <c r="C403" s="16" t="str">
        <f ca="1">IFERROR(__xludf.UNSUPPORTED("""COMPUTED_VALUE"""),"Verónica")</f>
        <v>Verónica</v>
      </c>
      <c r="D403" s="16" t="str">
        <f ca="1">IFERROR(__xludf.UNSUPPORTED("""COMPUTED_VALUE"""),"71564149V")</f>
        <v>71564149V</v>
      </c>
    </row>
    <row r="404" spans="1:4" ht="14.25">
      <c r="A404" s="16" t="str">
        <f ca="1">IFERROR(__xludf.UNSUPPORTED("""COMPUTED_VALUE"""),"Marcos Pasero, Helena")</f>
        <v>Marcos Pasero, Helena</v>
      </c>
      <c r="B404" s="16" t="str">
        <f ca="1">IFERROR(__xludf.UNSUPPORTED("""COMPUTED_VALUE"""),"Marcos Pasero")</f>
        <v>Marcos Pasero</v>
      </c>
      <c r="C404" s="16" t="str">
        <f ca="1">IFERROR(__xludf.UNSUPPORTED("""COMPUTED_VALUE"""),"Helena")</f>
        <v>Helena</v>
      </c>
      <c r="D404" s="16" t="str">
        <f ca="1">IFERROR(__xludf.UNSUPPORTED("""COMPUTED_VALUE"""),"51114062N")</f>
        <v>51114062N</v>
      </c>
    </row>
    <row r="405" spans="1:4" ht="14.25">
      <c r="A405" s="16" t="str">
        <f ca="1">IFERROR(__xludf.UNSUPPORTED("""COMPUTED_VALUE"""),"Marín García, Pablo")</f>
        <v>Marín García, Pablo</v>
      </c>
      <c r="B405" s="16" t="str">
        <f ca="1">IFERROR(__xludf.UNSUPPORTED("""COMPUTED_VALUE"""),"Marín García")</f>
        <v>Marín García</v>
      </c>
      <c r="C405" s="16" t="str">
        <f ca="1">IFERROR(__xludf.UNSUPPORTED("""COMPUTED_VALUE"""),"Pablo")</f>
        <v>Pablo</v>
      </c>
      <c r="D405" s="16" t="str">
        <f ca="1">IFERROR(__xludf.UNSUPPORTED("""COMPUTED_VALUE"""),"52653545J")</f>
        <v>52653545J</v>
      </c>
    </row>
    <row r="406" spans="1:4" ht="14.25">
      <c r="A406" s="16" t="str">
        <f ca="1">IFERROR(__xludf.UNSUPPORTED("""COMPUTED_VALUE"""),"Marín Gutiérrez, Alejandro")</f>
        <v>Marín Gutiérrez, Alejandro</v>
      </c>
      <c r="B406" s="16" t="str">
        <f ca="1">IFERROR(__xludf.UNSUPPORTED("""COMPUTED_VALUE"""),"Marín Gutiérrez")</f>
        <v>Marín Gutiérrez</v>
      </c>
      <c r="C406" s="16" t="str">
        <f ca="1">IFERROR(__xludf.UNSUPPORTED("""COMPUTED_VALUE"""),"Alejandro")</f>
        <v>Alejandro</v>
      </c>
      <c r="D406" s="16"/>
    </row>
    <row r="407" spans="1:4" ht="14.25">
      <c r="A407" s="16" t="str">
        <f ca="1">IFERROR(__xludf.UNSUPPORTED("""COMPUTED_VALUE"""),"Marín Maicas, Patricia")</f>
        <v>Marín Maicas, Patricia</v>
      </c>
      <c r="B407" s="16" t="str">
        <f ca="1">IFERROR(__xludf.UNSUPPORTED("""COMPUTED_VALUE"""),"Marín Maicas")</f>
        <v>Marín Maicas</v>
      </c>
      <c r="C407" s="16" t="str">
        <f ca="1">IFERROR(__xludf.UNSUPPORTED("""COMPUTED_VALUE"""),"Patricia")</f>
        <v>Patricia</v>
      </c>
      <c r="D407" s="16" t="str">
        <f ca="1">IFERROR(__xludf.UNSUPPORTED("""COMPUTED_VALUE"""),"29207888G")</f>
        <v>29207888G</v>
      </c>
    </row>
    <row r="408" spans="1:4" ht="14.25">
      <c r="A408" s="16" t="str">
        <f ca="1">IFERROR(__xludf.UNSUPPORTED("""COMPUTED_VALUE"""),"Marín Manrique, Antonio")</f>
        <v>Marín Manrique, Antonio</v>
      </c>
      <c r="B408" s="16" t="str">
        <f ca="1">IFERROR(__xludf.UNSUPPORTED("""COMPUTED_VALUE"""),"Marín Manrique")</f>
        <v>Marín Manrique</v>
      </c>
      <c r="C408" s="16" t="str">
        <f ca="1">IFERROR(__xludf.UNSUPPORTED("""COMPUTED_VALUE"""),"Antonio")</f>
        <v>Antonio</v>
      </c>
      <c r="D408" s="16" t="str">
        <f ca="1">IFERROR(__xludf.UNSUPPORTED("""COMPUTED_VALUE"""),"52942907N")</f>
        <v>52942907N</v>
      </c>
    </row>
    <row r="409" spans="1:4" ht="14.25">
      <c r="A409" s="16" t="str">
        <f ca="1">IFERROR(__xludf.UNSUPPORTED("""COMPUTED_VALUE"""),"Marín Romero, Bartolomé")</f>
        <v>Marín Romero, Bartolomé</v>
      </c>
      <c r="B409" s="16" t="str">
        <f ca="1">IFERROR(__xludf.UNSUPPORTED("""COMPUTED_VALUE"""),"Marín Romero")</f>
        <v>Marín Romero</v>
      </c>
      <c r="C409" s="16" t="str">
        <f ca="1">IFERROR(__xludf.UNSUPPORTED("""COMPUTED_VALUE"""),"Bartolomé")</f>
        <v>Bartolomé</v>
      </c>
      <c r="D409" s="16" t="str">
        <f ca="1">IFERROR(__xludf.UNSUPPORTED("""COMPUTED_VALUE"""),"75704179R")</f>
        <v>75704179R</v>
      </c>
    </row>
    <row r="410" spans="1:4" ht="14.25">
      <c r="A410" s="16" t="str">
        <f ca="1">IFERROR(__xludf.UNSUPPORTED("""COMPUTED_VALUE"""),"Marín Tejeda, Miguel Israel")</f>
        <v>Marín Tejeda, Miguel Israel</v>
      </c>
      <c r="B410" s="16" t="str">
        <f ca="1">IFERROR(__xludf.UNSUPPORTED("""COMPUTED_VALUE"""),"Marín Tejeda")</f>
        <v>Marín Tejeda</v>
      </c>
      <c r="C410" s="16" t="str">
        <f ca="1">IFERROR(__xludf.UNSUPPORTED("""COMPUTED_VALUE"""),"Miguel Israel")</f>
        <v>Miguel Israel</v>
      </c>
      <c r="D410" s="16" t="str">
        <f ca="1">IFERROR(__xludf.UNSUPPORTED("""COMPUTED_VALUE"""),"G08538739")</f>
        <v>G08538739</v>
      </c>
    </row>
    <row r="411" spans="1:4" ht="14.25">
      <c r="A411" s="16" t="str">
        <f ca="1">IFERROR(__xludf.UNSUPPORTED("""COMPUTED_VALUE"""),"Mariñas Pardo, Luis Antonio")</f>
        <v>Mariñas Pardo, Luis Antonio</v>
      </c>
      <c r="B411" s="16" t="str">
        <f ca="1">IFERROR(__xludf.UNSUPPORTED("""COMPUTED_VALUE"""),"Mariñas Pardo")</f>
        <v>Mariñas Pardo</v>
      </c>
      <c r="C411" s="16" t="str">
        <f ca="1">IFERROR(__xludf.UNSUPPORTED("""COMPUTED_VALUE"""),"Luis Antonio")</f>
        <v>Luis Antonio</v>
      </c>
      <c r="D411" s="16" t="str">
        <f ca="1">IFERROR(__xludf.UNSUPPORTED("""COMPUTED_VALUE"""),"53162169S")</f>
        <v>53162169S</v>
      </c>
    </row>
    <row r="412" spans="1:4" ht="14.25">
      <c r="A412" s="16" t="str">
        <f ca="1">IFERROR(__xludf.UNSUPPORTED("""COMPUTED_VALUE"""),"Mármol López, María Isabel")</f>
        <v>Mármol López, María Isabel</v>
      </c>
      <c r="B412" s="16" t="str">
        <f ca="1">IFERROR(__xludf.UNSUPPORTED("""COMPUTED_VALUE"""),"Mármol López")</f>
        <v>Mármol López</v>
      </c>
      <c r="C412" s="16" t="str">
        <f ca="1">IFERROR(__xludf.UNSUPPORTED("""COMPUTED_VALUE"""),"María Isabel")</f>
        <v>María Isabel</v>
      </c>
      <c r="D412" s="16" t="str">
        <f ca="1">IFERROR(__xludf.UNSUPPORTED("""COMPUTED_VALUE"""),"19891446B")</f>
        <v>19891446B</v>
      </c>
    </row>
    <row r="413" spans="1:4" ht="14.25">
      <c r="A413" s="16" t="str">
        <f ca="1">IFERROR(__xludf.UNSUPPORTED("""COMPUTED_VALUE"""),"Márquez Arrico, Julia Elena")</f>
        <v>Márquez Arrico, Julia Elena</v>
      </c>
      <c r="B413" s="16" t="str">
        <f ca="1">IFERROR(__xludf.UNSUPPORTED("""COMPUTED_VALUE"""),"Márquez Arrico")</f>
        <v>Márquez Arrico</v>
      </c>
      <c r="C413" s="16" t="str">
        <f ca="1">IFERROR(__xludf.UNSUPPORTED("""COMPUTED_VALUE"""),"Julia Elena")</f>
        <v>Julia Elena</v>
      </c>
      <c r="D413" s="16" t="str">
        <f ca="1">IFERROR(__xludf.UNSUPPORTED("""COMPUTED_VALUE"""),"X8583433V")</f>
        <v>X8583433V</v>
      </c>
    </row>
    <row r="414" spans="1:4" ht="14.25">
      <c r="A414" s="16" t="str">
        <f ca="1">IFERROR(__xludf.UNSUPPORTED("""COMPUTED_VALUE"""),"Márquez Baldó, Lidia")</f>
        <v>Márquez Baldó, Lidia</v>
      </c>
      <c r="B414" s="16" t="str">
        <f ca="1">IFERROR(__xludf.UNSUPPORTED("""COMPUTED_VALUE"""),"Márquez Baldó")</f>
        <v>Márquez Baldó</v>
      </c>
      <c r="C414" s="16" t="str">
        <f ca="1">IFERROR(__xludf.UNSUPPORTED("""COMPUTED_VALUE"""),"Lidia")</f>
        <v>Lidia</v>
      </c>
      <c r="D414" s="16" t="str">
        <f ca="1">IFERROR(__xludf.UNSUPPORTED("""COMPUTED_VALUE"""),"48324338G")</f>
        <v>48324338G</v>
      </c>
    </row>
    <row r="415" spans="1:4" ht="14.25">
      <c r="A415" s="16" t="str">
        <f ca="1">IFERROR(__xludf.UNSUPPORTED("""COMPUTED_VALUE"""),"Márquez Rodríguez, Reinaldo Luis")</f>
        <v>Márquez Rodríguez, Reinaldo Luis</v>
      </c>
      <c r="B415" s="16" t="str">
        <f ca="1">IFERROR(__xludf.UNSUPPORTED("""COMPUTED_VALUE"""),"Márquez Rodríguez")</f>
        <v>Márquez Rodríguez</v>
      </c>
      <c r="C415" s="16" t="str">
        <f ca="1">IFERROR(__xludf.UNSUPPORTED("""COMPUTED_VALUE"""),"Reinaldo Luis")</f>
        <v>Reinaldo Luis</v>
      </c>
      <c r="D415" s="16" t="str">
        <f ca="1">IFERROR(__xludf.UNSUPPORTED("""COMPUTED_VALUE"""),"Y2098764M")</f>
        <v>Y2098764M</v>
      </c>
    </row>
    <row r="416" spans="1:4" ht="14.25">
      <c r="A416" s="16" t="str">
        <f ca="1">IFERROR(__xludf.UNSUPPORTED("""COMPUTED_VALUE"""),"Marquina Rodríguez, Maria Isabel")</f>
        <v>Marquina Rodríguez, Maria Isabel</v>
      </c>
      <c r="B416" s="16" t="str">
        <f ca="1">IFERROR(__xludf.UNSUPPORTED("""COMPUTED_VALUE"""),"Marquina Rodríguez")</f>
        <v>Marquina Rodríguez</v>
      </c>
      <c r="C416" s="16" t="str">
        <f ca="1">IFERROR(__xludf.UNSUPPORTED("""COMPUTED_VALUE"""),"Maria Isabel")</f>
        <v>Maria Isabel</v>
      </c>
      <c r="D416" s="16" t="str">
        <f ca="1">IFERROR(__xludf.UNSUPPORTED("""COMPUTED_VALUE"""),"47327606T")</f>
        <v>47327606T</v>
      </c>
    </row>
    <row r="417" spans="1:4" ht="14.25">
      <c r="A417" s="16" t="str">
        <f ca="1">IFERROR(__xludf.UNSUPPORTED("""COMPUTED_VALUE"""),"Marredo Rosa, Jorge")</f>
        <v>Marredo Rosa, Jorge</v>
      </c>
      <c r="B417" s="16" t="str">
        <f ca="1">IFERROR(__xludf.UNSUPPORTED("""COMPUTED_VALUE"""),"Marredo Rosa")</f>
        <v>Marredo Rosa</v>
      </c>
      <c r="C417" s="16" t="str">
        <f ca="1">IFERROR(__xludf.UNSUPPORTED("""COMPUTED_VALUE"""),"Jorge")</f>
        <v>Jorge</v>
      </c>
      <c r="D417" s="16" t="str">
        <f ca="1">IFERROR(__xludf.UNSUPPORTED("""COMPUTED_VALUE"""),"08822386T")</f>
        <v>08822386T</v>
      </c>
    </row>
    <row r="418" spans="1:4" ht="14.25">
      <c r="A418" s="16" t="str">
        <f ca="1">IFERROR(__xludf.UNSUPPORTED("""COMPUTED_VALUE"""),"Martí Noguera, Juan José")</f>
        <v>Martí Noguera, Juan José</v>
      </c>
      <c r="B418" s="16" t="str">
        <f ca="1">IFERROR(__xludf.UNSUPPORTED("""COMPUTED_VALUE"""),"Martí Noguera")</f>
        <v>Martí Noguera</v>
      </c>
      <c r="C418" s="16" t="str">
        <f ca="1">IFERROR(__xludf.UNSUPPORTED("""COMPUTED_VALUE"""),"Juan José")</f>
        <v>Juan José</v>
      </c>
      <c r="D418" s="16" t="str">
        <f ca="1">IFERROR(__xludf.UNSUPPORTED("""COMPUTED_VALUE"""),"78213033S")</f>
        <v>78213033S</v>
      </c>
    </row>
    <row r="419" spans="1:4" ht="14.25">
      <c r="A419" s="16" t="str">
        <f ca="1">IFERROR(__xludf.UNSUPPORTED("""COMPUTED_VALUE"""),"Martín Molina, Franciso")</f>
        <v>Martín Molina, Franciso</v>
      </c>
      <c r="B419" s="16" t="str">
        <f ca="1">IFERROR(__xludf.UNSUPPORTED("""COMPUTED_VALUE"""),"Martín Molina")</f>
        <v>Martín Molina</v>
      </c>
      <c r="C419" s="16" t="str">
        <f ca="1">IFERROR(__xludf.UNSUPPORTED("""COMPUTED_VALUE"""),"Franciso")</f>
        <v>Franciso</v>
      </c>
      <c r="D419" s="16" t="str">
        <f ca="1">IFERROR(__xludf.UNSUPPORTED("""COMPUTED_VALUE"""),"24215327F")</f>
        <v>24215327F</v>
      </c>
    </row>
    <row r="420" spans="1:4" ht="14.25">
      <c r="A420" s="16" t="str">
        <f ca="1">IFERROR(__xludf.UNSUPPORTED("""COMPUTED_VALUE"""),"Martín Rodríguez, Deborah")</f>
        <v>Martín Rodríguez, Deborah</v>
      </c>
      <c r="B420" s="16" t="str">
        <f ca="1">IFERROR(__xludf.UNSUPPORTED("""COMPUTED_VALUE"""),"Martín Rodríguez")</f>
        <v>Martín Rodríguez</v>
      </c>
      <c r="C420" s="16" t="str">
        <f ca="1">IFERROR(__xludf.UNSUPPORTED("""COMPUTED_VALUE"""),"Deborah")</f>
        <v>Deborah</v>
      </c>
      <c r="D420" s="16" t="str">
        <f ca="1">IFERROR(__xludf.UNSUPPORTED("""COMPUTED_VALUE"""),"50852698C")</f>
        <v>50852698C</v>
      </c>
    </row>
    <row r="421" spans="1:4" ht="14.25">
      <c r="A421" s="16" t="str">
        <f ca="1">IFERROR(__xludf.UNSUPPORTED("""COMPUTED_VALUE"""),"Martín Sanz, Noemy")</f>
        <v>Martín Sanz, Noemy</v>
      </c>
      <c r="B421" s="16" t="str">
        <f ca="1">IFERROR(__xludf.UNSUPPORTED("""COMPUTED_VALUE"""),"Martín Sanz")</f>
        <v>Martín Sanz</v>
      </c>
      <c r="C421" s="16" t="str">
        <f ca="1">IFERROR(__xludf.UNSUPPORTED("""COMPUTED_VALUE"""),"Noemy")</f>
        <v>Noemy</v>
      </c>
      <c r="D421" s="16" t="str">
        <f ca="1">IFERROR(__xludf.UNSUPPORTED("""COMPUTED_VALUE"""),"05208296S")</f>
        <v>05208296S</v>
      </c>
    </row>
    <row r="422" spans="1:4" ht="14.25">
      <c r="A422" s="16" t="str">
        <f ca="1">IFERROR(__xludf.UNSUPPORTED("""COMPUTED_VALUE"""),"Martínez Bacaicoa, Itxaso")</f>
        <v>Martínez Bacaicoa, Itxaso</v>
      </c>
      <c r="B422" s="16" t="str">
        <f ca="1">IFERROR(__xludf.UNSUPPORTED("""COMPUTED_VALUE"""),"Martínez Bacaicoa")</f>
        <v>Martínez Bacaicoa</v>
      </c>
      <c r="C422" s="16" t="str">
        <f ca="1">IFERROR(__xludf.UNSUPPORTED("""COMPUTED_VALUE"""),"Itxaso")</f>
        <v>Itxaso</v>
      </c>
      <c r="D422" s="16" t="str">
        <f ca="1">IFERROR(__xludf.UNSUPPORTED("""COMPUTED_VALUE"""),"16638059C")</f>
        <v>16638059C</v>
      </c>
    </row>
    <row r="423" spans="1:4" ht="14.25">
      <c r="A423" s="16" t="str">
        <f ca="1">IFERROR(__xludf.UNSUPPORTED("""COMPUTED_VALUE"""),"Martínez Castro, María Isabel")</f>
        <v>Martínez Castro, María Isabel</v>
      </c>
      <c r="B423" s="16" t="str">
        <f ca="1">IFERROR(__xludf.UNSUPPORTED("""COMPUTED_VALUE"""),"Martínez Castro")</f>
        <v>Martínez Castro</v>
      </c>
      <c r="C423" s="16" t="str">
        <f ca="1">IFERROR(__xludf.UNSUPPORTED("""COMPUTED_VALUE"""),"María Isabel")</f>
        <v>María Isabel</v>
      </c>
      <c r="D423" s="16" t="str">
        <f ca="1">IFERROR(__xludf.UNSUPPORTED("""COMPUTED_VALUE"""),"51936437E")</f>
        <v>51936437E</v>
      </c>
    </row>
    <row r="424" spans="1:4" ht="14.25">
      <c r="A424" s="16" t="str">
        <f ca="1">IFERROR(__xludf.UNSUPPORTED("""COMPUTED_VALUE"""),"Martínez González, Cristina")</f>
        <v>Martínez González, Cristina</v>
      </c>
      <c r="B424" s="16" t="str">
        <f ca="1">IFERROR(__xludf.UNSUPPORTED("""COMPUTED_VALUE"""),"Martínez González")</f>
        <v>Martínez González</v>
      </c>
      <c r="C424" s="16" t="str">
        <f ca="1">IFERROR(__xludf.UNSUPPORTED("""COMPUTED_VALUE"""),"Cristina")</f>
        <v>Cristina</v>
      </c>
      <c r="D424" s="16" t="str">
        <f ca="1">IFERROR(__xludf.UNSUPPORTED("""COMPUTED_VALUE"""),"47089275H")</f>
        <v>47089275H</v>
      </c>
    </row>
    <row r="425" spans="1:4" ht="14.25">
      <c r="A425" s="16" t="str">
        <f ca="1">IFERROR(__xludf.UNSUPPORTED("""COMPUTED_VALUE"""),"Martínez López , Paula")</f>
        <v>Martínez López , Paula</v>
      </c>
      <c r="B425" s="16" t="str">
        <f ca="1">IFERROR(__xludf.UNSUPPORTED("""COMPUTED_VALUE"""),"Martínez López ")</f>
        <v xml:space="preserve">Martínez López </v>
      </c>
      <c r="C425" s="16" t="str">
        <f ca="1">IFERROR(__xludf.UNSUPPORTED("""COMPUTED_VALUE"""),"Paula")</f>
        <v>Paula</v>
      </c>
      <c r="D425" s="16" t="str">
        <f ca="1">IFERROR(__xludf.UNSUPPORTED("""COMPUTED_VALUE"""),"48354415C")</f>
        <v>48354415C</v>
      </c>
    </row>
    <row r="426" spans="1:4" ht="14.25">
      <c r="A426" s="16" t="str">
        <f ca="1">IFERROR(__xludf.UNSUPPORTED("""COMPUTED_VALUE"""),"Martínez Martínez, Concepción")</f>
        <v>Martínez Martínez, Concepción</v>
      </c>
      <c r="B426" s="16" t="str">
        <f ca="1">IFERROR(__xludf.UNSUPPORTED("""COMPUTED_VALUE"""),"Martínez Martínez")</f>
        <v>Martínez Martínez</v>
      </c>
      <c r="C426" s="16" t="str">
        <f ca="1">IFERROR(__xludf.UNSUPPORTED("""COMPUTED_VALUE"""),"Concepción")</f>
        <v>Concepción</v>
      </c>
      <c r="D426" s="16" t="str">
        <f ca="1">IFERROR(__xludf.UNSUPPORTED("""COMPUTED_VALUE"""),"52774760H")</f>
        <v>52774760H</v>
      </c>
    </row>
    <row r="427" spans="1:4" ht="14.25">
      <c r="A427" s="16" t="str">
        <f ca="1">IFERROR(__xludf.UNSUPPORTED("""COMPUTED_VALUE"""),"Martínez Mendoza, Gloria Esperanza")</f>
        <v>Martínez Mendoza, Gloria Esperanza</v>
      </c>
      <c r="B427" s="16" t="str">
        <f ca="1">IFERROR(__xludf.UNSUPPORTED("""COMPUTED_VALUE"""),"Martínez Mendoza")</f>
        <v>Martínez Mendoza</v>
      </c>
      <c r="C427" s="16" t="str">
        <f ca="1">IFERROR(__xludf.UNSUPPORTED("""COMPUTED_VALUE"""),"Gloria Esperanza")</f>
        <v>Gloria Esperanza</v>
      </c>
      <c r="D427" s="16" t="str">
        <f ca="1">IFERROR(__xludf.UNSUPPORTED("""COMPUTED_VALUE"""),"24471476M")</f>
        <v>24471476M</v>
      </c>
    </row>
    <row r="428" spans="1:4" ht="14.25">
      <c r="A428" s="16" t="str">
        <f ca="1">IFERROR(__xludf.UNSUPPORTED("""COMPUTED_VALUE"""),"Martínez Mir, Raúl")</f>
        <v>Martínez Mir, Raúl</v>
      </c>
      <c r="B428" s="16" t="str">
        <f ca="1">IFERROR(__xludf.UNSUPPORTED("""COMPUTED_VALUE"""),"Martínez Mir")</f>
        <v>Martínez Mir</v>
      </c>
      <c r="C428" s="16" t="str">
        <f ca="1">IFERROR(__xludf.UNSUPPORTED("""COMPUTED_VALUE"""),"Raúl")</f>
        <v>Raúl</v>
      </c>
      <c r="D428" s="16" t="str">
        <f ca="1">IFERROR(__xludf.UNSUPPORTED("""COMPUTED_VALUE"""),"44792660E")</f>
        <v>44792660E</v>
      </c>
    </row>
    <row r="429" spans="1:4" ht="14.25">
      <c r="A429" s="16" t="str">
        <f ca="1">IFERROR(__xludf.UNSUPPORTED("""COMPUTED_VALUE"""),"Martínez Montañés, Fernando")</f>
        <v>Martínez Montañés, Fernando</v>
      </c>
      <c r="B429" s="16" t="str">
        <f ca="1">IFERROR(__xludf.UNSUPPORTED("""COMPUTED_VALUE"""),"Martínez Montañés")</f>
        <v>Martínez Montañés</v>
      </c>
      <c r="C429" s="16" t="str">
        <f ca="1">IFERROR(__xludf.UNSUPPORTED("""COMPUTED_VALUE"""),"Fernando")</f>
        <v>Fernando</v>
      </c>
      <c r="D429" s="16" t="str">
        <f ca="1">IFERROR(__xludf.UNSUPPORTED("""COMPUTED_VALUE"""),"44863903B")</f>
        <v>44863903B</v>
      </c>
    </row>
    <row r="430" spans="1:4" ht="14.25">
      <c r="A430" s="16" t="str">
        <f ca="1">IFERROR(__xludf.UNSUPPORTED("""COMPUTED_VALUE"""),"Martínez Nicolás, Israel")</f>
        <v>Martínez Nicolás, Israel</v>
      </c>
      <c r="B430" s="16" t="str">
        <f ca="1">IFERROR(__xludf.UNSUPPORTED("""COMPUTED_VALUE"""),"Martínez Nicolás")</f>
        <v>Martínez Nicolás</v>
      </c>
      <c r="C430" s="16" t="str">
        <f ca="1">IFERROR(__xludf.UNSUPPORTED("""COMPUTED_VALUE"""),"Israel")</f>
        <v>Israel</v>
      </c>
      <c r="D430" s="16" t="str">
        <f ca="1">IFERROR(__xludf.UNSUPPORTED("""COMPUTED_VALUE"""),"71464378C")</f>
        <v>71464378C</v>
      </c>
    </row>
    <row r="431" spans="1:4" ht="14.25">
      <c r="A431" s="16" t="str">
        <f ca="1">IFERROR(__xludf.UNSUPPORTED("""COMPUTED_VALUE"""),"Martínez Pérez, Aleix")</f>
        <v>Martínez Pérez, Aleix</v>
      </c>
      <c r="B431" s="16" t="str">
        <f ca="1">IFERROR(__xludf.UNSUPPORTED("""COMPUTED_VALUE"""),"Martínez Pérez")</f>
        <v>Martínez Pérez</v>
      </c>
      <c r="C431" s="16" t="str">
        <f ca="1">IFERROR(__xludf.UNSUPPORTED("""COMPUTED_VALUE"""),"Aleix")</f>
        <v>Aleix</v>
      </c>
      <c r="D431" s="16" t="str">
        <f ca="1">IFERROR(__xludf.UNSUPPORTED("""COMPUTED_VALUE"""),"20450710F")</f>
        <v>20450710F</v>
      </c>
    </row>
    <row r="432" spans="1:4" ht="14.25">
      <c r="A432" s="16" t="str">
        <f ca="1">IFERROR(__xludf.UNSUPPORTED("""COMPUTED_VALUE"""),"Martínez Sierra, Ricel")</f>
        <v>Martínez Sierra, Ricel</v>
      </c>
      <c r="B432" s="16" t="str">
        <f ca="1">IFERROR(__xludf.UNSUPPORTED("""COMPUTED_VALUE"""),"Martínez Sierra")</f>
        <v>Martínez Sierra</v>
      </c>
      <c r="C432" s="16" t="str">
        <f ca="1">IFERROR(__xludf.UNSUPPORTED("""COMPUTED_VALUE"""),"Ricel")</f>
        <v>Ricel</v>
      </c>
      <c r="D432" s="16" t="str">
        <f ca="1">IFERROR(__xludf.UNSUPPORTED("""COMPUTED_VALUE"""),"42321568G")</f>
        <v>42321568G</v>
      </c>
    </row>
    <row r="433" spans="1:4" ht="14.25">
      <c r="A433" s="16" t="str">
        <f ca="1">IFERROR(__xludf.UNSUPPORTED("""COMPUTED_VALUE"""),"Martínez Varea, Alicia María")</f>
        <v>Martínez Varea, Alicia María</v>
      </c>
      <c r="B433" s="16" t="str">
        <f ca="1">IFERROR(__xludf.UNSUPPORTED("""COMPUTED_VALUE"""),"Martínez Varea")</f>
        <v>Martínez Varea</v>
      </c>
      <c r="C433" s="16" t="str">
        <f ca="1">IFERROR(__xludf.UNSUPPORTED("""COMPUTED_VALUE"""),"Alicia María")</f>
        <v>Alicia María</v>
      </c>
      <c r="D433" s="16" t="str">
        <f ca="1">IFERROR(__xludf.UNSUPPORTED("""COMPUTED_VALUE"""),"33563751N")</f>
        <v>33563751N</v>
      </c>
    </row>
    <row r="434" spans="1:4" ht="14.25">
      <c r="A434" s="16" t="str">
        <f ca="1">IFERROR(__xludf.UNSUPPORTED("""COMPUTED_VALUE"""),"Martins Pestana, Feliberto")</f>
        <v>Martins Pestana, Feliberto</v>
      </c>
      <c r="B434" s="16" t="str">
        <f ca="1">IFERROR(__xludf.UNSUPPORTED("""COMPUTED_VALUE"""),"Martins Pestana")</f>
        <v>Martins Pestana</v>
      </c>
      <c r="C434" s="16" t="str">
        <f ca="1">IFERROR(__xludf.UNSUPPORTED("""COMPUTED_VALUE"""),"Feliberto")</f>
        <v>Feliberto</v>
      </c>
      <c r="D434" s="16">
        <f ca="1">IFERROR(__xludf.UNSUPPORTED("""COMPUTED_VALUE"""),7994076)</f>
        <v>7994076</v>
      </c>
    </row>
    <row r="435" spans="1:4" ht="14.25">
      <c r="A435" s="16" t="str">
        <f ca="1">IFERROR(__xludf.UNSUPPORTED("""COMPUTED_VALUE"""),"Marzal Torregrosa, María del Mar")</f>
        <v>Marzal Torregrosa, María del Mar</v>
      </c>
      <c r="B435" s="16" t="str">
        <f ca="1">IFERROR(__xludf.UNSUPPORTED("""COMPUTED_VALUE"""),"Marzal Torregrosa")</f>
        <v>Marzal Torregrosa</v>
      </c>
      <c r="C435" s="16" t="str">
        <f ca="1">IFERROR(__xludf.UNSUPPORTED("""COMPUTED_VALUE"""),"María del Mar")</f>
        <v>María del Mar</v>
      </c>
      <c r="D435" s="16" t="str">
        <f ca="1">IFERROR(__xludf.UNSUPPORTED("""COMPUTED_VALUE"""),"44882479A")</f>
        <v>44882479A</v>
      </c>
    </row>
    <row r="436" spans="1:4" ht="14.25">
      <c r="A436" s="16" t="str">
        <f ca="1">IFERROR(__xludf.UNSUPPORTED("""COMPUTED_VALUE"""),"Mateo Urdiales, Alberto")</f>
        <v>Mateo Urdiales, Alberto</v>
      </c>
      <c r="B436" s="16" t="str">
        <f ca="1">IFERROR(__xludf.UNSUPPORTED("""COMPUTED_VALUE"""),"Mateo Urdiales")</f>
        <v>Mateo Urdiales</v>
      </c>
      <c r="C436" s="16" t="str">
        <f ca="1">IFERROR(__xludf.UNSUPPORTED("""COMPUTED_VALUE"""),"Alberto")</f>
        <v>Alberto</v>
      </c>
      <c r="D436" s="16" t="str">
        <f ca="1">IFERROR(__xludf.UNSUPPORTED("""COMPUTED_VALUE"""),"12413484Q")</f>
        <v>12413484Q</v>
      </c>
    </row>
    <row r="437" spans="1:4" ht="14.25">
      <c r="A437" s="16" t="str">
        <f ca="1">IFERROR(__xludf.UNSUPPORTED("""COMPUTED_VALUE"""),"Mateu Mollá, Joaquín")</f>
        <v>Mateu Mollá, Joaquín</v>
      </c>
      <c r="B437" s="16" t="str">
        <f ca="1">IFERROR(__xludf.UNSUPPORTED("""COMPUTED_VALUE"""),"Mateu Mollá")</f>
        <v>Mateu Mollá</v>
      </c>
      <c r="C437" s="16" t="str">
        <f ca="1">IFERROR(__xludf.UNSUPPORTED("""COMPUTED_VALUE"""),"Joaquín")</f>
        <v>Joaquín</v>
      </c>
      <c r="D437" s="16" t="str">
        <f ca="1">IFERROR(__xludf.UNSUPPORTED("""COMPUTED_VALUE"""),"20449695G")</f>
        <v>20449695G</v>
      </c>
    </row>
    <row r="438" spans="1:4" ht="14.25">
      <c r="A438" s="16" t="str">
        <f ca="1">IFERROR(__xludf.UNSUPPORTED("""COMPUTED_VALUE"""),"Matoses Marco, Vicente")</f>
        <v>Matoses Marco, Vicente</v>
      </c>
      <c r="B438" s="16" t="str">
        <f ca="1">IFERROR(__xludf.UNSUPPORTED("""COMPUTED_VALUE"""),"Matoses Marco")</f>
        <v>Matoses Marco</v>
      </c>
      <c r="C438" s="16" t="str">
        <f ca="1">IFERROR(__xludf.UNSUPPORTED("""COMPUTED_VALUE"""),"Vicente")</f>
        <v>Vicente</v>
      </c>
      <c r="D438" s="16" t="str">
        <f ca="1">IFERROR(__xludf.UNSUPPORTED("""COMPUTED_VALUE"""),"52732468T")</f>
        <v>52732468T</v>
      </c>
    </row>
    <row r="439" spans="1:4" ht="14.25">
      <c r="A439" s="16" t="str">
        <f ca="1">IFERROR(__xludf.UNSUPPORTED("""COMPUTED_VALUE"""),"Mayorga Sierra, Erika Giovanna")</f>
        <v>Mayorga Sierra, Erika Giovanna</v>
      </c>
      <c r="B439" s="16" t="str">
        <f ca="1">IFERROR(__xludf.UNSUPPORTED("""COMPUTED_VALUE"""),"Mayorga Sierra")</f>
        <v>Mayorga Sierra</v>
      </c>
      <c r="C439" s="16" t="str">
        <f ca="1">IFERROR(__xludf.UNSUPPORTED("""COMPUTED_VALUE"""),"Erika Giovanna")</f>
        <v>Erika Giovanna</v>
      </c>
      <c r="D439" s="16">
        <f ca="1">IFERROR(__xludf.UNSUPPORTED("""COMPUTED_VALUE"""),40045987)</f>
        <v>40045987</v>
      </c>
    </row>
    <row r="440" spans="1:4" ht="14.25">
      <c r="A440" s="16" t="str">
        <f ca="1">IFERROR(__xludf.UNSUPPORTED("""COMPUTED_VALUE"""),"Medina Salas, Daniel")</f>
        <v>Medina Salas, Daniel</v>
      </c>
      <c r="B440" s="16" t="str">
        <f ca="1">IFERROR(__xludf.UNSUPPORTED("""COMPUTED_VALUE"""),"Medina Salas")</f>
        <v>Medina Salas</v>
      </c>
      <c r="C440" s="16" t="str">
        <f ca="1">IFERROR(__xludf.UNSUPPORTED("""COMPUTED_VALUE"""),"Daniel")</f>
        <v>Daniel</v>
      </c>
      <c r="D440" s="16" t="str">
        <f ca="1">IFERROR(__xludf.UNSUPPORTED("""COMPUTED_VALUE"""),"P09155920")</f>
        <v>P09155920</v>
      </c>
    </row>
    <row r="441" spans="1:4" ht="14.25">
      <c r="A441" s="16" t="str">
        <f ca="1">IFERROR(__xludf.UNSUPPORTED("""COMPUTED_VALUE"""),"Mena Moreno, Teresa")</f>
        <v>Mena Moreno, Teresa</v>
      </c>
      <c r="B441" s="16" t="str">
        <f ca="1">IFERROR(__xludf.UNSUPPORTED("""COMPUTED_VALUE"""),"Mena Moreno")</f>
        <v>Mena Moreno</v>
      </c>
      <c r="C441" s="16" t="str">
        <f ca="1">IFERROR(__xludf.UNSUPPORTED("""COMPUTED_VALUE"""),"Teresa")</f>
        <v>Teresa</v>
      </c>
      <c r="D441" s="16" t="str">
        <f ca="1">IFERROR(__xludf.UNSUPPORTED("""COMPUTED_VALUE"""),"74521491L")</f>
        <v>74521491L</v>
      </c>
    </row>
    <row r="442" spans="1:4" ht="14.25">
      <c r="A442" s="16" t="str">
        <f ca="1">IFERROR(__xludf.UNSUPPORTED("""COMPUTED_VALUE"""),"Mena Romero, Adriana")</f>
        <v>Mena Romero, Adriana</v>
      </c>
      <c r="B442" s="16" t="str">
        <f ca="1">IFERROR(__xludf.UNSUPPORTED("""COMPUTED_VALUE"""),"Mena Romero")</f>
        <v>Mena Romero</v>
      </c>
      <c r="C442" s="16" t="str">
        <f ca="1">IFERROR(__xludf.UNSUPPORTED("""COMPUTED_VALUE"""),"Adriana")</f>
        <v>Adriana</v>
      </c>
      <c r="D442" s="16" t="str">
        <f ca="1">IFERROR(__xludf.UNSUPPORTED("""COMPUTED_VALUE"""),"29208140A")</f>
        <v>29208140A</v>
      </c>
    </row>
    <row r="443" spans="1:4" ht="14.25">
      <c r="A443" s="16" t="str">
        <f ca="1">IFERROR(__xludf.UNSUPPORTED("""COMPUTED_VALUE"""),"Méndez Belinchón, Ester")</f>
        <v>Méndez Belinchón, Ester</v>
      </c>
      <c r="B443" s="16" t="str">
        <f ca="1">IFERROR(__xludf.UNSUPPORTED("""COMPUTED_VALUE"""),"Méndez Belinchón")</f>
        <v>Méndez Belinchón</v>
      </c>
      <c r="C443" s="16" t="str">
        <f ca="1">IFERROR(__xludf.UNSUPPORTED("""COMPUTED_VALUE"""),"Ester")</f>
        <v>Ester</v>
      </c>
      <c r="D443" s="16" t="str">
        <f ca="1">IFERROR(__xludf.UNSUPPORTED("""COMPUTED_VALUE"""),"53257984N")</f>
        <v>53257984N</v>
      </c>
    </row>
    <row r="444" spans="1:4" ht="14.25">
      <c r="A444" s="16" t="str">
        <f ca="1">IFERROR(__xludf.UNSUPPORTED("""COMPUTED_VALUE"""),"Méndez Navarro, Luz Marina")</f>
        <v>Méndez Navarro, Luz Marina</v>
      </c>
      <c r="B444" s="16" t="str">
        <f ca="1">IFERROR(__xludf.UNSUPPORTED("""COMPUTED_VALUE"""),"Méndez Navarro")</f>
        <v>Méndez Navarro</v>
      </c>
      <c r="C444" s="16" t="str">
        <f ca="1">IFERROR(__xludf.UNSUPPORTED("""COMPUTED_VALUE"""),"Luz Marina")</f>
        <v>Luz Marina</v>
      </c>
      <c r="D444" s="16" t="str">
        <f ca="1">IFERROR(__xludf.UNSUPPORTED("""COMPUTED_VALUE"""),"52771538Q")</f>
        <v>52771538Q</v>
      </c>
    </row>
    <row r="445" spans="1:4" ht="14.25">
      <c r="A445" s="16" t="str">
        <f ca="1">IFERROR(__xludf.UNSUPPORTED("""COMPUTED_VALUE"""),"Méndez Rosales, Mirna")</f>
        <v>Méndez Rosales, Mirna</v>
      </c>
      <c r="B445" s="16" t="str">
        <f ca="1">IFERROR(__xludf.UNSUPPORTED("""COMPUTED_VALUE"""),"Méndez Rosales")</f>
        <v>Méndez Rosales</v>
      </c>
      <c r="C445" s="16" t="str">
        <f ca="1">IFERROR(__xludf.UNSUPPORTED("""COMPUTED_VALUE"""),"Mirna")</f>
        <v>Mirna</v>
      </c>
      <c r="D445" s="16">
        <f ca="1">IFERROR(__xludf.UNSUPPORTED("""COMPUTED_VALUE"""),93174573)</f>
        <v>93174573</v>
      </c>
    </row>
    <row r="446" spans="1:4" ht="14.25">
      <c r="A446" s="16" t="str">
        <f ca="1">IFERROR(__xludf.UNSUPPORTED("""COMPUTED_VALUE"""),"Mercader Rovira, Alberto")</f>
        <v>Mercader Rovira, Alberto</v>
      </c>
      <c r="B446" s="16" t="str">
        <f ca="1">IFERROR(__xludf.UNSUPPORTED("""COMPUTED_VALUE"""),"Mercader Rovira")</f>
        <v>Mercader Rovira</v>
      </c>
      <c r="C446" s="16" t="str">
        <f ca="1">IFERROR(__xludf.UNSUPPORTED("""COMPUTED_VALUE"""),"Alberto")</f>
        <v>Alberto</v>
      </c>
      <c r="D446" s="16" t="str">
        <f ca="1">IFERROR(__xludf.UNSUPPORTED("""COMPUTED_VALUE"""),"52420518E")</f>
        <v>52420518E</v>
      </c>
    </row>
    <row r="447" spans="1:4" ht="14.25">
      <c r="A447" s="16" t="str">
        <f ca="1">IFERROR(__xludf.UNSUPPORTED("""COMPUTED_VALUE"""),"Merhi Auar, Richard")</f>
        <v>Merhi Auar, Richard</v>
      </c>
      <c r="B447" s="16" t="str">
        <f ca="1">IFERROR(__xludf.UNSUPPORTED("""COMPUTED_VALUE"""),"Merhi Auar")</f>
        <v>Merhi Auar</v>
      </c>
      <c r="C447" s="16" t="str">
        <f ca="1">IFERROR(__xludf.UNSUPPORTED("""COMPUTED_VALUE"""),"Richard")</f>
        <v>Richard</v>
      </c>
      <c r="D447" s="16" t="str">
        <f ca="1">IFERROR(__xludf.UNSUPPORTED("""COMPUTED_VALUE"""),"20248127P")</f>
        <v>20248127P</v>
      </c>
    </row>
    <row r="448" spans="1:4" ht="14.25">
      <c r="A448" s="16" t="str">
        <f ca="1">IFERROR(__xludf.UNSUPPORTED("""COMPUTED_VALUE"""),"Merino Lorente, Susana")</f>
        <v>Merino Lorente, Susana</v>
      </c>
      <c r="B448" s="16" t="str">
        <f ca="1">IFERROR(__xludf.UNSUPPORTED("""COMPUTED_VALUE"""),"Merino Lorente")</f>
        <v>Merino Lorente</v>
      </c>
      <c r="C448" s="16" t="str">
        <f ca="1">IFERROR(__xludf.UNSUPPORTED("""COMPUTED_VALUE"""),"Susana")</f>
        <v>Susana</v>
      </c>
      <c r="D448" s="16" t="str">
        <f ca="1">IFERROR(__xludf.UNSUPPORTED("""COMPUTED_VALUE"""),"27340396C")</f>
        <v>27340396C</v>
      </c>
    </row>
    <row r="449" spans="1:4" ht="14.25">
      <c r="A449" s="16" t="str">
        <f ca="1">IFERROR(__xludf.UNSUPPORTED("""COMPUTED_VALUE"""),"Merino Mari, Mara")</f>
        <v>Merino Mari, Mara</v>
      </c>
      <c r="B449" s="16" t="str">
        <f ca="1">IFERROR(__xludf.UNSUPPORTED("""COMPUTED_VALUE"""),"Merino Mari")</f>
        <v>Merino Mari</v>
      </c>
      <c r="C449" s="16" t="str">
        <f ca="1">IFERROR(__xludf.UNSUPPORTED("""COMPUTED_VALUE"""),"Mara")</f>
        <v>Mara</v>
      </c>
      <c r="D449" s="16" t="str">
        <f ca="1">IFERROR(__xludf.UNSUPPORTED("""COMPUTED_VALUE"""),"52646800F")</f>
        <v>52646800F</v>
      </c>
    </row>
    <row r="450" spans="1:4" ht="14.25">
      <c r="A450" s="16" t="str">
        <f ca="1">IFERROR(__xludf.UNSUPPORTED("""COMPUTED_VALUE"""),"Mesas Fernández, Javier")</f>
        <v>Mesas Fernández, Javier</v>
      </c>
      <c r="B450" s="16" t="str">
        <f ca="1">IFERROR(__xludf.UNSUPPORTED("""COMPUTED_VALUE"""),"Mesas Fernández")</f>
        <v>Mesas Fernández</v>
      </c>
      <c r="C450" s="16" t="str">
        <f ca="1">IFERROR(__xludf.UNSUPPORTED("""COMPUTED_VALUE"""),"Javier")</f>
        <v>Javier</v>
      </c>
      <c r="D450" s="16" t="str">
        <f ca="1">IFERROR(__xludf.UNSUPPORTED("""COMPUTED_VALUE"""),"46947052G")</f>
        <v>46947052G</v>
      </c>
    </row>
    <row r="451" spans="1:4" ht="14.25">
      <c r="A451" s="16" t="str">
        <f ca="1">IFERROR(__xludf.UNSUPPORTED("""COMPUTED_VALUE"""),"Mestre Bach, Gemma")</f>
        <v>Mestre Bach, Gemma</v>
      </c>
      <c r="B451" s="16" t="str">
        <f ca="1">IFERROR(__xludf.UNSUPPORTED("""COMPUTED_VALUE"""),"Mestre Bach")</f>
        <v>Mestre Bach</v>
      </c>
      <c r="C451" s="16" t="str">
        <f ca="1">IFERROR(__xludf.UNSUPPORTED("""COMPUTED_VALUE"""),"Gemma")</f>
        <v>Gemma</v>
      </c>
      <c r="D451" s="16" t="str">
        <f ca="1">IFERROR(__xludf.UNSUPPORTED("""COMPUTED_VALUE"""),"47889973V")</f>
        <v>47889973V</v>
      </c>
    </row>
    <row r="452" spans="1:4" ht="14.25">
      <c r="A452" s="16" t="str">
        <f ca="1">IFERROR(__xludf.UNSUPPORTED("""COMPUTED_VALUE"""),"Mestre Navas, José Miguel")</f>
        <v>Mestre Navas, José Miguel</v>
      </c>
      <c r="B452" s="16" t="str">
        <f ca="1">IFERROR(__xludf.UNSUPPORTED("""COMPUTED_VALUE"""),"Mestre Navas")</f>
        <v>Mestre Navas</v>
      </c>
      <c r="C452" s="16" t="str">
        <f ca="1">IFERROR(__xludf.UNSUPPORTED("""COMPUTED_VALUE"""),"José Miguel")</f>
        <v>José Miguel</v>
      </c>
      <c r="D452" s="16" t="str">
        <f ca="1">IFERROR(__xludf.UNSUPPORTED("""COMPUTED_VALUE"""),"28706395A")</f>
        <v>28706395A</v>
      </c>
    </row>
    <row r="453" spans="1:4" ht="14.25">
      <c r="A453" s="16" t="str">
        <f ca="1">IFERROR(__xludf.UNSUPPORTED("""COMPUTED_VALUE"""),"Mimon Rahal, Ilham")</f>
        <v>Mimon Rahal, Ilham</v>
      </c>
      <c r="B453" s="16" t="str">
        <f ca="1">IFERROR(__xludf.UNSUPPORTED("""COMPUTED_VALUE"""),"Mimon Rahal")</f>
        <v>Mimon Rahal</v>
      </c>
      <c r="C453" s="16" t="str">
        <f ca="1">IFERROR(__xludf.UNSUPPORTED("""COMPUTED_VALUE"""),"Ilham")</f>
        <v>Ilham</v>
      </c>
      <c r="D453" s="16" t="str">
        <f ca="1">IFERROR(__xludf.UNSUPPORTED("""COMPUTED_VALUE"""),"53057115W")</f>
        <v>53057115W</v>
      </c>
    </row>
    <row r="454" spans="1:4" ht="14.25">
      <c r="A454" s="16" t="str">
        <f ca="1">IFERROR(__xludf.UNSUPPORTED("""COMPUTED_VALUE"""),"Mitjans Lafont, María Teresa")</f>
        <v>Mitjans Lafont, María Teresa</v>
      </c>
      <c r="B454" s="16" t="str">
        <f ca="1">IFERROR(__xludf.UNSUPPORTED("""COMPUTED_VALUE"""),"Mitjans Lafont")</f>
        <v>Mitjans Lafont</v>
      </c>
      <c r="C454" s="16" t="str">
        <f ca="1">IFERROR(__xludf.UNSUPPORTED("""COMPUTED_VALUE"""),"María Teresa")</f>
        <v>María Teresa</v>
      </c>
      <c r="D454" s="16" t="str">
        <f ca="1">IFERROR(__xludf.UNSUPPORTED("""COMPUTED_VALUE"""),"22541105R")</f>
        <v>22541105R</v>
      </c>
    </row>
    <row r="455" spans="1:4" ht="14.25">
      <c r="A455" s="16" t="str">
        <f ca="1">IFERROR(__xludf.UNSUPPORTED("""COMPUTED_VALUE"""),"Molero Zafra, Milagros")</f>
        <v>Molero Zafra, Milagros</v>
      </c>
      <c r="B455" s="16" t="str">
        <f ca="1">IFERROR(__xludf.UNSUPPORTED("""COMPUTED_VALUE"""),"Molero Zafra")</f>
        <v>Molero Zafra</v>
      </c>
      <c r="C455" s="16" t="str">
        <f ca="1">IFERROR(__xludf.UNSUPPORTED("""COMPUTED_VALUE"""),"Milagros")</f>
        <v>Milagros</v>
      </c>
      <c r="D455" s="16" t="str">
        <f ca="1">IFERROR(__xludf.UNSUPPORTED("""COMPUTED_VALUE"""),"29172892Z")</f>
        <v>29172892Z</v>
      </c>
    </row>
    <row r="456" spans="1:4" ht="14.25">
      <c r="A456" s="16" t="str">
        <f ca="1">IFERROR(__xludf.UNSUPPORTED("""COMPUTED_VALUE"""),"Molés Amposta, Maria del Mar")</f>
        <v>Molés Amposta, Maria del Mar</v>
      </c>
      <c r="B456" s="16" t="str">
        <f ca="1">IFERROR(__xludf.UNSUPPORTED("""COMPUTED_VALUE"""),"Molés Amposta")</f>
        <v>Molés Amposta</v>
      </c>
      <c r="C456" s="16" t="str">
        <f ca="1">IFERROR(__xludf.UNSUPPORTED("""COMPUTED_VALUE"""),"Maria del Mar")</f>
        <v>Maria del Mar</v>
      </c>
      <c r="D456" s="16" t="str">
        <f ca="1">IFERROR(__xludf.UNSUPPORTED("""COMPUTED_VALUE"""),"53382057T")</f>
        <v>53382057T</v>
      </c>
    </row>
    <row r="457" spans="1:4" ht="14.25">
      <c r="A457" s="16" t="str">
        <f ca="1">IFERROR(__xludf.UNSUPPORTED("""COMPUTED_VALUE"""),"Molés López, Elisabet")</f>
        <v>Molés López, Elisabet</v>
      </c>
      <c r="B457" s="16" t="str">
        <f ca="1">IFERROR(__xludf.UNSUPPORTED("""COMPUTED_VALUE"""),"Molés López")</f>
        <v>Molés López</v>
      </c>
      <c r="C457" s="16" t="str">
        <f ca="1">IFERROR(__xludf.UNSUPPORTED("""COMPUTED_VALUE"""),"Elisabet")</f>
        <v>Elisabet</v>
      </c>
      <c r="D457" s="16" t="str">
        <f ca="1">IFERROR(__xludf.UNSUPPORTED("""COMPUTED_VALUE"""),"15472631W")</f>
        <v>15472631W</v>
      </c>
    </row>
    <row r="458" spans="1:4" ht="14.25">
      <c r="A458" s="16" t="str">
        <f ca="1">IFERROR(__xludf.UNSUPPORTED("""COMPUTED_VALUE"""),"Molina Fernández, Elvira")</f>
        <v>Molina Fernández, Elvira</v>
      </c>
      <c r="B458" s="16" t="str">
        <f ca="1">IFERROR(__xludf.UNSUPPORTED("""COMPUTED_VALUE"""),"Molina Fernández")</f>
        <v>Molina Fernández</v>
      </c>
      <c r="C458" s="16" t="str">
        <f ca="1">IFERROR(__xludf.UNSUPPORTED("""COMPUTED_VALUE"""),"Elvira")</f>
        <v>Elvira</v>
      </c>
      <c r="D458" s="16" t="str">
        <f ca="1">IFERROR(__xludf.UNSUPPORTED("""COMPUTED_VALUE"""),"80152431F")</f>
        <v>80152431F</v>
      </c>
    </row>
    <row r="459" spans="1:4" ht="14.25">
      <c r="A459" s="16" t="str">
        <f ca="1">IFERROR(__xludf.UNSUPPORTED("""COMPUTED_VALUE"""),"Molina Luque, Rafael")</f>
        <v>Molina Luque, Rafael</v>
      </c>
      <c r="B459" s="16" t="str">
        <f ca="1">IFERROR(__xludf.UNSUPPORTED("""COMPUTED_VALUE"""),"Molina Luque")</f>
        <v>Molina Luque</v>
      </c>
      <c r="C459" s="16" t="str">
        <f ca="1">IFERROR(__xludf.UNSUPPORTED("""COMPUTED_VALUE"""),"Rafael")</f>
        <v>Rafael</v>
      </c>
      <c r="D459" s="16" t="str">
        <f ca="1">IFERROR(__xludf.UNSUPPORTED("""COMPUTED_VALUE"""),"45747152Z")</f>
        <v>45747152Z</v>
      </c>
    </row>
    <row r="460" spans="1:4" ht="14.25">
      <c r="A460" s="16" t="str">
        <f ca="1">IFERROR(__xludf.UNSUPPORTED("""COMPUTED_VALUE"""),"Molina Mula, Jesús")</f>
        <v>Molina Mula, Jesús</v>
      </c>
      <c r="B460" s="16" t="str">
        <f ca="1">IFERROR(__xludf.UNSUPPORTED("""COMPUTED_VALUE"""),"Molina Mula")</f>
        <v>Molina Mula</v>
      </c>
      <c r="C460" s="16" t="str">
        <f ca="1">IFERROR(__xludf.UNSUPPORTED("""COMPUTED_VALUE"""),"Jesús")</f>
        <v>Jesús</v>
      </c>
      <c r="D460" s="16" t="str">
        <f ca="1">IFERROR(__xludf.UNSUPPORTED("""COMPUTED_VALUE"""),"23267787K")</f>
        <v>23267787K</v>
      </c>
    </row>
    <row r="461" spans="1:4" ht="14.25">
      <c r="A461" s="16" t="str">
        <f ca="1">IFERROR(__xludf.UNSUPPORTED("""COMPUTED_VALUE"""),"Molinari Conde, Guadalupe")</f>
        <v>Molinari Conde, Guadalupe</v>
      </c>
      <c r="B461" s="16" t="str">
        <f ca="1">IFERROR(__xludf.UNSUPPORTED("""COMPUTED_VALUE"""),"Molinari Conde")</f>
        <v>Molinari Conde</v>
      </c>
      <c r="C461" s="16" t="str">
        <f ca="1">IFERROR(__xludf.UNSUPPORTED("""COMPUTED_VALUE"""),"Guadalupe")</f>
        <v>Guadalupe</v>
      </c>
      <c r="D461" s="16" t="str">
        <f ca="1">IFERROR(__xludf.UNSUPPORTED("""COMPUTED_VALUE"""),"13310584R")</f>
        <v>13310584R</v>
      </c>
    </row>
    <row r="462" spans="1:4" ht="14.25">
      <c r="A462" s="16" t="str">
        <f ca="1">IFERROR(__xludf.UNSUPPORTED("""COMPUTED_VALUE"""),"Momblona Robres, Lucía")</f>
        <v>Momblona Robres, Lucía</v>
      </c>
      <c r="B462" s="16" t="str">
        <f ca="1">IFERROR(__xludf.UNSUPPORTED("""COMPUTED_VALUE"""),"Momblona Robres")</f>
        <v>Momblona Robres</v>
      </c>
      <c r="C462" s="16" t="str">
        <f ca="1">IFERROR(__xludf.UNSUPPORTED("""COMPUTED_VALUE"""),"Lucía")</f>
        <v>Lucía</v>
      </c>
      <c r="D462" s="16" t="str">
        <f ca="1">IFERROR(__xludf.UNSUPPORTED("""COMPUTED_VALUE"""),"51136468Q")</f>
        <v>51136468Q</v>
      </c>
    </row>
    <row r="463" spans="1:4" ht="14.25">
      <c r="A463" s="16" t="str">
        <f ca="1">IFERROR(__xludf.UNSUPPORTED("""COMPUTED_VALUE"""),"Mónaco Gerónimo, Estefanía")</f>
        <v>Mónaco Gerónimo, Estefanía</v>
      </c>
      <c r="B463" s="16" t="str">
        <f ca="1">IFERROR(__xludf.UNSUPPORTED("""COMPUTED_VALUE"""),"Mónaco Gerónimo")</f>
        <v>Mónaco Gerónimo</v>
      </c>
      <c r="C463" s="16" t="str">
        <f ca="1">IFERROR(__xludf.UNSUPPORTED("""COMPUTED_VALUE"""),"Estefanía")</f>
        <v>Estefanía</v>
      </c>
      <c r="D463" s="16" t="str">
        <f ca="1">IFERROR(__xludf.UNSUPPORTED("""COMPUTED_VALUE"""),"49354970Y")</f>
        <v>49354970Y</v>
      </c>
    </row>
    <row r="464" spans="1:4" ht="14.25">
      <c r="A464" s="16" t="str">
        <f ca="1">IFERROR(__xludf.UNSUPPORTED("""COMPUTED_VALUE"""),"Monfort Torres, Gonzalo")</f>
        <v>Monfort Torres, Gonzalo</v>
      </c>
      <c r="B464" s="16" t="str">
        <f ca="1">IFERROR(__xludf.UNSUPPORTED("""COMPUTED_VALUE"""),"Monfort Torres")</f>
        <v>Monfort Torres</v>
      </c>
      <c r="C464" s="16" t="str">
        <f ca="1">IFERROR(__xludf.UNSUPPORTED("""COMPUTED_VALUE"""),"Gonzalo")</f>
        <v>Gonzalo</v>
      </c>
      <c r="D464" s="16" t="str">
        <f ca="1">IFERROR(__xludf.UNSUPPORTED("""COMPUTED_VALUE"""),"53219210Q")</f>
        <v>53219210Q</v>
      </c>
    </row>
    <row r="465" spans="1:4" ht="14.25">
      <c r="A465" s="16" t="str">
        <f ca="1">IFERROR(__xludf.UNSUPPORTED("""COMPUTED_VALUE"""),"Monge Ochoa, Belén")</f>
        <v>Monge Ochoa, Belén</v>
      </c>
      <c r="B465" s="16" t="str">
        <f ca="1">IFERROR(__xludf.UNSUPPORTED("""COMPUTED_VALUE"""),"Monge Ochoa")</f>
        <v>Monge Ochoa</v>
      </c>
      <c r="C465" s="16" t="str">
        <f ca="1">IFERROR(__xludf.UNSUPPORTED("""COMPUTED_VALUE"""),"Belén")</f>
        <v>Belén</v>
      </c>
      <c r="D465" s="16" t="str">
        <f ca="1">IFERROR(__xludf.UNSUPPORTED("""COMPUTED_VALUE"""),"29136460Z")</f>
        <v>29136460Z</v>
      </c>
    </row>
    <row r="466" spans="1:4" ht="14.25">
      <c r="A466" s="16" t="str">
        <f ca="1">IFERROR(__xludf.UNSUPPORTED("""COMPUTED_VALUE"""),"Monreal Bartolomé, Alicia")</f>
        <v>Monreal Bartolomé, Alicia</v>
      </c>
      <c r="B466" s="16" t="str">
        <f ca="1">IFERROR(__xludf.UNSUPPORTED("""COMPUTED_VALUE"""),"Monreal Bartolomé")</f>
        <v>Monreal Bartolomé</v>
      </c>
      <c r="C466" s="16" t="str">
        <f ca="1">IFERROR(__xludf.UNSUPPORTED("""COMPUTED_VALUE"""),"Alicia")</f>
        <v>Alicia</v>
      </c>
      <c r="D466" s="16" t="str">
        <f ca="1">IFERROR(__xludf.UNSUPPORTED("""COMPUTED_VALUE"""),"17771329B")</f>
        <v>17771329B</v>
      </c>
    </row>
    <row r="467" spans="1:4" ht="14.25">
      <c r="A467" s="16" t="str">
        <f ca="1">IFERROR(__xludf.UNSUPPORTED("""COMPUTED_VALUE"""),"Montagud Fogués, José Vicente")</f>
        <v>Montagud Fogués, José Vicente</v>
      </c>
      <c r="B467" s="16" t="str">
        <f ca="1">IFERROR(__xludf.UNSUPPORTED("""COMPUTED_VALUE"""),"Montagud Fogués")</f>
        <v>Montagud Fogués</v>
      </c>
      <c r="C467" s="16" t="str">
        <f ca="1">IFERROR(__xludf.UNSUPPORTED("""COMPUTED_VALUE"""),"José Vicente")</f>
        <v>José Vicente</v>
      </c>
      <c r="D467" s="16" t="str">
        <f ca="1">IFERROR(__xludf.UNSUPPORTED("""COMPUTED_VALUE"""),"20447959Q")</f>
        <v>20447959Q</v>
      </c>
    </row>
    <row r="468" spans="1:4" ht="14.25">
      <c r="A468" s="16" t="str">
        <f ca="1">IFERROR(__xludf.UNSUPPORTED("""COMPUTED_VALUE"""),"Montero García, Lidia")</f>
        <v>Montero García, Lidia</v>
      </c>
      <c r="B468" s="16" t="str">
        <f ca="1">IFERROR(__xludf.UNSUPPORTED("""COMPUTED_VALUE"""),"Montero García")</f>
        <v>Montero García</v>
      </c>
      <c r="C468" s="16" t="str">
        <f ca="1">IFERROR(__xludf.UNSUPPORTED("""COMPUTED_VALUE"""),"Lidia")</f>
        <v>Lidia</v>
      </c>
      <c r="D468" s="16" t="str">
        <f ca="1">IFERROR(__xludf.UNSUPPORTED("""COMPUTED_VALUE"""),"52006090P")</f>
        <v>52006090P</v>
      </c>
    </row>
    <row r="469" spans="1:4" ht="14.25">
      <c r="A469" s="16" t="str">
        <f ca="1">IFERROR(__xludf.UNSUPPORTED("""COMPUTED_VALUE"""),"Montesinos Selfa, Jorge")</f>
        <v>Montesinos Selfa, Jorge</v>
      </c>
      <c r="B469" s="16" t="str">
        <f ca="1">IFERROR(__xludf.UNSUPPORTED("""COMPUTED_VALUE"""),"Montesinos Selfa")</f>
        <v>Montesinos Selfa</v>
      </c>
      <c r="C469" s="16" t="str">
        <f ca="1">IFERROR(__xludf.UNSUPPORTED("""COMPUTED_VALUE"""),"Jorge")</f>
        <v>Jorge</v>
      </c>
      <c r="D469" s="16" t="str">
        <f ca="1">IFERROR(__xludf.UNSUPPORTED("""COMPUTED_VALUE"""),"15418159V")</f>
        <v>15418159V</v>
      </c>
    </row>
    <row r="470" spans="1:4" ht="14.25">
      <c r="A470" s="16" t="str">
        <f ca="1">IFERROR(__xludf.UNSUPPORTED("""COMPUTED_VALUE"""),"Monzó Cataluña, Carolina")</f>
        <v>Monzó Cataluña, Carolina</v>
      </c>
      <c r="B470" s="16" t="str">
        <f ca="1">IFERROR(__xludf.UNSUPPORTED("""COMPUTED_VALUE"""),"Monzó Cataluña")</f>
        <v>Monzó Cataluña</v>
      </c>
      <c r="C470" s="16" t="str">
        <f ca="1">IFERROR(__xludf.UNSUPPORTED("""COMPUTED_VALUE"""),"Carolina")</f>
        <v>Carolina</v>
      </c>
      <c r="D470" s="16" t="str">
        <f ca="1">IFERROR(__xludf.UNSUPPORTED("""COMPUTED_VALUE"""),"53256256D")</f>
        <v>53256256D</v>
      </c>
    </row>
    <row r="471" spans="1:4" ht="14.25">
      <c r="A471" s="16" t="str">
        <f ca="1">IFERROR(__xludf.UNSUPPORTED("""COMPUTED_VALUE"""),"Mor Rodríguez, Sonia")</f>
        <v>Mor Rodríguez, Sonia</v>
      </c>
      <c r="B471" s="16" t="str">
        <f ca="1">IFERROR(__xludf.UNSUPPORTED("""COMPUTED_VALUE"""),"Mor Rodríguez")</f>
        <v>Mor Rodríguez</v>
      </c>
      <c r="C471" s="16" t="str">
        <f ca="1">IFERROR(__xludf.UNSUPPORTED("""COMPUTED_VALUE"""),"Sonia")</f>
        <v>Sonia</v>
      </c>
      <c r="D471" s="16" t="str">
        <f ca="1">IFERROR(__xludf.UNSUPPORTED("""COMPUTED_VALUE"""),"73398600B")</f>
        <v>73398600B</v>
      </c>
    </row>
    <row r="472" spans="1:4" ht="14.25">
      <c r="A472" s="16" t="str">
        <f ca="1">IFERROR(__xludf.UNSUPPORTED("""COMPUTED_VALUE"""),"Mora Martínez, Carlos")</f>
        <v>Mora Martínez, Carlos</v>
      </c>
      <c r="B472" s="16" t="str">
        <f ca="1">IFERROR(__xludf.UNSUPPORTED("""COMPUTED_VALUE"""),"Mora Martínez")</f>
        <v>Mora Martínez</v>
      </c>
      <c r="C472" s="16" t="str">
        <f ca="1">IFERROR(__xludf.UNSUPPORTED("""COMPUTED_VALUE"""),"Carlos")</f>
        <v>Carlos</v>
      </c>
      <c r="D472" s="16" t="str">
        <f ca="1">IFERROR(__xludf.UNSUPPORTED("""COMPUTED_VALUE"""),"21008226A")</f>
        <v>21008226A</v>
      </c>
    </row>
    <row r="473" spans="1:4" ht="14.25">
      <c r="A473" s="16" t="str">
        <f ca="1">IFERROR(__xludf.UNSUPPORTED("""COMPUTED_VALUE"""),"Mora Montserrat, Sergio")</f>
        <v>Mora Montserrat, Sergio</v>
      </c>
      <c r="B473" s="16" t="str">
        <f ca="1">IFERROR(__xludf.UNSUPPORTED("""COMPUTED_VALUE"""),"Mora Montserrat")</f>
        <v>Mora Montserrat</v>
      </c>
      <c r="C473" s="16" t="str">
        <f ca="1">IFERROR(__xludf.UNSUPPORTED("""COMPUTED_VALUE"""),"Sergio")</f>
        <v>Sergio</v>
      </c>
      <c r="D473" s="16" t="str">
        <f ca="1">IFERROR(__xludf.UNSUPPORTED("""COMPUTED_VALUE"""),"47161873M")</f>
        <v>47161873M</v>
      </c>
    </row>
    <row r="474" spans="1:4" ht="14.25">
      <c r="A474" s="16" t="str">
        <f ca="1">IFERROR(__xludf.UNSUPPORTED("""COMPUTED_VALUE"""),"Morales Alonso, Sara")</f>
        <v>Morales Alonso, Sara</v>
      </c>
      <c r="B474" s="16" t="str">
        <f ca="1">IFERROR(__xludf.UNSUPPORTED("""COMPUTED_VALUE"""),"Morales Alonso")</f>
        <v>Morales Alonso</v>
      </c>
      <c r="C474" s="16" t="str">
        <f ca="1">IFERROR(__xludf.UNSUPPORTED("""COMPUTED_VALUE"""),"Sara")</f>
        <v>Sara</v>
      </c>
      <c r="D474" s="16" t="str">
        <f ca="1">IFERROR(__xludf.UNSUPPORTED("""COMPUTED_VALUE"""),"51473752M")</f>
        <v>51473752M</v>
      </c>
    </row>
    <row r="475" spans="1:4" ht="14.25">
      <c r="A475" s="16" t="str">
        <f ca="1">IFERROR(__xludf.UNSUPPORTED("""COMPUTED_VALUE"""),"Morales Bejarano, Antonio")</f>
        <v>Morales Bejarano, Antonio</v>
      </c>
      <c r="B475" s="16" t="str">
        <f ca="1">IFERROR(__xludf.UNSUPPORTED("""COMPUTED_VALUE"""),"Morales Bejarano")</f>
        <v>Morales Bejarano</v>
      </c>
      <c r="C475" s="16" t="str">
        <f ca="1">IFERROR(__xludf.UNSUPPORTED("""COMPUTED_VALUE"""),"Antonio")</f>
        <v>Antonio</v>
      </c>
      <c r="D475" s="16" t="str">
        <f ca="1">IFERROR(__xludf.UNSUPPORTED("""COMPUTED_VALUE"""),"37276297J")</f>
        <v>37276297J</v>
      </c>
    </row>
    <row r="476" spans="1:4" ht="14.25">
      <c r="A476" s="16" t="str">
        <f ca="1">IFERROR(__xludf.UNSUPPORTED("""COMPUTED_VALUE"""),"Morales Gil, Isabel")</f>
        <v>Morales Gil, Isabel</v>
      </c>
      <c r="B476" s="16" t="str">
        <f ca="1">IFERROR(__xludf.UNSUPPORTED("""COMPUTED_VALUE"""),"Morales Gil")</f>
        <v>Morales Gil</v>
      </c>
      <c r="C476" s="16" t="str">
        <f ca="1">IFERROR(__xludf.UNSUPPORTED("""COMPUTED_VALUE"""),"Isabel")</f>
        <v>Isabel</v>
      </c>
      <c r="D476" s="16" t="str">
        <f ca="1">IFERROR(__xludf.UNSUPPORTED("""COMPUTED_VALUE"""),"03133042M")</f>
        <v>03133042M</v>
      </c>
    </row>
    <row r="477" spans="1:4" ht="14.25">
      <c r="A477" s="16" t="str">
        <f ca="1">IFERROR(__xludf.UNSUPPORTED("""COMPUTED_VALUE"""),"Morales Giner, Pilar")</f>
        <v>Morales Giner, Pilar</v>
      </c>
      <c r="B477" s="16" t="str">
        <f ca="1">IFERROR(__xludf.UNSUPPORTED("""COMPUTED_VALUE"""),"Morales Giner")</f>
        <v>Morales Giner</v>
      </c>
      <c r="C477" s="16" t="str">
        <f ca="1">IFERROR(__xludf.UNSUPPORTED("""COMPUTED_VALUE"""),"Pilar")</f>
        <v>Pilar</v>
      </c>
      <c r="D477" s="16" t="str">
        <f ca="1">IFERROR(__xludf.UNSUPPORTED("""COMPUTED_VALUE"""),"75484271L")</f>
        <v>75484271L</v>
      </c>
    </row>
    <row r="478" spans="1:4" ht="14.25">
      <c r="A478" s="16" t="str">
        <f ca="1">IFERROR(__xludf.UNSUPPORTED("""COMPUTED_VALUE"""),"Morcillo Parra, María Ángeles")</f>
        <v>Morcillo Parra, María Ángeles</v>
      </c>
      <c r="B478" s="16" t="str">
        <f ca="1">IFERROR(__xludf.UNSUPPORTED("""COMPUTED_VALUE"""),"Morcillo Parra")</f>
        <v>Morcillo Parra</v>
      </c>
      <c r="C478" s="16" t="str">
        <f ca="1">IFERROR(__xludf.UNSUPPORTED("""COMPUTED_VALUE"""),"María Ángeles")</f>
        <v>María Ángeles</v>
      </c>
      <c r="D478" s="16" t="str">
        <f ca="1">IFERROR(__xludf.UNSUPPORTED("""COMPUTED_VALUE"""),"70587178V")</f>
        <v>70587178V</v>
      </c>
    </row>
    <row r="479" spans="1:4" ht="14.25">
      <c r="A479" s="16" t="str">
        <f ca="1">IFERROR(__xludf.UNSUPPORTED("""COMPUTED_VALUE"""),"Morejón Rodríguez, Leydis")</f>
        <v>Morejón Rodríguez, Leydis</v>
      </c>
      <c r="B479" s="16" t="str">
        <f ca="1">IFERROR(__xludf.UNSUPPORTED("""COMPUTED_VALUE"""),"Morejón Rodríguez")</f>
        <v>Morejón Rodríguez</v>
      </c>
      <c r="C479" s="16" t="str">
        <f ca="1">IFERROR(__xludf.UNSUPPORTED("""COMPUTED_VALUE"""),"Leydis")</f>
        <v>Leydis</v>
      </c>
      <c r="D479" s="16" t="str">
        <f ca="1">IFERROR(__xludf.UNSUPPORTED("""COMPUTED_VALUE"""),"11475928D")</f>
        <v>11475928D</v>
      </c>
    </row>
    <row r="480" spans="1:4" ht="14.25">
      <c r="A480" s="16" t="str">
        <f ca="1">IFERROR(__xludf.UNSUPPORTED("""COMPUTED_VALUE"""),"Morell Esteve, Pere")</f>
        <v>Morell Esteve, Pere</v>
      </c>
      <c r="B480" s="16" t="str">
        <f ca="1">IFERROR(__xludf.UNSUPPORTED("""COMPUTED_VALUE"""),"Morell Esteve")</f>
        <v>Morell Esteve</v>
      </c>
      <c r="C480" s="16" t="str">
        <f ca="1">IFERROR(__xludf.UNSUPPORTED("""COMPUTED_VALUE"""),"Pere")</f>
        <v>Pere</v>
      </c>
      <c r="D480" s="16" t="str">
        <f ca="1">IFERROR(__xludf.UNSUPPORTED("""COMPUTED_VALUE"""),"20836276R")</f>
        <v>20836276R</v>
      </c>
    </row>
    <row r="481" spans="1:4" ht="14.25">
      <c r="A481" s="16" t="str">
        <f ca="1">IFERROR(__xludf.UNSUPPORTED("""COMPUTED_VALUE"""),"Moreno Alcazar, Ana")</f>
        <v>Moreno Alcazar, Ana</v>
      </c>
      <c r="B481" s="16" t="str">
        <f ca="1">IFERROR(__xludf.UNSUPPORTED("""COMPUTED_VALUE"""),"Moreno Alcazar")</f>
        <v>Moreno Alcazar</v>
      </c>
      <c r="C481" s="16" t="str">
        <f ca="1">IFERROR(__xludf.UNSUPPORTED("""COMPUTED_VALUE"""),"Ana")</f>
        <v>Ana</v>
      </c>
      <c r="D481" s="16" t="str">
        <f ca="1">IFERROR(__xludf.UNSUPPORTED("""COMPUTED_VALUE"""),"52592809C")</f>
        <v>52592809C</v>
      </c>
    </row>
    <row r="482" spans="1:4" ht="14.25">
      <c r="A482" s="16" t="str">
        <f ca="1">IFERROR(__xludf.UNSUPPORTED("""COMPUTED_VALUE"""),"Moreno Murciano, Paz")</f>
        <v>Moreno Murciano, Paz</v>
      </c>
      <c r="B482" s="16" t="str">
        <f ca="1">IFERROR(__xludf.UNSUPPORTED("""COMPUTED_VALUE"""),"Moreno Murciano")</f>
        <v>Moreno Murciano</v>
      </c>
      <c r="C482" s="16" t="str">
        <f ca="1">IFERROR(__xludf.UNSUPPORTED("""COMPUTED_VALUE"""),"Paz")</f>
        <v>Paz</v>
      </c>
      <c r="D482" s="16" t="str">
        <f ca="1">IFERROR(__xludf.UNSUPPORTED("""COMPUTED_VALUE"""),"25416155M")</f>
        <v>25416155M</v>
      </c>
    </row>
    <row r="483" spans="1:4" ht="14.25">
      <c r="A483" s="16" t="str">
        <f ca="1">IFERROR(__xludf.UNSUPPORTED("""COMPUTED_VALUE"""),"Moreno Oliveras, Luis")</f>
        <v>Moreno Oliveras, Luis</v>
      </c>
      <c r="B483" s="16" t="str">
        <f ca="1">IFERROR(__xludf.UNSUPPORTED("""COMPUTED_VALUE"""),"Moreno Oliveras")</f>
        <v>Moreno Oliveras</v>
      </c>
      <c r="C483" s="16" t="str">
        <f ca="1">IFERROR(__xludf.UNSUPPORTED("""COMPUTED_VALUE"""),"Luis")</f>
        <v>Luis</v>
      </c>
      <c r="D483" s="16" t="str">
        <f ca="1">IFERROR(__xludf.UNSUPPORTED("""COMPUTED_VALUE"""),"40446436Q")</f>
        <v>40446436Q</v>
      </c>
    </row>
    <row r="484" spans="1:4" ht="14.25">
      <c r="A484" s="16" t="str">
        <f ca="1">IFERROR(__xludf.UNSUPPORTED("""COMPUTED_VALUE"""),"Moreno Padilla, María")</f>
        <v>Moreno Padilla, María</v>
      </c>
      <c r="B484" s="16" t="str">
        <f ca="1">IFERROR(__xludf.UNSUPPORTED("""COMPUTED_VALUE"""),"Moreno Padilla")</f>
        <v>Moreno Padilla</v>
      </c>
      <c r="C484" s="16" t="str">
        <f ca="1">IFERROR(__xludf.UNSUPPORTED("""COMPUTED_VALUE"""),"María")</f>
        <v>María</v>
      </c>
      <c r="D484" s="16" t="str">
        <f ca="1">IFERROR(__xludf.UNSUPPORTED("""COMPUTED_VALUE"""),"77359772P")</f>
        <v>77359772P</v>
      </c>
    </row>
    <row r="485" spans="1:4" ht="14.25">
      <c r="A485" s="16" t="str">
        <f ca="1">IFERROR(__xludf.UNSUPPORTED("""COMPUTED_VALUE"""),"Moreno Segura, Noemí")</f>
        <v>Moreno Segura, Noemí</v>
      </c>
      <c r="B485" s="16" t="str">
        <f ca="1">IFERROR(__xludf.UNSUPPORTED("""COMPUTED_VALUE"""),"Moreno Segura")</f>
        <v>Moreno Segura</v>
      </c>
      <c r="C485" s="16" t="str">
        <f ca="1">IFERROR(__xludf.UNSUPPORTED("""COMPUTED_VALUE"""),"Noemí")</f>
        <v>Noemí</v>
      </c>
      <c r="D485" s="16" t="str">
        <f ca="1">IFERROR(__xludf.UNSUPPORTED("""COMPUTED_VALUE"""),"22598350E")</f>
        <v>22598350E</v>
      </c>
    </row>
    <row r="486" spans="1:4" ht="14.25">
      <c r="A486" s="16" t="str">
        <f ca="1">IFERROR(__xludf.UNSUPPORTED("""COMPUTED_VALUE"""),"Moret Tatay, Maria del Carmen")</f>
        <v>Moret Tatay, Maria del Carmen</v>
      </c>
      <c r="B486" s="16" t="str">
        <f ca="1">IFERROR(__xludf.UNSUPPORTED("""COMPUTED_VALUE"""),"Moret Tatay")</f>
        <v>Moret Tatay</v>
      </c>
      <c r="C486" s="16" t="str">
        <f ca="1">IFERROR(__xludf.UNSUPPORTED("""COMPUTED_VALUE"""),"Maria del Carmen")</f>
        <v>Maria del Carmen</v>
      </c>
      <c r="D486" s="16" t="str">
        <f ca="1">IFERROR(__xludf.UNSUPPORTED("""COMPUTED_VALUE"""),"22586928P")</f>
        <v>22586928P</v>
      </c>
    </row>
    <row r="487" spans="1:4" ht="14.25">
      <c r="A487" s="16" t="str">
        <f ca="1">IFERROR(__xludf.UNSUPPORTED("""COMPUTED_VALUE"""),"Morilla Rivero, Loida Elizabeth")</f>
        <v>Morilla Rivero, Loida Elizabeth</v>
      </c>
      <c r="B487" s="16" t="str">
        <f ca="1">IFERROR(__xludf.UNSUPPORTED("""COMPUTED_VALUE"""),"Morilla Rivero")</f>
        <v>Morilla Rivero</v>
      </c>
      <c r="C487" s="16" t="str">
        <f ca="1">IFERROR(__xludf.UNSUPPORTED("""COMPUTED_VALUE"""),"Loida Elizabeth")</f>
        <v>Loida Elizabeth</v>
      </c>
      <c r="D487" s="16" t="str">
        <f ca="1">IFERROR(__xludf.UNSUPPORTED("""COMPUTED_VALUE"""),"Y5731797G")</f>
        <v>Y5731797G</v>
      </c>
    </row>
    <row r="488" spans="1:4" ht="14.25">
      <c r="A488" s="16" t="str">
        <f ca="1">IFERROR(__xludf.UNSUPPORTED("""COMPUTED_VALUE"""),"Muiños Durán, Mónica")</f>
        <v>Muiños Durán, Mónica</v>
      </c>
      <c r="B488" s="16" t="str">
        <f ca="1">IFERROR(__xludf.UNSUPPORTED("""COMPUTED_VALUE"""),"Muiños Durán")</f>
        <v>Muiños Durán</v>
      </c>
      <c r="C488" s="16" t="str">
        <f ca="1">IFERROR(__xludf.UNSUPPORTED("""COMPUTED_VALUE"""),"Mónica")</f>
        <v>Mónica</v>
      </c>
      <c r="D488" s="16" t="str">
        <f ca="1">IFERROR(__xludf.UNSUPPORTED("""COMPUTED_VALUE"""),"18993905E")</f>
        <v>18993905E</v>
      </c>
    </row>
    <row r="489" spans="1:4" ht="14.25">
      <c r="A489" s="16" t="str">
        <f ca="1">IFERROR(__xludf.UNSUPPORTED("""COMPUTED_VALUE"""),"Mullor Ponce, David")</f>
        <v>Mullor Ponce, David</v>
      </c>
      <c r="B489" s="16" t="str">
        <f ca="1">IFERROR(__xludf.UNSUPPORTED("""COMPUTED_VALUE"""),"Mullor Ponce")</f>
        <v>Mullor Ponce</v>
      </c>
      <c r="C489" s="16" t="str">
        <f ca="1">IFERROR(__xludf.UNSUPPORTED("""COMPUTED_VALUE"""),"David")</f>
        <v>David</v>
      </c>
      <c r="D489" s="16" t="str">
        <f ca="1">IFERROR(__xludf.UNSUPPORTED("""COMPUTED_VALUE"""),"75714400X")</f>
        <v>75714400X</v>
      </c>
    </row>
    <row r="490" spans="1:4" ht="14.25">
      <c r="A490" s="16" t="str">
        <f ca="1">IFERROR(__xludf.UNSUPPORTED("""COMPUTED_VALUE"""),"Muñoz Castillejo, Ángela")</f>
        <v>Muñoz Castillejo, Ángela</v>
      </c>
      <c r="B490" s="16" t="str">
        <f ca="1">IFERROR(__xludf.UNSUPPORTED("""COMPUTED_VALUE"""),"Muñoz Castillejo")</f>
        <v>Muñoz Castillejo</v>
      </c>
      <c r="C490" s="16" t="str">
        <f ca="1">IFERROR(__xludf.UNSUPPORTED("""COMPUTED_VALUE"""),"Ángela")</f>
        <v>Ángela</v>
      </c>
      <c r="D490" s="16" t="str">
        <f ca="1">IFERROR(__xludf.UNSUPPORTED("""COMPUTED_VALUE"""),"31013944P")</f>
        <v>31013944P</v>
      </c>
    </row>
    <row r="491" spans="1:4" ht="14.25">
      <c r="A491" s="16" t="str">
        <f ca="1">IFERROR(__xludf.UNSUPPORTED("""COMPUTED_VALUE"""),"Muñoz Cortés, Rubén")</f>
        <v>Muñoz Cortés, Rubén</v>
      </c>
      <c r="B491" s="16" t="str">
        <f ca="1">IFERROR(__xludf.UNSUPPORTED("""COMPUTED_VALUE"""),"Muñoz Cortés")</f>
        <v>Muñoz Cortés</v>
      </c>
      <c r="C491" s="16" t="str">
        <f ca="1">IFERROR(__xludf.UNSUPPORTED("""COMPUTED_VALUE"""),"Rubén")</f>
        <v>Rubén</v>
      </c>
      <c r="D491" s="16" t="str">
        <f ca="1">IFERROR(__xludf.UNSUPPORTED("""COMPUTED_VALUE"""),"44864003L")</f>
        <v>44864003L</v>
      </c>
    </row>
    <row r="492" spans="1:4" ht="14.25">
      <c r="A492" s="16" t="str">
        <f ca="1">IFERROR(__xludf.UNSUPPORTED("""COMPUTED_VALUE"""),"Muñoz González, María Dolores")</f>
        <v>Muñoz González, María Dolores</v>
      </c>
      <c r="B492" s="16" t="str">
        <f ca="1">IFERROR(__xludf.UNSUPPORTED("""COMPUTED_VALUE"""),"Muñoz González")</f>
        <v>Muñoz González</v>
      </c>
      <c r="C492" s="16" t="str">
        <f ca="1">IFERROR(__xludf.UNSUPPORTED("""COMPUTED_VALUE"""),"María Dolores")</f>
        <v>María Dolores</v>
      </c>
      <c r="D492" s="16" t="str">
        <f ca="1">IFERROR(__xludf.UNSUPPORTED("""COMPUTED_VALUE"""),"44044199G")</f>
        <v>44044199G</v>
      </c>
    </row>
    <row r="493" spans="1:4" ht="14.25">
      <c r="A493" s="16" t="str">
        <f ca="1">IFERROR(__xludf.UNSUPPORTED("""COMPUTED_VALUE"""),"Muñoz Ladrón de Guevara, Cristina")</f>
        <v>Muñoz Ladrón de Guevara, Cristina</v>
      </c>
      <c r="B493" s="16" t="str">
        <f ca="1">IFERROR(__xludf.UNSUPPORTED("""COMPUTED_VALUE"""),"Muñoz Ladrón de Guevara")</f>
        <v>Muñoz Ladrón de Guevara</v>
      </c>
      <c r="C493" s="16" t="str">
        <f ca="1">IFERROR(__xludf.UNSUPPORTED("""COMPUTED_VALUE"""),"Cristina")</f>
        <v>Cristina</v>
      </c>
      <c r="D493" s="16" t="str">
        <f ca="1">IFERROR(__xludf.UNSUPPORTED("""COMPUTED_VALUE"""),"75121184X")</f>
        <v>75121184X</v>
      </c>
    </row>
    <row r="494" spans="1:4" ht="14.25">
      <c r="A494" s="16" t="str">
        <f ca="1">IFERROR(__xludf.UNSUPPORTED("""COMPUTED_VALUE"""),"Muñoz Miguel, Julio")</f>
        <v>Muñoz Miguel, Julio</v>
      </c>
      <c r="B494" s="16" t="str">
        <f ca="1">IFERROR(__xludf.UNSUPPORTED("""COMPUTED_VALUE"""),"Muñoz Miguel")</f>
        <v>Muñoz Miguel</v>
      </c>
      <c r="C494" s="16" t="str">
        <f ca="1">IFERROR(__xludf.UNSUPPORTED("""COMPUTED_VALUE"""),"Julio")</f>
        <v>Julio</v>
      </c>
      <c r="D494" s="16" t="str">
        <f ca="1">IFERROR(__xludf.UNSUPPORTED("""COMPUTED_VALUE"""),"22590555R")</f>
        <v>22590555R</v>
      </c>
    </row>
    <row r="495" spans="1:4" ht="14.25">
      <c r="A495" s="16" t="str">
        <f ca="1">IFERROR(__xludf.UNSUPPORTED("""COMPUTED_VALUE"""),"Muñoz Pozo, Adrián")</f>
        <v>Muñoz Pozo, Adrián</v>
      </c>
      <c r="B495" s="16" t="str">
        <f ca="1">IFERROR(__xludf.UNSUPPORTED("""COMPUTED_VALUE"""),"Muñoz Pozo")</f>
        <v>Muñoz Pozo</v>
      </c>
      <c r="C495" s="16" t="str">
        <f ca="1">IFERROR(__xludf.UNSUPPORTED("""COMPUTED_VALUE"""),"Adrián")</f>
        <v>Adrián</v>
      </c>
      <c r="D495" s="16" t="str">
        <f ca="1">IFERROR(__xludf.UNSUPPORTED("""COMPUTED_VALUE"""),"53701269H")</f>
        <v>53701269H</v>
      </c>
    </row>
    <row r="496" spans="1:4" ht="14.25">
      <c r="A496" s="16" t="str">
        <f ca="1">IFERROR(__xludf.UNSUPPORTED("""COMPUTED_VALUE"""),"Muresan Oltean, Bianca Tabita")</f>
        <v>Muresan Oltean, Bianca Tabita</v>
      </c>
      <c r="B496" s="16" t="str">
        <f ca="1">IFERROR(__xludf.UNSUPPORTED("""COMPUTED_VALUE"""),"Muresan Oltean")</f>
        <v>Muresan Oltean</v>
      </c>
      <c r="C496" s="16" t="str">
        <f ca="1">IFERROR(__xludf.UNSUPPORTED("""COMPUTED_VALUE"""),"Bianca Tabita")</f>
        <v>Bianca Tabita</v>
      </c>
      <c r="D496" s="16" t="str">
        <f ca="1">IFERROR(__xludf.UNSUPPORTED("""COMPUTED_VALUE"""),"44118059B")</f>
        <v>44118059B</v>
      </c>
    </row>
    <row r="497" spans="1:4" ht="14.25">
      <c r="A497" s="16" t="str">
        <f ca="1">IFERROR(__xludf.UNSUPPORTED("""COMPUTED_VALUE"""),"Muro Pérez-Aradors, Cecilia")</f>
        <v>Muro Pérez-Aradors, Cecilia</v>
      </c>
      <c r="B497" s="16" t="str">
        <f ca="1">IFERROR(__xludf.UNSUPPORTED("""COMPUTED_VALUE"""),"Muro Pérez-Aradors")</f>
        <v>Muro Pérez-Aradors</v>
      </c>
      <c r="C497" s="16" t="str">
        <f ca="1">IFERROR(__xludf.UNSUPPORTED("""COMPUTED_VALUE"""),"Cecilia")</f>
        <v>Cecilia</v>
      </c>
      <c r="D497" s="16" t="str">
        <f ca="1">IFERROR(__xludf.UNSUPPORTED("""COMPUTED_VALUE"""),"16616667H")</f>
        <v>16616667H</v>
      </c>
    </row>
    <row r="498" spans="1:4" ht="14.25">
      <c r="A498" s="16" t="str">
        <f ca="1">IFERROR(__xludf.UNSUPPORTED("""COMPUTED_VALUE"""),"Mut Ronda, Salvador")</f>
        <v>Mut Ronda, Salvador</v>
      </c>
      <c r="B498" s="16" t="str">
        <f ca="1">IFERROR(__xludf.UNSUPPORTED("""COMPUTED_VALUE"""),"Mut Ronda")</f>
        <v>Mut Ronda</v>
      </c>
      <c r="C498" s="16" t="str">
        <f ca="1">IFERROR(__xludf.UNSUPPORTED("""COMPUTED_VALUE"""),"Salvador")</f>
        <v>Salvador</v>
      </c>
      <c r="D498" s="16" t="str">
        <f ca="1">IFERROR(__xludf.UNSUPPORTED("""COMPUTED_VALUE"""),"19895171X")</f>
        <v>19895171X</v>
      </c>
    </row>
    <row r="499" spans="1:4" ht="14.25">
      <c r="A499" s="16" t="str">
        <f ca="1">IFERROR(__xludf.UNSUPPORTED("""COMPUTED_VALUE"""),"Múzquiz Arias, Mónica")</f>
        <v>Múzquiz Arias, Mónica</v>
      </c>
      <c r="B499" s="16" t="str">
        <f ca="1">IFERROR(__xludf.UNSUPPORTED("""COMPUTED_VALUE"""),"Múzquiz Arias")</f>
        <v>Múzquiz Arias</v>
      </c>
      <c r="C499" s="16" t="str">
        <f ca="1">IFERROR(__xludf.UNSUPPORTED("""COMPUTED_VALUE"""),"Mónica")</f>
        <v>Mónica</v>
      </c>
      <c r="D499" s="16" t="str">
        <f ca="1">IFERROR(__xludf.UNSUPPORTED("""COMPUTED_VALUE"""),"79043298a")</f>
        <v>79043298a</v>
      </c>
    </row>
    <row r="500" spans="1:4" ht="14.25">
      <c r="A500" s="16" t="str">
        <f ca="1">IFERROR(__xludf.UNSUPPORTED("""COMPUTED_VALUE"""),"Nadal Delgado, Marta")</f>
        <v>Nadal Delgado, Marta</v>
      </c>
      <c r="B500" s="16" t="str">
        <f ca="1">IFERROR(__xludf.UNSUPPORTED("""COMPUTED_VALUE"""),"Nadal Delgado")</f>
        <v>Nadal Delgado</v>
      </c>
      <c r="C500" s="16" t="str">
        <f ca="1">IFERROR(__xludf.UNSUPPORTED("""COMPUTED_VALUE"""),"Marta")</f>
        <v>Marta</v>
      </c>
      <c r="D500" s="16" t="str">
        <f ca="1">IFERROR(__xludf.UNSUPPORTED("""COMPUTED_VALUE"""),"44312653w")</f>
        <v>44312653w</v>
      </c>
    </row>
    <row r="501" spans="1:4" ht="14.25">
      <c r="A501" s="16" t="str">
        <f ca="1">IFERROR(__xludf.UNSUPPORTED("""COMPUTED_VALUE"""),"Narbona González, Natividad")</f>
        <v>Narbona González, Natividad</v>
      </c>
      <c r="B501" s="16" t="str">
        <f ca="1">IFERROR(__xludf.UNSUPPORTED("""COMPUTED_VALUE"""),"Narbona González")</f>
        <v>Narbona González</v>
      </c>
      <c r="C501" s="16" t="str">
        <f ca="1">IFERROR(__xludf.UNSUPPORTED("""COMPUTED_VALUE"""),"Natividad")</f>
        <v>Natividad</v>
      </c>
      <c r="D501" s="16" t="str">
        <f ca="1">IFERROR(__xludf.UNSUPPORTED("""COMPUTED_VALUE"""),"48823368A")</f>
        <v>48823368A</v>
      </c>
    </row>
    <row r="502" spans="1:4" ht="14.25">
      <c r="A502" s="16" t="str">
        <f ca="1">IFERROR(__xludf.UNSUPPORTED("""COMPUTED_VALUE"""),"Navarro Garrido, Jessica")</f>
        <v>Navarro Garrido, Jessica</v>
      </c>
      <c r="B502" s="16" t="str">
        <f ca="1">IFERROR(__xludf.UNSUPPORTED("""COMPUTED_VALUE"""),"Navarro Garrido")</f>
        <v>Navarro Garrido</v>
      </c>
      <c r="C502" s="16" t="str">
        <f ca="1">IFERROR(__xludf.UNSUPPORTED("""COMPUTED_VALUE"""),"Jessica")</f>
        <v>Jessica</v>
      </c>
      <c r="D502" s="16" t="str">
        <f ca="1">IFERROR(__xludf.UNSUPPORTED("""COMPUTED_VALUE"""),"53256945P")</f>
        <v>53256945P</v>
      </c>
    </row>
    <row r="503" spans="1:4" ht="14.25">
      <c r="A503" s="16" t="str">
        <f ca="1">IFERROR(__xludf.UNSUPPORTED("""COMPUTED_VALUE"""),"Navarro Martínez , María Jesús")</f>
        <v>Navarro Martínez , María Jesús</v>
      </c>
      <c r="B503" s="16" t="str">
        <f ca="1">IFERROR(__xludf.UNSUPPORTED("""COMPUTED_VALUE"""),"Navarro Martínez ")</f>
        <v xml:space="preserve">Navarro Martínez </v>
      </c>
      <c r="C503" s="16" t="str">
        <f ca="1">IFERROR(__xludf.UNSUPPORTED("""COMPUTED_VALUE"""),"María Jesús")</f>
        <v>María Jesús</v>
      </c>
      <c r="D503" s="16" t="str">
        <f ca="1">IFERROR(__xludf.UNSUPPORTED("""COMPUTED_VALUE"""),"73544285Z")</f>
        <v>73544285Z</v>
      </c>
    </row>
    <row r="504" spans="1:4" ht="14.25">
      <c r="A504" s="16" t="str">
        <f ca="1">IFERROR(__xludf.UNSUPPORTED("""COMPUTED_VALUE"""),"Navarro Murcia, Silvia Victoria")</f>
        <v>Navarro Murcia, Silvia Victoria</v>
      </c>
      <c r="B504" s="16" t="str">
        <f ca="1">IFERROR(__xludf.UNSUPPORTED("""COMPUTED_VALUE"""),"Navarro Murcia")</f>
        <v>Navarro Murcia</v>
      </c>
      <c r="C504" s="16" t="str">
        <f ca="1">IFERROR(__xludf.UNSUPPORTED("""COMPUTED_VALUE"""),"Silvia Victoria")</f>
        <v>Silvia Victoria</v>
      </c>
      <c r="D504" s="16" t="str">
        <f ca="1">IFERROR(__xludf.UNSUPPORTED("""COMPUTED_VALUE"""),"74677667W")</f>
        <v>74677667W</v>
      </c>
    </row>
    <row r="505" spans="1:4" ht="14.25">
      <c r="A505" s="16" t="str">
        <f ca="1">IFERROR(__xludf.UNSUPPORTED("""COMPUTED_VALUE"""),"Navarro Ortega, Eva Maria")</f>
        <v>Navarro Ortega, Eva Maria</v>
      </c>
      <c r="B505" s="16" t="str">
        <f ca="1">IFERROR(__xludf.UNSUPPORTED("""COMPUTED_VALUE"""),"Navarro Ortega")</f>
        <v>Navarro Ortega</v>
      </c>
      <c r="C505" s="16" t="str">
        <f ca="1">IFERROR(__xludf.UNSUPPORTED("""COMPUTED_VALUE"""),"Eva Maria")</f>
        <v>Eva Maria</v>
      </c>
      <c r="D505" s="16" t="str">
        <f ca="1">IFERROR(__xludf.UNSUPPORTED("""COMPUTED_VALUE"""),"53750700E")</f>
        <v>53750700E</v>
      </c>
    </row>
    <row r="506" spans="1:4" ht="14.25">
      <c r="A506" s="16" t="str">
        <f ca="1">IFERROR(__xludf.UNSUPPORTED("""COMPUTED_VALUE"""),"Navarro Rubio, Gemma")</f>
        <v>Navarro Rubio, Gemma</v>
      </c>
      <c r="B506" s="16" t="str">
        <f ca="1">IFERROR(__xludf.UNSUPPORTED("""COMPUTED_VALUE"""),"Navarro Rubio")</f>
        <v>Navarro Rubio</v>
      </c>
      <c r="C506" s="16" t="str">
        <f ca="1">IFERROR(__xludf.UNSUPPORTED("""COMPUTED_VALUE"""),"Gemma")</f>
        <v>Gemma</v>
      </c>
      <c r="D506" s="16" t="str">
        <f ca="1">IFERROR(__xludf.UNSUPPORTED("""COMPUTED_VALUE"""),"40982138W")</f>
        <v>40982138W</v>
      </c>
    </row>
    <row r="507" spans="1:4" ht="14.25">
      <c r="A507" s="16" t="str">
        <f ca="1">IFERROR(__xludf.UNSUPPORTED("""COMPUTED_VALUE"""),"Navarro Sánchez, Ainoha Fuensanta")</f>
        <v>Navarro Sánchez, Ainoha Fuensanta</v>
      </c>
      <c r="B507" s="16" t="str">
        <f ca="1">IFERROR(__xludf.UNSUPPORTED("""COMPUTED_VALUE"""),"Navarro Sánchez")</f>
        <v>Navarro Sánchez</v>
      </c>
      <c r="C507" s="16" t="str">
        <f ca="1">IFERROR(__xludf.UNSUPPORTED("""COMPUTED_VALUE"""),"Ainoha Fuensanta")</f>
        <v>Ainoha Fuensanta</v>
      </c>
      <c r="D507" s="16" t="str">
        <f ca="1">IFERROR(__xludf.UNSUPPORTED("""COMPUTED_VALUE"""),"49449512H")</f>
        <v>49449512H</v>
      </c>
    </row>
    <row r="508" spans="1:4" ht="14.25">
      <c r="A508" s="16" t="str">
        <f ca="1">IFERROR(__xludf.UNSUPPORTED("""COMPUTED_VALUE"""),"Navarro Serna, Celia")</f>
        <v>Navarro Serna, Celia</v>
      </c>
      <c r="B508" s="16" t="str">
        <f ca="1">IFERROR(__xludf.UNSUPPORTED("""COMPUTED_VALUE"""),"Navarro Serna")</f>
        <v>Navarro Serna</v>
      </c>
      <c r="C508" s="16" t="str">
        <f ca="1">IFERROR(__xludf.UNSUPPORTED("""COMPUTED_VALUE"""),"Celia")</f>
        <v>Celia</v>
      </c>
      <c r="D508" s="16" t="str">
        <f ca="1">IFERROR(__xludf.UNSUPPORTED("""COMPUTED_VALUE"""),"45560312A")</f>
        <v>45560312A</v>
      </c>
    </row>
    <row r="509" spans="1:4" ht="14.25">
      <c r="A509" s="16" t="str">
        <f ca="1">IFERROR(__xludf.UNSUPPORTED("""COMPUTED_VALUE"""),"Navarro Soriano, Silvia")</f>
        <v>Navarro Soriano, Silvia</v>
      </c>
      <c r="B509" s="16" t="str">
        <f ca="1">IFERROR(__xludf.UNSUPPORTED("""COMPUTED_VALUE"""),"Navarro Soriano")</f>
        <v>Navarro Soriano</v>
      </c>
      <c r="C509" s="16" t="str">
        <f ca="1">IFERROR(__xludf.UNSUPPORTED("""COMPUTED_VALUE"""),"Silvia")</f>
        <v>Silvia</v>
      </c>
      <c r="D509" s="16" t="str">
        <f ca="1">IFERROR(__xludf.UNSUPPORTED("""COMPUTED_VALUE"""),"22569732Q")</f>
        <v>22569732Q</v>
      </c>
    </row>
    <row r="510" spans="1:4" ht="14.25">
      <c r="A510" s="16" t="str">
        <f ca="1">IFERROR(__xludf.UNSUPPORTED("""COMPUTED_VALUE"""),"Navarro Tapia, Elisabet")</f>
        <v>Navarro Tapia, Elisabet</v>
      </c>
      <c r="B510" s="16" t="str">
        <f ca="1">IFERROR(__xludf.UNSUPPORTED("""COMPUTED_VALUE"""),"Navarro Tapia")</f>
        <v>Navarro Tapia</v>
      </c>
      <c r="C510" s="16" t="str">
        <f ca="1">IFERROR(__xludf.UNSUPPORTED("""COMPUTED_VALUE"""),"Elisabet")</f>
        <v>Elisabet</v>
      </c>
      <c r="D510" s="16" t="str">
        <f ca="1">IFERROR(__xludf.UNSUPPORTED("""COMPUTED_VALUE"""),"20447194X")</f>
        <v>20447194X</v>
      </c>
    </row>
    <row r="511" spans="1:4" ht="14.25">
      <c r="A511" s="16" t="str">
        <f ca="1">IFERROR(__xludf.UNSUPPORTED("""COMPUTED_VALUE"""),"Navas Martínez, María José")</f>
        <v>Navas Martínez, María José</v>
      </c>
      <c r="B511" s="16" t="str">
        <f ca="1">IFERROR(__xludf.UNSUPPORTED("""COMPUTED_VALUE"""),"Navas Martínez")</f>
        <v>Navas Martínez</v>
      </c>
      <c r="C511" s="16" t="str">
        <f ca="1">IFERROR(__xludf.UNSUPPORTED("""COMPUTED_VALUE"""),"María José")</f>
        <v>María José</v>
      </c>
      <c r="D511" s="16" t="str">
        <f ca="1">IFERROR(__xludf.UNSUPPORTED("""COMPUTED_VALUE"""),"31007196E")</f>
        <v>31007196E</v>
      </c>
    </row>
    <row r="512" spans="1:4" ht="14.25">
      <c r="A512" s="16" t="str">
        <f ca="1">IFERROR(__xludf.UNSUPPORTED("""COMPUTED_VALUE"""),"Navío Serrano, Luis Francisco")</f>
        <v>Navío Serrano, Luis Francisco</v>
      </c>
      <c r="B512" s="16" t="str">
        <f ca="1">IFERROR(__xludf.UNSUPPORTED("""COMPUTED_VALUE"""),"Navío Serrano")</f>
        <v>Navío Serrano</v>
      </c>
      <c r="C512" s="16" t="str">
        <f ca="1">IFERROR(__xludf.UNSUPPORTED("""COMPUTED_VALUE"""),"Luis Francisco")</f>
        <v>Luis Francisco</v>
      </c>
      <c r="D512" s="16" t="str">
        <f ca="1">IFERROR(__xludf.UNSUPPORTED("""COMPUTED_VALUE"""),"26218972F")</f>
        <v>26218972F</v>
      </c>
    </row>
    <row r="513" spans="1:4" ht="14.25">
      <c r="A513" s="16" t="str">
        <f ca="1">IFERROR(__xludf.UNSUPPORTED("""COMPUTED_VALUE"""),"Nebot Ibáñez, Sara")</f>
        <v>Nebot Ibáñez, Sara</v>
      </c>
      <c r="B513" s="16" t="str">
        <f ca="1">IFERROR(__xludf.UNSUPPORTED("""COMPUTED_VALUE"""),"Nebot Ibáñez")</f>
        <v>Nebot Ibáñez</v>
      </c>
      <c r="C513" s="16" t="str">
        <f ca="1">IFERROR(__xludf.UNSUPPORTED("""COMPUTED_VALUE"""),"Sara")</f>
        <v>Sara</v>
      </c>
      <c r="D513" s="16" t="str">
        <f ca="1">IFERROR(__xludf.UNSUPPORTED("""COMPUTED_VALUE"""),"53383192P")</f>
        <v>53383192P</v>
      </c>
    </row>
    <row r="514" spans="1:4" ht="14.25">
      <c r="A514" s="16" t="str">
        <f ca="1">IFERROR(__xludf.UNSUPPORTED("""COMPUTED_VALUE"""),"Neef, Alexander")</f>
        <v>Neef, Alexander</v>
      </c>
      <c r="B514" s="16" t="str">
        <f ca="1">IFERROR(__xludf.UNSUPPORTED("""COMPUTED_VALUE"""),"Neef")</f>
        <v>Neef</v>
      </c>
      <c r="C514" s="16" t="str">
        <f ca="1">IFERROR(__xludf.UNSUPPORTED("""COMPUTED_VALUE"""),"Alexander")</f>
        <v>Alexander</v>
      </c>
      <c r="D514" s="16" t="str">
        <f ca="1">IFERROR(__xludf.UNSUPPORTED("""COMPUTED_VALUE"""),"X5510546E")</f>
        <v>X5510546E</v>
      </c>
    </row>
    <row r="515" spans="1:4" ht="14.25">
      <c r="A515" s="16" t="str">
        <f ca="1">IFERROR(__xludf.UNSUPPORTED("""COMPUTED_VALUE"""),"Niclós López, Gracia")</f>
        <v>Niclós López, Gracia</v>
      </c>
      <c r="B515" s="16" t="str">
        <f ca="1">IFERROR(__xludf.UNSUPPORTED("""COMPUTED_VALUE"""),"Niclós López")</f>
        <v>Niclós López</v>
      </c>
      <c r="C515" s="16" t="str">
        <f ca="1">IFERROR(__xludf.UNSUPPORTED("""COMPUTED_VALUE"""),"Gracia")</f>
        <v>Gracia</v>
      </c>
      <c r="D515" s="16" t="str">
        <f ca="1">IFERROR(__xludf.UNSUPPORTED("""COMPUTED_VALUE"""),"29208105Z")</f>
        <v>29208105Z</v>
      </c>
    </row>
    <row r="516" spans="1:4" ht="14.25">
      <c r="A516" s="16" t="str">
        <f ca="1">IFERROR(__xludf.UNSUPPORTED("""COMPUTED_VALUE"""),"Nieto Fuentes, Juan Antonio")</f>
        <v>Nieto Fuentes, Juan Antonio</v>
      </c>
      <c r="B516" s="16" t="str">
        <f ca="1">IFERROR(__xludf.UNSUPPORTED("""COMPUTED_VALUE"""),"Nieto Fuentes")</f>
        <v>Nieto Fuentes</v>
      </c>
      <c r="C516" s="16" t="str">
        <f ca="1">IFERROR(__xludf.UNSUPPORTED("""COMPUTED_VALUE"""),"Juan Antonio")</f>
        <v>Juan Antonio</v>
      </c>
      <c r="D516" s="16" t="str">
        <f ca="1">IFERROR(__xludf.UNSUPPORTED("""COMPUTED_VALUE"""),"53406759T")</f>
        <v>53406759T</v>
      </c>
    </row>
    <row r="517" spans="1:4" ht="14.25">
      <c r="A517" s="16" t="str">
        <f ca="1">IFERROR(__xludf.UNSUPPORTED("""COMPUTED_VALUE"""),"Nieto Ruiz, Ana")</f>
        <v>Nieto Ruiz, Ana</v>
      </c>
      <c r="B517" s="16" t="str">
        <f ca="1">IFERROR(__xludf.UNSUPPORTED("""COMPUTED_VALUE"""),"Nieto Ruiz")</f>
        <v>Nieto Ruiz</v>
      </c>
      <c r="C517" s="16" t="str">
        <f ca="1">IFERROR(__xludf.UNSUPPORTED("""COMPUTED_VALUE"""),"Ana")</f>
        <v>Ana</v>
      </c>
      <c r="D517" s="16" t="str">
        <f ca="1">IFERROR(__xludf.UNSUPPORTED("""COMPUTED_VALUE"""),"45736717K")</f>
        <v>45736717K</v>
      </c>
    </row>
    <row r="518" spans="1:4" ht="14.25">
      <c r="A518" s="16" t="str">
        <f ca="1">IFERROR(__xludf.UNSUPPORTED("""COMPUTED_VALUE"""),"Nieto Sachica, Juan")</f>
        <v>Nieto Sachica, Juan</v>
      </c>
      <c r="B518" s="16" t="str">
        <f ca="1">IFERROR(__xludf.UNSUPPORTED("""COMPUTED_VALUE"""),"Nieto Sachica")</f>
        <v>Nieto Sachica</v>
      </c>
      <c r="C518" s="16" t="str">
        <f ca="1">IFERROR(__xludf.UNSUPPORTED("""COMPUTED_VALUE"""),"Juan")</f>
        <v>Juan</v>
      </c>
      <c r="D518" s="16" t="str">
        <f ca="1">IFERROR(__xludf.UNSUPPORTED("""COMPUTED_VALUE"""),"X9517920Z")</f>
        <v>X9517920Z</v>
      </c>
    </row>
    <row r="519" spans="1:4" ht="14.25">
      <c r="A519" s="16" t="str">
        <f ca="1">IFERROR(__xludf.UNSUPPORTED("""COMPUTED_VALUE"""),"Nikolaeva Koleva, Magdalena")</f>
        <v>Nikolaeva Koleva, Magdalena</v>
      </c>
      <c r="B519" s="16" t="str">
        <f ca="1">IFERROR(__xludf.UNSUPPORTED("""COMPUTED_VALUE"""),"Nikolaeva Koleva")</f>
        <v>Nikolaeva Koleva</v>
      </c>
      <c r="C519" s="16" t="str">
        <f ca="1">IFERROR(__xludf.UNSUPPORTED("""COMPUTED_VALUE"""),"Magdalena")</f>
        <v>Magdalena</v>
      </c>
      <c r="D519" s="16" t="str">
        <f ca="1">IFERROR(__xludf.UNSUPPORTED("""COMPUTED_VALUE"""),"X9319770D")</f>
        <v>X9319770D</v>
      </c>
    </row>
    <row r="520" spans="1:4" ht="14.25">
      <c r="A520" s="16" t="str">
        <f ca="1">IFERROR(__xludf.UNSUPPORTED("""COMPUTED_VALUE"""),"Nolasco Hernández, Alberto")</f>
        <v>Nolasco Hernández, Alberto</v>
      </c>
      <c r="B520" s="16" t="str">
        <f ca="1">IFERROR(__xludf.UNSUPPORTED("""COMPUTED_VALUE"""),"Nolasco Hernández")</f>
        <v>Nolasco Hernández</v>
      </c>
      <c r="C520" s="16" t="str">
        <f ca="1">IFERROR(__xludf.UNSUPPORTED("""COMPUTED_VALUE"""),"Alberto")</f>
        <v>Alberto</v>
      </c>
      <c r="D520" s="16" t="str">
        <f ca="1">IFERROR(__xludf.UNSUPPORTED("""COMPUTED_VALUE"""),"18441616D")</f>
        <v>18441616D</v>
      </c>
    </row>
    <row r="521" spans="1:4" ht="14.25">
      <c r="A521" s="16" t="str">
        <f ca="1">IFERROR(__xludf.UNSUPPORTED("""COMPUTED_VALUE"""),"Núñez Arias, Diego")</f>
        <v>Núñez Arias, Diego</v>
      </c>
      <c r="B521" s="16" t="str">
        <f ca="1">IFERROR(__xludf.UNSUPPORTED("""COMPUTED_VALUE"""),"Núñez Arias")</f>
        <v>Núñez Arias</v>
      </c>
      <c r="C521" s="16" t="str">
        <f ca="1">IFERROR(__xludf.UNSUPPORTED("""COMPUTED_VALUE"""),"Diego")</f>
        <v>Diego</v>
      </c>
      <c r="D521" s="16" t="str">
        <f ca="1">IFERROR(__xludf.UNSUPPORTED("""COMPUTED_VALUE"""),"76725024Z")</f>
        <v>76725024Z</v>
      </c>
    </row>
    <row r="522" spans="1:4" ht="14.25">
      <c r="A522" s="16" t="str">
        <f ca="1">IFERROR(__xludf.UNSUPPORTED("""COMPUTED_VALUE"""),"Núñez Sánchez, Carolina")</f>
        <v>Núñez Sánchez, Carolina</v>
      </c>
      <c r="B522" s="16" t="str">
        <f ca="1">IFERROR(__xludf.UNSUPPORTED("""COMPUTED_VALUE"""),"Núñez Sánchez")</f>
        <v>Núñez Sánchez</v>
      </c>
      <c r="C522" s="16" t="str">
        <f ca="1">IFERROR(__xludf.UNSUPPORTED("""COMPUTED_VALUE"""),"Carolina")</f>
        <v>Carolina</v>
      </c>
      <c r="D522" s="16" t="str">
        <f ca="1">IFERROR(__xludf.UNSUPPORTED("""COMPUTED_VALUE"""),"73401065S")</f>
        <v>73401065S</v>
      </c>
    </row>
    <row r="523" spans="1:4" ht="14.25">
      <c r="A523" s="16" t="str">
        <f ca="1">IFERROR(__xludf.UNSUPPORTED("""COMPUTED_VALUE"""),"Olarte Sánchez, Cristian Manuel")</f>
        <v>Olarte Sánchez, Cristian Manuel</v>
      </c>
      <c r="B523" s="16" t="str">
        <f ca="1">IFERROR(__xludf.UNSUPPORTED("""COMPUTED_VALUE"""),"Olarte Sánchez")</f>
        <v>Olarte Sánchez</v>
      </c>
      <c r="C523" s="16" t="str">
        <f ca="1">IFERROR(__xludf.UNSUPPORTED("""COMPUTED_VALUE"""),"Cristian Manuel")</f>
        <v>Cristian Manuel</v>
      </c>
      <c r="D523" s="16" t="str">
        <f ca="1">IFERROR(__xludf.UNSUPPORTED("""COMPUTED_VALUE"""),"28931728M")</f>
        <v>28931728M</v>
      </c>
    </row>
    <row r="524" spans="1:4" ht="14.25">
      <c r="A524" s="16" t="str">
        <f ca="1">IFERROR(__xludf.UNSUPPORTED("""COMPUTED_VALUE"""),"Olave Porrúa, Leticia María")</f>
        <v>Olave Porrúa, Leticia María</v>
      </c>
      <c r="B524" s="16" t="str">
        <f ca="1">IFERROR(__xludf.UNSUPPORTED("""COMPUTED_VALUE"""),"Olave Porrúa")</f>
        <v>Olave Porrúa</v>
      </c>
      <c r="C524" s="16" t="str">
        <f ca="1">IFERROR(__xludf.UNSUPPORTED("""COMPUTED_VALUE"""),"Leticia María")</f>
        <v>Leticia María</v>
      </c>
      <c r="D524" s="16" t="str">
        <f ca="1">IFERROR(__xludf.UNSUPPORTED("""COMPUTED_VALUE"""),"70422058Z")</f>
        <v>70422058Z</v>
      </c>
    </row>
    <row r="525" spans="1:4" ht="14.25">
      <c r="A525" s="16" t="str">
        <f ca="1">IFERROR(__xludf.UNSUPPORTED("""COMPUTED_VALUE"""),"Olivares González, Lorena")</f>
        <v>Olivares González, Lorena</v>
      </c>
      <c r="B525" s="16" t="str">
        <f ca="1">IFERROR(__xludf.UNSUPPORTED("""COMPUTED_VALUE"""),"Olivares González")</f>
        <v>Olivares González</v>
      </c>
      <c r="C525" s="16" t="str">
        <f ca="1">IFERROR(__xludf.UNSUPPORTED("""COMPUTED_VALUE"""),"Lorena")</f>
        <v>Lorena</v>
      </c>
      <c r="D525" s="16" t="str">
        <f ca="1">IFERROR(__xludf.UNSUPPORTED("""COMPUTED_VALUE"""),"53724851W")</f>
        <v>53724851W</v>
      </c>
    </row>
    <row r="526" spans="1:4" ht="14.25">
      <c r="A526" s="16" t="str">
        <f ca="1">IFERROR(__xludf.UNSUPPORTED("""COMPUTED_VALUE"""),"Olivo Franco, José Luis")</f>
        <v>Olivo Franco, José Luis</v>
      </c>
      <c r="B526" s="16" t="str">
        <f ca="1">IFERROR(__xludf.UNSUPPORTED("""COMPUTED_VALUE"""),"Olivo Franco")</f>
        <v>Olivo Franco</v>
      </c>
      <c r="C526" s="16" t="str">
        <f ca="1">IFERROR(__xludf.UNSUPPORTED("""COMPUTED_VALUE"""),"José Luis")</f>
        <v>José Luis</v>
      </c>
      <c r="D526" s="19">
        <f ca="1">IFERROR(__xludf.UNSUPPORTED("""COMPUTED_VALUE"""),72020267)</f>
        <v>72020267</v>
      </c>
    </row>
    <row r="527" spans="1:4" ht="14.25">
      <c r="A527" s="16" t="str">
        <f ca="1">IFERROR(__xludf.UNSUPPORTED("""COMPUTED_VALUE"""),"Olvera Trejo, Hans Oleg")</f>
        <v>Olvera Trejo, Hans Oleg</v>
      </c>
      <c r="B527" s="16" t="str">
        <f ca="1">IFERROR(__xludf.UNSUPPORTED("""COMPUTED_VALUE"""),"Olvera Trejo")</f>
        <v>Olvera Trejo</v>
      </c>
      <c r="C527" s="16" t="str">
        <f ca="1">IFERROR(__xludf.UNSUPPORTED("""COMPUTED_VALUE"""),"Hans Oleg")</f>
        <v>Hans Oleg</v>
      </c>
      <c r="D527" s="16" t="str">
        <f ca="1">IFERROR(__xludf.UNSUPPORTED("""COMPUTED_VALUE"""),"G25526656")</f>
        <v>G25526656</v>
      </c>
    </row>
    <row r="528" spans="1:4" ht="14.25">
      <c r="A528" s="16" t="str">
        <f ca="1">IFERROR(__xludf.UNSUPPORTED("""COMPUTED_VALUE"""),"Orgaz Agüera, Francisco")</f>
        <v>Orgaz Agüera, Francisco</v>
      </c>
      <c r="B528" s="16" t="str">
        <f ca="1">IFERROR(__xludf.UNSUPPORTED("""COMPUTED_VALUE"""),"Orgaz Agüera")</f>
        <v>Orgaz Agüera</v>
      </c>
      <c r="C528" s="16" t="str">
        <f ca="1">IFERROR(__xludf.UNSUPPORTED("""COMPUTED_VALUE"""),"Francisco")</f>
        <v>Francisco</v>
      </c>
      <c r="D528" s="16" t="str">
        <f ca="1">IFERROR(__xludf.UNSUPPORTED("""COMPUTED_VALUE"""),"30985649A")</f>
        <v>30985649A</v>
      </c>
    </row>
    <row r="529" spans="1:4" ht="14.25">
      <c r="A529" s="16" t="str">
        <f ca="1">IFERROR(__xludf.UNSUPPORTED("""COMPUTED_VALUE"""),"Ortega Castro, Nerea")</f>
        <v>Ortega Castro, Nerea</v>
      </c>
      <c r="B529" s="16" t="str">
        <f ca="1">IFERROR(__xludf.UNSUPPORTED("""COMPUTED_VALUE"""),"Ortega Castro")</f>
        <v>Ortega Castro</v>
      </c>
      <c r="C529" s="16" t="str">
        <f ca="1">IFERROR(__xludf.UNSUPPORTED("""COMPUTED_VALUE"""),"Nerea")</f>
        <v>Nerea</v>
      </c>
      <c r="D529" s="16" t="str">
        <f ca="1">IFERROR(__xludf.UNSUPPORTED("""COMPUTED_VALUE"""),"30695778R")</f>
        <v>30695778R</v>
      </c>
    </row>
    <row r="530" spans="1:4" ht="14.25">
      <c r="A530" s="16" t="str">
        <f ca="1">IFERROR(__xludf.UNSUPPORTED("""COMPUTED_VALUE"""),"Ortega Gutiérrez, Ana")</f>
        <v>Ortega Gutiérrez, Ana</v>
      </c>
      <c r="B530" s="16" t="str">
        <f ca="1">IFERROR(__xludf.UNSUPPORTED("""COMPUTED_VALUE"""),"Ortega Gutiérrez")</f>
        <v>Ortega Gutiérrez</v>
      </c>
      <c r="C530" s="16" t="str">
        <f ca="1">IFERROR(__xludf.UNSUPPORTED("""COMPUTED_VALUE"""),"Ana")</f>
        <v>Ana</v>
      </c>
      <c r="D530" s="16" t="str">
        <f ca="1">IFERROR(__xludf.UNSUPPORTED("""COMPUTED_VALUE"""),"48407681H")</f>
        <v>48407681H</v>
      </c>
    </row>
    <row r="531" spans="1:4" ht="14.25">
      <c r="A531" s="16" t="str">
        <f ca="1">IFERROR(__xludf.UNSUPPORTED("""COMPUTED_VALUE"""),"Ortega Legarreta, Asier")</f>
        <v>Ortega Legarreta, Asier</v>
      </c>
      <c r="B531" s="16" t="str">
        <f ca="1">IFERROR(__xludf.UNSUPPORTED("""COMPUTED_VALUE"""),"Ortega Legarreta")</f>
        <v>Ortega Legarreta</v>
      </c>
      <c r="C531" s="16" t="str">
        <f ca="1">IFERROR(__xludf.UNSUPPORTED("""COMPUTED_VALUE"""),"Asier")</f>
        <v>Asier</v>
      </c>
      <c r="D531" s="16" t="str">
        <f ca="1">IFERROR(__xludf.UNSUPPORTED("""COMPUTED_VALUE"""),"16081026R")</f>
        <v>16081026R</v>
      </c>
    </row>
    <row r="532" spans="1:4" ht="14.25">
      <c r="A532" s="16" t="str">
        <f ca="1">IFERROR(__xludf.UNSUPPORTED("""COMPUTED_VALUE"""),"Ortega Pérez de Villar, Lucía")</f>
        <v>Ortega Pérez de Villar, Lucía</v>
      </c>
      <c r="B532" s="16" t="str">
        <f ca="1">IFERROR(__xludf.UNSUPPORTED("""COMPUTED_VALUE"""),"Ortega Pérez de Villar")</f>
        <v>Ortega Pérez de Villar</v>
      </c>
      <c r="C532" s="16" t="str">
        <f ca="1">IFERROR(__xludf.UNSUPPORTED("""COMPUTED_VALUE"""),"Lucía")</f>
        <v>Lucía</v>
      </c>
      <c r="D532" s="16" t="str">
        <f ca="1">IFERROR(__xludf.UNSUPPORTED("""COMPUTED_VALUE"""),"24390487E")</f>
        <v>24390487E</v>
      </c>
    </row>
    <row r="533" spans="1:4" ht="14.25">
      <c r="A533" s="16" t="str">
        <f ca="1">IFERROR(__xludf.UNSUPPORTED("""COMPUTED_VALUE"""),"Ortiz Marcos, José Manuel")</f>
        <v>Ortiz Marcos, José Manuel</v>
      </c>
      <c r="B533" s="16" t="str">
        <f ca="1">IFERROR(__xludf.UNSUPPORTED("""COMPUTED_VALUE"""),"Ortiz Marcos")</f>
        <v>Ortiz Marcos</v>
      </c>
      <c r="C533" s="16" t="str">
        <f ca="1">IFERROR(__xludf.UNSUPPORTED("""COMPUTED_VALUE"""),"José Manuel")</f>
        <v>José Manuel</v>
      </c>
      <c r="D533" s="16" t="str">
        <f ca="1">IFERROR(__xludf.UNSUPPORTED("""COMPUTED_VALUE"""),"48556605V")</f>
        <v>48556605V</v>
      </c>
    </row>
    <row r="534" spans="1:4" ht="14.25">
      <c r="A534" s="16" t="str">
        <f ca="1">IFERROR(__xludf.UNSUPPORTED("""COMPUTED_VALUE"""),"Ortiz Mengual, Montserrat")</f>
        <v>Ortiz Mengual, Montserrat</v>
      </c>
      <c r="B534" s="16" t="str">
        <f ca="1">IFERROR(__xludf.UNSUPPORTED("""COMPUTED_VALUE"""),"Ortiz Mengual")</f>
        <v>Ortiz Mengual</v>
      </c>
      <c r="C534" s="16" t="str">
        <f ca="1">IFERROR(__xludf.UNSUPPORTED("""COMPUTED_VALUE"""),"Montserrat")</f>
        <v>Montserrat</v>
      </c>
      <c r="D534" s="16" t="str">
        <f ca="1">IFERROR(__xludf.UNSUPPORTED("""COMPUTED_VALUE"""),"20847515Q")</f>
        <v>20847515Q</v>
      </c>
    </row>
    <row r="535" spans="1:4" ht="14.25">
      <c r="A535" s="16" t="str">
        <f ca="1">IFERROR(__xludf.UNSUPPORTED("""COMPUTED_VALUE"""),"Osorio García, Carlos Manuel")</f>
        <v>Osorio García, Carlos Manuel</v>
      </c>
      <c r="B535" s="16" t="str">
        <f ca="1">IFERROR(__xludf.UNSUPPORTED("""COMPUTED_VALUE"""),"Osorio García")</f>
        <v>Osorio García</v>
      </c>
      <c r="C535" s="16" t="str">
        <f ca="1">IFERROR(__xludf.UNSUPPORTED("""COMPUTED_VALUE"""),"Carlos Manuel")</f>
        <v>Carlos Manuel</v>
      </c>
      <c r="D535" s="16" t="str">
        <f ca="1">IFERROR(__xludf.UNSUPPORTED("""COMPUTED_VALUE"""),"K346975")</f>
        <v>K346975</v>
      </c>
    </row>
    <row r="536" spans="1:4" ht="14.25">
      <c r="A536" s="16" t="str">
        <f ca="1">IFERROR(__xludf.UNSUPPORTED("""COMPUTED_VALUE"""),"Otero Castellanos, Daniela")</f>
        <v>Otero Castellanos, Daniela</v>
      </c>
      <c r="B536" s="16" t="str">
        <f ca="1">IFERROR(__xludf.UNSUPPORTED("""COMPUTED_VALUE"""),"Otero Castellanos")</f>
        <v>Otero Castellanos</v>
      </c>
      <c r="C536" s="16" t="str">
        <f ca="1">IFERROR(__xludf.UNSUPPORTED("""COMPUTED_VALUE"""),"Daniela")</f>
        <v>Daniela</v>
      </c>
      <c r="D536" s="16" t="str">
        <f ca="1">IFERROR(__xludf.UNSUPPORTED("""COMPUTED_VALUE"""),"Z0284656J")</f>
        <v>Z0284656J</v>
      </c>
    </row>
    <row r="537" spans="1:4" ht="14.25">
      <c r="A537" s="16" t="str">
        <f ca="1">IFERROR(__xludf.UNSUPPORTED("""COMPUTED_VALUE"""),"Otero Dadin, Cecilia")</f>
        <v>Otero Dadin, Cecilia</v>
      </c>
      <c r="B537" s="16" t="str">
        <f ca="1">IFERROR(__xludf.UNSUPPORTED("""COMPUTED_VALUE"""),"Otero Dadin")</f>
        <v>Otero Dadin</v>
      </c>
      <c r="C537" s="16" t="str">
        <f ca="1">IFERROR(__xludf.UNSUPPORTED("""COMPUTED_VALUE"""),"Cecilia")</f>
        <v>Cecilia</v>
      </c>
      <c r="D537" s="16" t="str">
        <f ca="1">IFERROR(__xludf.UNSUPPORTED("""COMPUTED_VALUE"""),"76925861S")</f>
        <v>76925861S</v>
      </c>
    </row>
    <row r="538" spans="1:4" ht="14.25">
      <c r="A538" s="16" t="str">
        <f ca="1">IFERROR(__xludf.UNSUPPORTED("""COMPUTED_VALUE"""),"Otero Fuertes, María Paz")</f>
        <v>Otero Fuertes, María Paz</v>
      </c>
      <c r="B538" s="16" t="str">
        <f ca="1">IFERROR(__xludf.UNSUPPORTED("""COMPUTED_VALUE"""),"Otero Fuertes")</f>
        <v>Otero Fuertes</v>
      </c>
      <c r="C538" s="16" t="str">
        <f ca="1">IFERROR(__xludf.UNSUPPORTED("""COMPUTED_VALUE"""),"María Paz")</f>
        <v>María Paz</v>
      </c>
      <c r="D538" s="16" t="str">
        <f ca="1">IFERROR(__xludf.UNSUPPORTED("""COMPUTED_VALUE"""),"32696562S")</f>
        <v>32696562S</v>
      </c>
    </row>
    <row r="539" spans="1:4" ht="14.25">
      <c r="A539" s="16" t="str">
        <f ca="1">IFERROR(__xludf.UNSUPPORTED("""COMPUTED_VALUE"""),"Otero Requeijo, Miriam")</f>
        <v>Otero Requeijo, Miriam</v>
      </c>
      <c r="B539" s="16" t="str">
        <f ca="1">IFERROR(__xludf.UNSUPPORTED("""COMPUTED_VALUE"""),"Otero Requeijo")</f>
        <v>Otero Requeijo</v>
      </c>
      <c r="C539" s="16" t="str">
        <f ca="1">IFERROR(__xludf.UNSUPPORTED("""COMPUTED_VALUE"""),"Miriam")</f>
        <v>Miriam</v>
      </c>
      <c r="D539" s="16" t="str">
        <f ca="1">IFERROR(__xludf.UNSUPPORTED("""COMPUTED_VALUE"""),"76925974J")</f>
        <v>76925974J</v>
      </c>
    </row>
    <row r="540" spans="1:4" ht="14.25">
      <c r="A540" s="16" t="str">
        <f ca="1">IFERROR(__xludf.UNSUPPORTED("""COMPUTED_VALUE"""),"Ovalles Villegas, Adriana Josefina")</f>
        <v>Ovalles Villegas, Adriana Josefina</v>
      </c>
      <c r="B540" s="16" t="str">
        <f ca="1">IFERROR(__xludf.UNSUPPORTED("""COMPUTED_VALUE"""),"Ovalles Villegas")</f>
        <v>Ovalles Villegas</v>
      </c>
      <c r="C540" s="16" t="str">
        <f ca="1">IFERROR(__xludf.UNSUPPORTED("""COMPUTED_VALUE"""),"Adriana Josefina")</f>
        <v>Adriana Josefina</v>
      </c>
      <c r="D540" s="16">
        <f ca="1">IFERROR(__xludf.UNSUPPORTED("""COMPUTED_VALUE"""),9679719)</f>
        <v>9679719</v>
      </c>
    </row>
    <row r="541" spans="1:4" ht="14.25">
      <c r="A541" s="16" t="str">
        <f ca="1">IFERROR(__xludf.UNSUPPORTED("""COMPUTED_VALUE"""),"Padilla Díaz, Maria")</f>
        <v>Padilla Díaz, Maria</v>
      </c>
      <c r="B541" s="16" t="str">
        <f ca="1">IFERROR(__xludf.UNSUPPORTED("""COMPUTED_VALUE"""),"Padilla Díaz")</f>
        <v>Padilla Díaz</v>
      </c>
      <c r="C541" s="16" t="str">
        <f ca="1">IFERROR(__xludf.UNSUPPORTED("""COMPUTED_VALUE"""),"Maria")</f>
        <v>Maria</v>
      </c>
      <c r="D541" s="16" t="str">
        <f ca="1">IFERROR(__xludf.UNSUPPORTED("""COMPUTED_VALUE"""),"02247517A")</f>
        <v>02247517A</v>
      </c>
    </row>
    <row r="542" spans="1:4" ht="14.25">
      <c r="A542" s="16" t="str">
        <f ca="1">IFERROR(__xludf.UNSUPPORTED("""COMPUTED_VALUE"""),"Palacios López, Mari Carmen")</f>
        <v>Palacios López, Mari Carmen</v>
      </c>
      <c r="B542" s="16" t="str">
        <f ca="1">IFERROR(__xludf.UNSUPPORTED("""COMPUTED_VALUE"""),"Palacios López")</f>
        <v>Palacios López</v>
      </c>
      <c r="C542" s="16" t="str">
        <f ca="1">IFERROR(__xludf.UNSUPPORTED("""COMPUTED_VALUE"""),"Mari Carmen")</f>
        <v>Mari Carmen</v>
      </c>
      <c r="D542" s="16" t="str">
        <f ca="1">IFERROR(__xludf.UNSUPPORTED("""COMPUTED_VALUE"""),"26021268B")</f>
        <v>26021268B</v>
      </c>
    </row>
    <row r="543" spans="1:4" ht="14.25">
      <c r="A543" s="16" t="str">
        <f ca="1">IFERROR(__xludf.UNSUPPORTED("""COMPUTED_VALUE"""),"Palerm Martínez , Mónica")</f>
        <v>Palerm Martínez , Mónica</v>
      </c>
      <c r="B543" s="16" t="str">
        <f ca="1">IFERROR(__xludf.UNSUPPORTED("""COMPUTED_VALUE"""),"Palerm Martínez ")</f>
        <v xml:space="preserve">Palerm Martínez </v>
      </c>
      <c r="C543" s="16" t="str">
        <f ca="1">IFERROR(__xludf.UNSUPPORTED("""COMPUTED_VALUE"""),"Mónica")</f>
        <v>Mónica</v>
      </c>
      <c r="D543" s="16" t="str">
        <f ca="1">IFERROR(__xludf.UNSUPPORTED("""COMPUTED_VALUE"""),"44861589C")</f>
        <v>44861589C</v>
      </c>
    </row>
    <row r="544" spans="1:4" ht="14.25">
      <c r="A544" s="16" t="str">
        <f ca="1">IFERROR(__xludf.UNSUPPORTED("""COMPUTED_VALUE"""),"Palomares Rodríguez, Gemma")</f>
        <v>Palomares Rodríguez, Gemma</v>
      </c>
      <c r="B544" s="16" t="str">
        <f ca="1">IFERROR(__xludf.UNSUPPORTED("""COMPUTED_VALUE"""),"Palomares Rodríguez")</f>
        <v>Palomares Rodríguez</v>
      </c>
      <c r="C544" s="16" t="str">
        <f ca="1">IFERROR(__xludf.UNSUPPORTED("""COMPUTED_VALUE"""),"Gemma")</f>
        <v>Gemma</v>
      </c>
      <c r="D544" s="16" t="str">
        <f ca="1">IFERROR(__xludf.UNSUPPORTED("""COMPUTED_VALUE"""),"51010724J")</f>
        <v>51010724J</v>
      </c>
    </row>
    <row r="545" spans="1:4" ht="14.25">
      <c r="A545" s="16" t="str">
        <f ca="1">IFERROR(__xludf.UNSUPPORTED("""COMPUTED_VALUE"""),"Pan Corrales, Francisco")</f>
        <v>Pan Corrales, Francisco</v>
      </c>
      <c r="B545" s="16" t="str">
        <f ca="1">IFERROR(__xludf.UNSUPPORTED("""COMPUTED_VALUE"""),"Pan Corrales")</f>
        <v>Pan Corrales</v>
      </c>
      <c r="C545" s="16" t="str">
        <f ca="1">IFERROR(__xludf.UNSUPPORTED("""COMPUTED_VALUE"""),"Francisco")</f>
        <v>Francisco</v>
      </c>
      <c r="D545" s="16" t="str">
        <f ca="1">IFERROR(__xludf.UNSUPPORTED("""COMPUTED_VALUE"""),"32824719Q")</f>
        <v>32824719Q</v>
      </c>
    </row>
    <row r="546" spans="1:4" ht="14.25">
      <c r="A546" s="16" t="str">
        <f ca="1">IFERROR(__xludf.UNSUPPORTED("""COMPUTED_VALUE"""),"Pardo Salamanca, Ana Belén")</f>
        <v>Pardo Salamanca, Ana Belén</v>
      </c>
      <c r="B546" s="16" t="str">
        <f ca="1">IFERROR(__xludf.UNSUPPORTED("""COMPUTED_VALUE"""),"Pardo Salamanca")</f>
        <v>Pardo Salamanca</v>
      </c>
      <c r="C546" s="16" t="str">
        <f ca="1">IFERROR(__xludf.UNSUPPORTED("""COMPUTED_VALUE"""),"Ana Belén")</f>
        <v>Ana Belén</v>
      </c>
      <c r="D546" s="16" t="str">
        <f ca="1">IFERROR(__xludf.UNSUPPORTED("""COMPUTED_VALUE"""),"50983425S")</f>
        <v>50983425S</v>
      </c>
    </row>
    <row r="547" spans="1:4" ht="14.25">
      <c r="A547" s="16" t="str">
        <f ca="1">IFERROR(__xludf.UNSUPPORTED("""COMPUTED_VALUE"""),"Paredes Garza, Francisco")</f>
        <v>Paredes Garza, Francisco</v>
      </c>
      <c r="B547" s="16" t="str">
        <f ca="1">IFERROR(__xludf.UNSUPPORTED("""COMPUTED_VALUE"""),"Paredes Garza")</f>
        <v>Paredes Garza</v>
      </c>
      <c r="C547" s="16" t="str">
        <f ca="1">IFERROR(__xludf.UNSUPPORTED("""COMPUTED_VALUE"""),"Francisco")</f>
        <v>Francisco</v>
      </c>
      <c r="D547" s="16" t="str">
        <f ca="1">IFERROR(__xludf.UNSUPPORTED("""COMPUTED_VALUE"""),"04842798X")</f>
        <v>04842798X</v>
      </c>
    </row>
    <row r="548" spans="1:4" ht="14.25">
      <c r="A548" s="16" t="str">
        <f ca="1">IFERROR(__xludf.UNSUPPORTED("""COMPUTED_VALUE"""),"Parejo Pedrajas, Sergi")</f>
        <v>Parejo Pedrajas, Sergi</v>
      </c>
      <c r="B548" s="16" t="str">
        <f ca="1">IFERROR(__xludf.UNSUPPORTED("""COMPUTED_VALUE"""),"Parejo Pedrajas")</f>
        <v>Parejo Pedrajas</v>
      </c>
      <c r="C548" s="16" t="str">
        <f ca="1">IFERROR(__xludf.UNSUPPORTED("""COMPUTED_VALUE"""),"Sergi")</f>
        <v>Sergi</v>
      </c>
      <c r="D548" s="16" t="str">
        <f ca="1">IFERROR(__xludf.UNSUPPORTED("""COMPUTED_VALUE"""),"73100022L")</f>
        <v>73100022L</v>
      </c>
    </row>
    <row r="549" spans="1:4" ht="14.25">
      <c r="A549" s="16" t="str">
        <f ca="1">IFERROR(__xludf.UNSUPPORTED("""COMPUTED_VALUE"""),"Parellada, Cristian Abraham")</f>
        <v>Parellada, Cristian Abraham</v>
      </c>
      <c r="B549" s="16" t="str">
        <f ca="1">IFERROR(__xludf.UNSUPPORTED("""COMPUTED_VALUE"""),"Parellada")</f>
        <v>Parellada</v>
      </c>
      <c r="C549" s="16" t="str">
        <f ca="1">IFERROR(__xludf.UNSUPPORTED("""COMPUTED_VALUE"""),"Cristian Abraham")</f>
        <v>Cristian Abraham</v>
      </c>
      <c r="D549" s="16">
        <f ca="1">IFERROR(__xludf.UNSUPPORTED("""COMPUTED_VALUE"""),20318292516)</f>
        <v>20318292516</v>
      </c>
    </row>
    <row r="550" spans="1:4" ht="14.25">
      <c r="A550" s="16" t="str">
        <f ca="1">IFERROR(__xludf.UNSUPPORTED("""COMPUTED_VALUE"""),"Parra Ortiz, María Camila")</f>
        <v>Parra Ortiz, María Camila</v>
      </c>
      <c r="B550" s="16" t="str">
        <f ca="1">IFERROR(__xludf.UNSUPPORTED("""COMPUTED_VALUE"""),"Parra Ortiz")</f>
        <v>Parra Ortiz</v>
      </c>
      <c r="C550" s="16" t="str">
        <f ca="1">IFERROR(__xludf.UNSUPPORTED("""COMPUTED_VALUE"""),"María Camila")</f>
        <v>María Camila</v>
      </c>
      <c r="D550" s="16" t="str">
        <f ca="1">IFERROR(__xludf.UNSUPPORTED("""COMPUTED_VALUE"""),"Y7458195E")</f>
        <v>Y7458195E</v>
      </c>
    </row>
    <row r="551" spans="1:4" ht="14.25">
      <c r="A551" s="16" t="str">
        <f ca="1">IFERROR(__xludf.UNSUPPORTED("""COMPUTED_VALUE"""),"Parra Rizo, María Antonia")</f>
        <v>Parra Rizo, María Antonia</v>
      </c>
      <c r="B551" s="16" t="str">
        <f ca="1">IFERROR(__xludf.UNSUPPORTED("""COMPUTED_VALUE"""),"Parra Rizo")</f>
        <v>Parra Rizo</v>
      </c>
      <c r="C551" s="16" t="str">
        <f ca="1">IFERROR(__xludf.UNSUPPORTED("""COMPUTED_VALUE"""),"María Antonia")</f>
        <v>María Antonia</v>
      </c>
      <c r="D551" s="16" t="str">
        <f ca="1">IFERROR(__xludf.UNSUPPORTED("""COMPUTED_VALUE"""),"74362995Q")</f>
        <v>74362995Q</v>
      </c>
    </row>
    <row r="552" spans="1:4" ht="14.25">
      <c r="A552" s="16" t="str">
        <f ca="1">IFERROR(__xludf.UNSUPPORTED("""COMPUTED_VALUE"""),"Passi Concha, Nicole Andrea")</f>
        <v>Passi Concha, Nicole Andrea</v>
      </c>
      <c r="B552" s="16" t="str">
        <f ca="1">IFERROR(__xludf.UNSUPPORTED("""COMPUTED_VALUE"""),"Passi Concha")</f>
        <v>Passi Concha</v>
      </c>
      <c r="C552" s="16" t="str">
        <f ca="1">IFERROR(__xludf.UNSUPPORTED("""COMPUTED_VALUE"""),"Nicole Andrea")</f>
        <v>Nicole Andrea</v>
      </c>
      <c r="D552" s="16" t="str">
        <f ca="1">IFERROR(__xludf.UNSUPPORTED("""COMPUTED_VALUE"""),"Y6463080W")</f>
        <v>Y6463080W</v>
      </c>
    </row>
    <row r="553" spans="1:4" ht="14.25">
      <c r="A553" s="16" t="str">
        <f ca="1">IFERROR(__xludf.UNSUPPORTED("""COMPUTED_VALUE"""),"Pedelini Gassmann, Leda")</f>
        <v>Pedelini Gassmann, Leda</v>
      </c>
      <c r="B553" s="16" t="str">
        <f ca="1">IFERROR(__xludf.UNSUPPORTED("""COMPUTED_VALUE"""),"Pedelini Gassmann")</f>
        <v>Pedelini Gassmann</v>
      </c>
      <c r="C553" s="16" t="str">
        <f ca="1">IFERROR(__xludf.UNSUPPORTED("""COMPUTED_VALUE"""),"Leda")</f>
        <v>Leda</v>
      </c>
      <c r="D553" s="16" t="str">
        <f ca="1">IFERROR(__xludf.UNSUPPORTED("""COMPUTED_VALUE"""),"44932014L")</f>
        <v>44932014L</v>
      </c>
    </row>
    <row r="554" spans="1:4" ht="14.25">
      <c r="A554" s="16" t="str">
        <f ca="1">IFERROR(__xludf.UNSUPPORTED("""COMPUTED_VALUE"""),"Pedroso Chaparro, María del Sequeros")</f>
        <v>Pedroso Chaparro, María del Sequeros</v>
      </c>
      <c r="B554" s="16" t="str">
        <f ca="1">IFERROR(__xludf.UNSUPPORTED("""COMPUTED_VALUE"""),"Pedroso Chaparro")</f>
        <v>Pedroso Chaparro</v>
      </c>
      <c r="C554" s="16" t="str">
        <f ca="1">IFERROR(__xludf.UNSUPPORTED("""COMPUTED_VALUE"""),"María del Sequeros")</f>
        <v>María del Sequeros</v>
      </c>
      <c r="D554" s="16" t="str">
        <f ca="1">IFERROR(__xludf.UNSUPPORTED("""COMPUTED_VALUE"""),"49095691Y")</f>
        <v>49095691Y</v>
      </c>
    </row>
    <row r="555" spans="1:4" ht="14.25">
      <c r="A555" s="16" t="str">
        <f ca="1">IFERROR(__xludf.UNSUPPORTED("""COMPUTED_VALUE"""),"Pellín Carcelén, Ana")</f>
        <v>Pellín Carcelén, Ana</v>
      </c>
      <c r="B555" s="16" t="str">
        <f ca="1">IFERROR(__xludf.UNSUPPORTED("""COMPUTED_VALUE"""),"Pellín Carcelén")</f>
        <v>Pellín Carcelén</v>
      </c>
      <c r="C555" s="16" t="str">
        <f ca="1">IFERROR(__xludf.UNSUPPORTED("""COMPUTED_VALUE"""),"Ana")</f>
        <v>Ana</v>
      </c>
      <c r="D555" s="16" t="str">
        <f ca="1">IFERROR(__xludf.UNSUPPORTED("""COMPUTED_VALUE"""),"29202327D")</f>
        <v>29202327D</v>
      </c>
    </row>
    <row r="556" spans="1:4" ht="14.25">
      <c r="A556" s="16" t="str">
        <f ca="1">IFERROR(__xludf.UNSUPPORTED("""COMPUTED_VALUE"""),"Peña Herrera, Bernardo")</f>
        <v>Peña Herrera, Bernardo</v>
      </c>
      <c r="B556" s="16" t="str">
        <f ca="1">IFERROR(__xludf.UNSUPPORTED("""COMPUTED_VALUE"""),"Peña Herrera")</f>
        <v>Peña Herrera</v>
      </c>
      <c r="C556" s="16" t="str">
        <f ca="1">IFERROR(__xludf.UNSUPPORTED("""COMPUTED_VALUE"""),"Bernardo")</f>
        <v>Bernardo</v>
      </c>
      <c r="D556" s="16" t="str">
        <f ca="1">IFERROR(__xludf.UNSUPPORTED("""COMPUTED_VALUE"""),"75785856M")</f>
        <v>75785856M</v>
      </c>
    </row>
    <row r="557" spans="1:4" ht="14.25">
      <c r="A557" s="16" t="str">
        <f ca="1">IFERROR(__xludf.UNSUPPORTED("""COMPUTED_VALUE"""),"Peña Ramos, Marta")</f>
        <v>Peña Ramos, Marta</v>
      </c>
      <c r="B557" s="16" t="str">
        <f ca="1">IFERROR(__xludf.UNSUPPORTED("""COMPUTED_VALUE"""),"Peña Ramos")</f>
        <v>Peña Ramos</v>
      </c>
      <c r="C557" s="16" t="str">
        <f ca="1">IFERROR(__xludf.UNSUPPORTED("""COMPUTED_VALUE"""),"Marta")</f>
        <v>Marta</v>
      </c>
      <c r="D557" s="16" t="str">
        <f ca="1">IFERROR(__xludf.UNSUPPORTED("""COMPUTED_VALUE"""),"71135733E")</f>
        <v>71135733E</v>
      </c>
    </row>
    <row r="558" spans="1:4" ht="14.25">
      <c r="A558" s="16" t="str">
        <f ca="1">IFERROR(__xludf.UNSUPPORTED("""COMPUTED_VALUE"""),"Peñalver González, Jonatan")</f>
        <v>Peñalver González, Jonatan</v>
      </c>
      <c r="B558" s="16" t="str">
        <f ca="1">IFERROR(__xludf.UNSUPPORTED("""COMPUTED_VALUE"""),"Peñalver González")</f>
        <v>Peñalver González</v>
      </c>
      <c r="C558" s="16" t="str">
        <f ca="1">IFERROR(__xludf.UNSUPPORTED("""COMPUTED_VALUE"""),"Jonatan")</f>
        <v>Jonatan</v>
      </c>
      <c r="D558" s="16" t="str">
        <f ca="1">IFERROR(__xludf.UNSUPPORTED("""COMPUTED_VALUE"""),"53601948B")</f>
        <v>53601948B</v>
      </c>
    </row>
    <row r="559" spans="1:4" ht="14.25">
      <c r="A559" s="16" t="str">
        <f ca="1">IFERROR(__xludf.UNSUPPORTED("""COMPUTED_VALUE"""),"Peral Pérez, Javier")</f>
        <v>Peral Pérez, Javier</v>
      </c>
      <c r="B559" s="16" t="str">
        <f ca="1">IFERROR(__xludf.UNSUPPORTED("""COMPUTED_VALUE"""),"Peral Pérez")</f>
        <v>Peral Pérez</v>
      </c>
      <c r="C559" s="16" t="str">
        <f ca="1">IFERROR(__xludf.UNSUPPORTED("""COMPUTED_VALUE"""),"Javier")</f>
        <v>Javier</v>
      </c>
      <c r="D559" s="16" t="str">
        <f ca="1">IFERROR(__xludf.UNSUPPORTED("""COMPUTED_VALUE"""),"70826459Y")</f>
        <v>70826459Y</v>
      </c>
    </row>
    <row r="560" spans="1:4" ht="14.25">
      <c r="A560" s="16" t="str">
        <f ca="1">IFERROR(__xludf.UNSUPPORTED("""COMPUTED_VALUE"""),"Perdomo Colina, Hugo Ernesto")</f>
        <v>Perdomo Colina, Hugo Ernesto</v>
      </c>
      <c r="B560" s="16" t="str">
        <f ca="1">IFERROR(__xludf.UNSUPPORTED("""COMPUTED_VALUE"""),"Perdomo Colina")</f>
        <v>Perdomo Colina</v>
      </c>
      <c r="C560" s="16" t="str">
        <f ca="1">IFERROR(__xludf.UNSUPPORTED("""COMPUTED_VALUE"""),"Hugo Ernesto")</f>
        <v>Hugo Ernesto</v>
      </c>
      <c r="D560" s="16" t="str">
        <f ca="1">IFERROR(__xludf.UNSUPPORTED("""COMPUTED_VALUE"""),"AS732013")</f>
        <v>AS732013</v>
      </c>
    </row>
    <row r="561" spans="1:4" ht="14.25">
      <c r="A561" s="16" t="str">
        <f ca="1">IFERROR(__xludf.UNSUPPORTED("""COMPUTED_VALUE"""),"Perelló Berenguer, Gemma")</f>
        <v>Perelló Berenguer, Gemma</v>
      </c>
      <c r="B561" s="16" t="str">
        <f ca="1">IFERROR(__xludf.UNSUPPORTED("""COMPUTED_VALUE"""),"Perelló Berenguer")</f>
        <v>Perelló Berenguer</v>
      </c>
      <c r="C561" s="16" t="str">
        <f ca="1">IFERROR(__xludf.UNSUPPORTED("""COMPUTED_VALUE"""),"Gemma")</f>
        <v>Gemma</v>
      </c>
      <c r="D561" s="16" t="str">
        <f ca="1">IFERROR(__xludf.UNSUPPORTED("""COMPUTED_VALUE"""),"39707934K")</f>
        <v>39707934K</v>
      </c>
    </row>
    <row r="562" spans="1:4" ht="14.25">
      <c r="A562" s="16" t="str">
        <f ca="1">IFERROR(__xludf.UNSUPPORTED("""COMPUTED_VALUE"""),"Pérez, Joana Vanesa")</f>
        <v>Pérez, Joana Vanesa</v>
      </c>
      <c r="B562" s="16" t="str">
        <f ca="1">IFERROR(__xludf.UNSUPPORTED("""COMPUTED_VALUE"""),"Pérez")</f>
        <v>Pérez</v>
      </c>
      <c r="C562" s="16" t="str">
        <f ca="1">IFERROR(__xludf.UNSUPPORTED("""COMPUTED_VALUE"""),"Joana Vanesa")</f>
        <v>Joana Vanesa</v>
      </c>
      <c r="D562" s="16" t="str">
        <f ca="1">IFERROR(__xludf.UNSUPPORTED("""COMPUTED_VALUE"""),"13377735S")</f>
        <v>13377735S</v>
      </c>
    </row>
    <row r="563" spans="1:4" ht="14.25">
      <c r="A563" s="16" t="str">
        <f ca="1">IFERROR(__xludf.UNSUPPORTED("""COMPUTED_VALUE"""),"Pérez Alonso, Antonio")</f>
        <v>Pérez Alonso, Antonio</v>
      </c>
      <c r="B563" s="16" t="str">
        <f ca="1">IFERROR(__xludf.UNSUPPORTED("""COMPUTED_VALUE"""),"Pérez Alonso")</f>
        <v>Pérez Alonso</v>
      </c>
      <c r="C563" s="16" t="str">
        <f ca="1">IFERROR(__xludf.UNSUPPORTED("""COMPUTED_VALUE"""),"Antonio")</f>
        <v>Antonio</v>
      </c>
      <c r="D563" s="16" t="str">
        <f ca="1">IFERROR(__xludf.UNSUPPORTED("""COMPUTED_VALUE"""),"50546626D")</f>
        <v>50546626D</v>
      </c>
    </row>
    <row r="564" spans="1:4" ht="14.25">
      <c r="A564" s="16" t="str">
        <f ca="1">IFERROR(__xludf.UNSUPPORTED("""COMPUTED_VALUE"""),"Pérez Álvarez, Manuel")</f>
        <v>Pérez Álvarez, Manuel</v>
      </c>
      <c r="B564" s="16" t="str">
        <f ca="1">IFERROR(__xludf.UNSUPPORTED("""COMPUTED_VALUE"""),"Pérez Álvarez")</f>
        <v>Pérez Álvarez</v>
      </c>
      <c r="C564" s="16" t="str">
        <f ca="1">IFERROR(__xludf.UNSUPPORTED("""COMPUTED_VALUE"""),"Manuel")</f>
        <v>Manuel</v>
      </c>
      <c r="D564" s="16" t="str">
        <f ca="1">IFERROR(__xludf.UNSUPPORTED("""COMPUTED_VALUE"""),"78937913G")</f>
        <v>78937913G</v>
      </c>
    </row>
    <row r="565" spans="1:4" ht="14.25">
      <c r="A565" s="16" t="str">
        <f ca="1">IFERROR(__xludf.UNSUPPORTED("""COMPUTED_VALUE"""),"Pérez Camps, Mireia")</f>
        <v>Pérez Camps, Mireia</v>
      </c>
      <c r="B565" s="16" t="str">
        <f ca="1">IFERROR(__xludf.UNSUPPORTED("""COMPUTED_VALUE"""),"Pérez Camps")</f>
        <v>Pérez Camps</v>
      </c>
      <c r="C565" s="16" t="str">
        <f ca="1">IFERROR(__xludf.UNSUPPORTED("""COMPUTED_VALUE"""),"Mireia")</f>
        <v>Mireia</v>
      </c>
      <c r="D565" s="16" t="str">
        <f ca="1">IFERROR(__xludf.UNSUPPORTED("""COMPUTED_VALUE"""),"22582310J")</f>
        <v>22582310J</v>
      </c>
    </row>
    <row r="566" spans="1:4" ht="14.25">
      <c r="A566" s="16" t="str">
        <f ca="1">IFERROR(__xludf.UNSUPPORTED("""COMPUTED_VALUE"""),"Pérez Cobas, Ana Elena")</f>
        <v>Pérez Cobas, Ana Elena</v>
      </c>
      <c r="B566" s="16" t="str">
        <f ca="1">IFERROR(__xludf.UNSUPPORTED("""COMPUTED_VALUE"""),"Pérez Cobas")</f>
        <v>Pérez Cobas</v>
      </c>
      <c r="C566" s="16" t="str">
        <f ca="1">IFERROR(__xludf.UNSUPPORTED("""COMPUTED_VALUE"""),"Ana Elena")</f>
        <v>Ana Elena</v>
      </c>
      <c r="D566" s="16" t="str">
        <f ca="1">IFERROR(__xludf.UNSUPPORTED("""COMPUTED_VALUE"""),"21003643C")</f>
        <v>21003643C</v>
      </c>
    </row>
    <row r="567" spans="1:4" ht="14.25">
      <c r="A567" s="16" t="str">
        <f ca="1">IFERROR(__xludf.UNSUPPORTED("""COMPUTED_VALUE"""),"Pérez Corella, Daniel")</f>
        <v>Pérez Corella, Daniel</v>
      </c>
      <c r="B567" s="16" t="str">
        <f ca="1">IFERROR(__xludf.UNSUPPORTED("""COMPUTED_VALUE"""),"Pérez Corella")</f>
        <v>Pérez Corella</v>
      </c>
      <c r="C567" s="16" t="str">
        <f ca="1">IFERROR(__xludf.UNSUPPORTED("""COMPUTED_VALUE"""),"Daniel")</f>
        <v>Daniel</v>
      </c>
      <c r="D567" s="16" t="str">
        <f ca="1">IFERROR(__xludf.UNSUPPORTED("""COMPUTED_VALUE"""),"45799968E")</f>
        <v>45799968E</v>
      </c>
    </row>
    <row r="568" spans="1:4" ht="14.25">
      <c r="A568" s="16" t="str">
        <f ca="1">IFERROR(__xludf.UNSUPPORTED("""COMPUTED_VALUE"""),"Pérez Escobedo, Paloma")</f>
        <v>Pérez Escobedo, Paloma</v>
      </c>
      <c r="B568" s="16" t="str">
        <f ca="1">IFERROR(__xludf.UNSUPPORTED("""COMPUTED_VALUE"""),"Pérez Escobedo")</f>
        <v>Pérez Escobedo</v>
      </c>
      <c r="C568" s="16" t="str">
        <f ca="1">IFERROR(__xludf.UNSUPPORTED("""COMPUTED_VALUE"""),"Paloma")</f>
        <v>Paloma</v>
      </c>
      <c r="D568" s="16" t="str">
        <f ca="1">IFERROR(__xludf.UNSUPPORTED("""COMPUTED_VALUE"""),"50595524D")</f>
        <v>50595524D</v>
      </c>
    </row>
    <row r="569" spans="1:4" ht="14.25">
      <c r="A569" s="16" t="str">
        <f ca="1">IFERROR(__xludf.UNSUPPORTED("""COMPUTED_VALUE"""),"Pérez Flores, Javier José")</f>
        <v>Pérez Flores, Javier José</v>
      </c>
      <c r="B569" s="16" t="str">
        <f ca="1">IFERROR(__xludf.UNSUPPORTED("""COMPUTED_VALUE"""),"Pérez Flores")</f>
        <v>Pérez Flores</v>
      </c>
      <c r="C569" s="16" t="str">
        <f ca="1">IFERROR(__xludf.UNSUPPORTED("""COMPUTED_VALUE"""),"Javier José")</f>
        <v>Javier José</v>
      </c>
      <c r="D569" s="16" t="str">
        <f ca="1">IFERROR(__xludf.UNSUPPORTED("""COMPUTED_VALUE"""),"78852982N")</f>
        <v>78852982N</v>
      </c>
    </row>
    <row r="570" spans="1:4" ht="14.25">
      <c r="A570" s="16" t="str">
        <f ca="1">IFERROR(__xludf.UNSUPPORTED("""COMPUTED_VALUE"""),"Pérez Gálvez, Bartolomé")</f>
        <v>Pérez Gálvez, Bartolomé</v>
      </c>
      <c r="B570" s="16" t="str">
        <f ca="1">IFERROR(__xludf.UNSUPPORTED("""COMPUTED_VALUE"""),"Pérez Gálvez")</f>
        <v>Pérez Gálvez</v>
      </c>
      <c r="C570" s="16" t="str">
        <f ca="1">IFERROR(__xludf.UNSUPPORTED("""COMPUTED_VALUE"""),"Bartolomé")</f>
        <v>Bartolomé</v>
      </c>
      <c r="D570" s="16" t="str">
        <f ca="1">IFERROR(__xludf.UNSUPPORTED("""COMPUTED_VALUE"""),"21446145W")</f>
        <v>21446145W</v>
      </c>
    </row>
    <row r="571" spans="1:4" ht="14.25">
      <c r="A571" s="16" t="str">
        <f ca="1">IFERROR(__xludf.UNSUPPORTED("""COMPUTED_VALUE"""),"Pérez Hernández, Javier")</f>
        <v>Pérez Hernández, Javier</v>
      </c>
      <c r="B571" s="16" t="str">
        <f ca="1">IFERROR(__xludf.UNSUPPORTED("""COMPUTED_VALUE"""),"Pérez Hernández")</f>
        <v>Pérez Hernández</v>
      </c>
      <c r="C571" s="16" t="str">
        <f ca="1">IFERROR(__xludf.UNSUPPORTED("""COMPUTED_VALUE"""),"Javier")</f>
        <v>Javier</v>
      </c>
      <c r="D571" s="16" t="str">
        <f ca="1">IFERROR(__xludf.UNSUPPORTED("""COMPUTED_VALUE"""),"21685189F")</f>
        <v>21685189F</v>
      </c>
    </row>
    <row r="572" spans="1:4" ht="14.25">
      <c r="A572" s="16" t="str">
        <f ca="1">IFERROR(__xludf.UNSUPPORTED("""COMPUTED_VALUE"""),"Pérez López, Lydia")</f>
        <v>Pérez López, Lydia</v>
      </c>
      <c r="B572" s="16" t="str">
        <f ca="1">IFERROR(__xludf.UNSUPPORTED("""COMPUTED_VALUE"""),"Pérez López")</f>
        <v>Pérez López</v>
      </c>
      <c r="C572" s="16" t="str">
        <f ca="1">IFERROR(__xludf.UNSUPPORTED("""COMPUTED_VALUE"""),"Lydia")</f>
        <v>Lydia</v>
      </c>
      <c r="D572" s="16" t="str">
        <f ca="1">IFERROR(__xludf.UNSUPPORTED("""COMPUTED_VALUE"""),"47431173K")</f>
        <v>47431173K</v>
      </c>
    </row>
    <row r="573" spans="1:4" ht="14.25">
      <c r="A573" s="16" t="str">
        <f ca="1">IFERROR(__xludf.UNSUPPORTED("""COMPUTED_VALUE"""),"Pérez Muñoz, Alfonso")</f>
        <v>Pérez Muñoz, Alfonso</v>
      </c>
      <c r="B573" s="16" t="str">
        <f ca="1">IFERROR(__xludf.UNSUPPORTED("""COMPUTED_VALUE"""),"Pérez Muñoz")</f>
        <v>Pérez Muñoz</v>
      </c>
      <c r="C573" s="16" t="str">
        <f ca="1">IFERROR(__xludf.UNSUPPORTED("""COMPUTED_VALUE"""),"Alfonso")</f>
        <v>Alfonso</v>
      </c>
      <c r="D573" s="16" t="str">
        <f ca="1">IFERROR(__xludf.UNSUPPORTED("""COMPUTED_VALUE"""),"36977136J")</f>
        <v>36977136J</v>
      </c>
    </row>
    <row r="574" spans="1:4" ht="14.25">
      <c r="A574" s="16" t="str">
        <f ca="1">IFERROR(__xludf.UNSUPPORTED("""COMPUTED_VALUE"""),"Pérez Pascual, David")</f>
        <v>Pérez Pascual, David</v>
      </c>
      <c r="B574" s="16" t="str">
        <f ca="1">IFERROR(__xludf.UNSUPPORTED("""COMPUTED_VALUE"""),"Pérez Pascual")</f>
        <v>Pérez Pascual</v>
      </c>
      <c r="C574" s="16" t="str">
        <f ca="1">IFERROR(__xludf.UNSUPPORTED("""COMPUTED_VALUE"""),"David")</f>
        <v>David</v>
      </c>
      <c r="D574" s="16" t="str">
        <f ca="1">IFERROR(__xludf.UNSUPPORTED("""COMPUTED_VALUE"""),"72397430P")</f>
        <v>72397430P</v>
      </c>
    </row>
    <row r="575" spans="1:4" ht="14.25">
      <c r="A575" s="16" t="str">
        <f ca="1">IFERROR(__xludf.UNSUPPORTED("""COMPUTED_VALUE"""),"Pérez Rodríguez, Mariela Sofia")</f>
        <v>Pérez Rodríguez, Mariela Sofia</v>
      </c>
      <c r="B575" s="16" t="str">
        <f ca="1">IFERROR(__xludf.UNSUPPORTED("""COMPUTED_VALUE"""),"Pérez Rodríguez")</f>
        <v>Pérez Rodríguez</v>
      </c>
      <c r="C575" s="16" t="str">
        <f ca="1">IFERROR(__xludf.UNSUPPORTED("""COMPUTED_VALUE"""),"Mariela Sofia")</f>
        <v>Mariela Sofia</v>
      </c>
      <c r="D575" s="19">
        <f ca="1">IFERROR(__xludf.UNSUPPORTED("""COMPUTED_VALUE"""),7989272)</f>
        <v>7989272</v>
      </c>
    </row>
    <row r="576" spans="1:4" ht="14.25">
      <c r="A576" s="16" t="str">
        <f ca="1">IFERROR(__xludf.UNSUPPORTED("""COMPUTED_VALUE"""),"Pérez Rodríguez, Sandra ")</f>
        <v xml:space="preserve">Pérez Rodríguez, Sandra </v>
      </c>
      <c r="B576" s="16" t="str">
        <f ca="1">IFERROR(__xludf.UNSUPPORTED("""COMPUTED_VALUE"""),"Pérez Rodríguez")</f>
        <v>Pérez Rodríguez</v>
      </c>
      <c r="C576" s="16" t="str">
        <f ca="1">IFERROR(__xludf.UNSUPPORTED("""COMPUTED_VALUE"""),"Sandra ")</f>
        <v xml:space="preserve">Sandra </v>
      </c>
      <c r="D576" s="16" t="str">
        <f ca="1">IFERROR(__xludf.UNSUPPORTED("""COMPUTED_VALUE"""),"53050002L")</f>
        <v>53050002L</v>
      </c>
    </row>
    <row r="577" spans="1:4" ht="14.25">
      <c r="A577" s="16" t="str">
        <f ca="1">IFERROR(__xludf.UNSUPPORTED("""COMPUTED_VALUE"""),"Pérez Tabares, Miguel")</f>
        <v>Pérez Tabares, Miguel</v>
      </c>
      <c r="B577" s="16" t="str">
        <f ca="1">IFERROR(__xludf.UNSUPPORTED("""COMPUTED_VALUE"""),"Pérez Tabares")</f>
        <v>Pérez Tabares</v>
      </c>
      <c r="C577" s="16" t="str">
        <f ca="1">IFERROR(__xludf.UNSUPPORTED("""COMPUTED_VALUE"""),"Miguel")</f>
        <v>Miguel</v>
      </c>
      <c r="D577" s="16" t="str">
        <f ca="1">IFERROR(__xludf.UNSUPPORTED("""COMPUTED_VALUE"""),"71143133Q")</f>
        <v>71143133Q</v>
      </c>
    </row>
    <row r="578" spans="1:4" ht="14.25">
      <c r="A578" s="16" t="str">
        <f ca="1">IFERROR(__xludf.UNSUPPORTED("""COMPUTED_VALUE"""),"Pérez Valle, Jorge")</f>
        <v>Pérez Valle, Jorge</v>
      </c>
      <c r="B578" s="16" t="str">
        <f ca="1">IFERROR(__xludf.UNSUPPORTED("""COMPUTED_VALUE"""),"Pérez Valle")</f>
        <v>Pérez Valle</v>
      </c>
      <c r="C578" s="16" t="str">
        <f ca="1">IFERROR(__xludf.UNSUPPORTED("""COMPUTED_VALUE"""),"Jorge")</f>
        <v>Jorge</v>
      </c>
      <c r="D578" s="16" t="str">
        <f ca="1">IFERROR(__xludf.UNSUPPORTED("""COMPUTED_VALUE"""),"44863269K")</f>
        <v>44863269K</v>
      </c>
    </row>
    <row r="579" spans="1:4" ht="14.25">
      <c r="A579" s="16" t="str">
        <f ca="1">IFERROR(__xludf.UNSUPPORTED("""COMPUTED_VALUE"""),"Peris Giménez, Júlia")</f>
        <v>Peris Giménez, Júlia</v>
      </c>
      <c r="B579" s="16" t="str">
        <f ca="1">IFERROR(__xludf.UNSUPPORTED("""COMPUTED_VALUE"""),"Peris Giménez")</f>
        <v>Peris Giménez</v>
      </c>
      <c r="C579" s="16" t="str">
        <f ca="1">IFERROR(__xludf.UNSUPPORTED("""COMPUTED_VALUE"""),"Júlia")</f>
        <v>Júlia</v>
      </c>
      <c r="D579" s="16" t="str">
        <f ca="1">IFERROR(__xludf.UNSUPPORTED("""COMPUTED_VALUE"""),"47946457J")</f>
        <v>47946457J</v>
      </c>
    </row>
    <row r="580" spans="1:4" ht="14.25">
      <c r="A580" s="16" t="str">
        <f ca="1">IFERROR(__xludf.UNSUPPORTED("""COMPUTED_VALUE"""),"Picado Méndez, Manuel")</f>
        <v>Picado Méndez, Manuel</v>
      </c>
      <c r="B580" s="16" t="str">
        <f ca="1">IFERROR(__xludf.UNSUPPORTED("""COMPUTED_VALUE"""),"Picado Méndez")</f>
        <v>Picado Méndez</v>
      </c>
      <c r="C580" s="16" t="str">
        <f ca="1">IFERROR(__xludf.UNSUPPORTED("""COMPUTED_VALUE"""),"Manuel")</f>
        <v>Manuel</v>
      </c>
      <c r="D580" s="16" t="str">
        <f ca="1">IFERROR(__xludf.UNSUPPORTED("""COMPUTED_VALUE"""),"43408464N")</f>
        <v>43408464N</v>
      </c>
    </row>
    <row r="581" spans="1:4" ht="14.25">
      <c r="A581" s="16" t="str">
        <f ca="1">IFERROR(__xludf.UNSUPPORTED("""COMPUTED_VALUE"""),"Pina López, David")</f>
        <v>Pina López, David</v>
      </c>
      <c r="B581" s="16" t="str">
        <f ca="1">IFERROR(__xludf.UNSUPPORTED("""COMPUTED_VALUE"""),"Pina López")</f>
        <v>Pina López</v>
      </c>
      <c r="C581" s="16" t="str">
        <f ca="1">IFERROR(__xludf.UNSUPPORTED("""COMPUTED_VALUE"""),"David")</f>
        <v>David</v>
      </c>
      <c r="D581" s="16" t="str">
        <f ca="1">IFERROR(__xludf.UNSUPPORTED("""COMPUTED_VALUE"""),"48524724Z")</f>
        <v>48524724Z</v>
      </c>
    </row>
    <row r="582" spans="1:4" ht="14.25">
      <c r="A582" s="16" t="str">
        <f ca="1">IFERROR(__xludf.UNSUPPORTED("""COMPUTED_VALUE"""),"Pinazo Clapés, Carolina")</f>
        <v>Pinazo Clapés, Carolina</v>
      </c>
      <c r="B582" s="16" t="str">
        <f ca="1">IFERROR(__xludf.UNSUPPORTED("""COMPUTED_VALUE"""),"Pinazo Clapés")</f>
        <v>Pinazo Clapés</v>
      </c>
      <c r="C582" s="16" t="str">
        <f ca="1">IFERROR(__xludf.UNSUPPORTED("""COMPUTED_VALUE"""),"Carolina")</f>
        <v>Carolina</v>
      </c>
      <c r="D582" s="16" t="str">
        <f ca="1">IFERROR(__xludf.UNSUPPORTED("""COMPUTED_VALUE"""),"48408859T")</f>
        <v>48408859T</v>
      </c>
    </row>
    <row r="583" spans="1:4" ht="14.25">
      <c r="A583" s="16" t="str">
        <f ca="1">IFERROR(__xludf.UNSUPPORTED("""COMPUTED_VALUE"""),"Pinel Arroyo, Luis")</f>
        <v>Pinel Arroyo, Luis</v>
      </c>
      <c r="B583" s="16" t="str">
        <f ca="1">IFERROR(__xludf.UNSUPPORTED("""COMPUTED_VALUE"""),"Pinel Arroyo")</f>
        <v>Pinel Arroyo</v>
      </c>
      <c r="C583" s="16" t="str">
        <f ca="1">IFERROR(__xludf.UNSUPPORTED("""COMPUTED_VALUE"""),"Luis")</f>
        <v>Luis</v>
      </c>
      <c r="D583" s="16" t="str">
        <f ca="1">IFERROR(__xludf.UNSUPPORTED("""COMPUTED_VALUE"""),"71223780W")</f>
        <v>71223780W</v>
      </c>
    </row>
    <row r="584" spans="1:4" ht="14.25">
      <c r="A584" s="16" t="str">
        <f ca="1">IFERROR(__xludf.UNSUPPORTED("""COMPUTED_VALUE"""),"Pintado Cucarella, María Sheila")</f>
        <v>Pintado Cucarella, María Sheila</v>
      </c>
      <c r="B584" s="16" t="str">
        <f ca="1">IFERROR(__xludf.UNSUPPORTED("""COMPUTED_VALUE"""),"Pintado Cucarella")</f>
        <v>Pintado Cucarella</v>
      </c>
      <c r="C584" s="16" t="str">
        <f ca="1">IFERROR(__xludf.UNSUPPORTED("""COMPUTED_VALUE"""),"María Sheila")</f>
        <v>María Sheila</v>
      </c>
      <c r="D584" s="16" t="str">
        <f ca="1">IFERROR(__xludf.UNSUPPORTED("""COMPUTED_VALUE"""),"20040705T")</f>
        <v>20040705T</v>
      </c>
    </row>
    <row r="585" spans="1:4" ht="14.25">
      <c r="A585" s="16" t="str">
        <f ca="1">IFERROR(__xludf.UNSUPPORTED("""COMPUTED_VALUE"""),"Píriz Bartivas, José Luis")</f>
        <v>Píriz Bartivas, José Luis</v>
      </c>
      <c r="B585" s="16" t="str">
        <f ca="1">IFERROR(__xludf.UNSUPPORTED("""COMPUTED_VALUE"""),"Píriz Bartivas")</f>
        <v>Píriz Bartivas</v>
      </c>
      <c r="C585" s="16" t="str">
        <f ca="1">IFERROR(__xludf.UNSUPPORTED("""COMPUTED_VALUE"""),"José Luis")</f>
        <v>José Luis</v>
      </c>
      <c r="D585" s="16" t="str">
        <f ca="1">IFERROR(__xludf.UNSUPPORTED("""COMPUTED_VALUE"""),"76050507H")</f>
        <v>76050507H</v>
      </c>
    </row>
    <row r="586" spans="1:4" ht="14.25">
      <c r="A586" s="16" t="str">
        <f ca="1">IFERROR(__xludf.UNSUPPORTED("""COMPUTED_VALUE"""),"Pisano, Ignacio Luis")</f>
        <v>Pisano, Ignacio Luis</v>
      </c>
      <c r="B586" s="16" t="str">
        <f ca="1">IFERROR(__xludf.UNSUPPORTED("""COMPUTED_VALUE"""),"Pisano")</f>
        <v>Pisano</v>
      </c>
      <c r="C586" s="16" t="str">
        <f ca="1">IFERROR(__xludf.UNSUPPORTED("""COMPUTED_VALUE"""),"Ignacio Luis")</f>
        <v>Ignacio Luis</v>
      </c>
      <c r="D586" s="16" t="str">
        <f ca="1">IFERROR(__xludf.UNSUPPORTED("""COMPUTED_VALUE"""),"X4827156P")</f>
        <v>X4827156P</v>
      </c>
    </row>
    <row r="587" spans="1:4" ht="14.25">
      <c r="A587" s="16" t="str">
        <f ca="1">IFERROR(__xludf.UNSUPPORTED("""COMPUTED_VALUE"""),"Ponce Márquez, Sara")</f>
        <v>Ponce Márquez, Sara</v>
      </c>
      <c r="B587" s="16" t="str">
        <f ca="1">IFERROR(__xludf.UNSUPPORTED("""COMPUTED_VALUE"""),"Ponce Márquez")</f>
        <v>Ponce Márquez</v>
      </c>
      <c r="C587" s="16" t="str">
        <f ca="1">IFERROR(__xludf.UNSUPPORTED("""COMPUTED_VALUE"""),"Sara")</f>
        <v>Sara</v>
      </c>
      <c r="D587" s="16" t="str">
        <f ca="1">IFERROR(__xludf.UNSUPPORTED("""COMPUTED_VALUE"""),"20187154P")</f>
        <v>20187154P</v>
      </c>
    </row>
    <row r="588" spans="1:4" ht="14.25">
      <c r="A588" s="16" t="str">
        <f ca="1">IFERROR(__xludf.UNSUPPORTED("""COMPUTED_VALUE"""),"Pórcar Gozalbo, Nadia")</f>
        <v>Pórcar Gozalbo, Nadia</v>
      </c>
      <c r="B588" s="16" t="str">
        <f ca="1">IFERROR(__xludf.UNSUPPORTED("""COMPUTED_VALUE"""),"Pórcar Gozalbo")</f>
        <v>Pórcar Gozalbo</v>
      </c>
      <c r="C588" s="16" t="str">
        <f ca="1">IFERROR(__xludf.UNSUPPORTED("""COMPUTED_VALUE"""),"Nadia")</f>
        <v>Nadia</v>
      </c>
      <c r="D588" s="16" t="str">
        <f ca="1">IFERROR(__xludf.UNSUPPORTED("""COMPUTED_VALUE"""),"20613178A")</f>
        <v>20613178A</v>
      </c>
    </row>
    <row r="589" spans="1:4" ht="14.25">
      <c r="A589" s="16" t="str">
        <f ca="1">IFERROR(__xludf.UNSUPPORTED("""COMPUTED_VALUE"""),"Portela Leiva, Yara María")</f>
        <v>Portela Leiva, Yara María</v>
      </c>
      <c r="B589" s="16" t="str">
        <f ca="1">IFERROR(__xludf.UNSUPPORTED("""COMPUTED_VALUE"""),"Portela Leiva")</f>
        <v>Portela Leiva</v>
      </c>
      <c r="C589" s="16" t="str">
        <f ca="1">IFERROR(__xludf.UNSUPPORTED("""COMPUTED_VALUE"""),"Yara María")</f>
        <v>Yara María</v>
      </c>
      <c r="D589" s="16">
        <f ca="1">IFERROR(__xludf.UNSUPPORTED("""COMPUTED_VALUE"""),960453512001)</f>
        <v>960453512001</v>
      </c>
    </row>
    <row r="590" spans="1:4" ht="14.25">
      <c r="A590" s="16" t="str">
        <f ca="1">IFERROR(__xludf.UNSUPPORTED("""COMPUTED_VALUE"""),"Postigo Martínez, Javier")</f>
        <v>Postigo Martínez, Javier</v>
      </c>
      <c r="B590" s="16" t="str">
        <f ca="1">IFERROR(__xludf.UNSUPPORTED("""COMPUTED_VALUE"""),"Postigo Martínez")</f>
        <v>Postigo Martínez</v>
      </c>
      <c r="C590" s="16" t="str">
        <f ca="1">IFERROR(__xludf.UNSUPPORTED("""COMPUTED_VALUE"""),"Javier")</f>
        <v>Javier</v>
      </c>
      <c r="D590" s="16" t="str">
        <f ca="1">IFERROR(__xludf.UNSUPPORTED("""COMPUTED_VALUE"""),"76641326J")</f>
        <v>76641326J</v>
      </c>
    </row>
    <row r="591" spans="1:4" ht="14.25">
      <c r="A591" s="16" t="str">
        <f ca="1">IFERROR(__xludf.UNSUPPORTED("""COMPUTED_VALUE"""),"Poveda García, Ana")</f>
        <v>Poveda García, Ana</v>
      </c>
      <c r="B591" s="16" t="str">
        <f ca="1">IFERROR(__xludf.UNSUPPORTED("""COMPUTED_VALUE"""),"Poveda García")</f>
        <v>Poveda García</v>
      </c>
      <c r="C591" s="16" t="str">
        <f ca="1">IFERROR(__xludf.UNSUPPORTED("""COMPUTED_VALUE"""),"Ana")</f>
        <v>Ana</v>
      </c>
      <c r="D591" s="16" t="str">
        <f ca="1">IFERROR(__xludf.UNSUPPORTED("""COMPUTED_VALUE"""),"53428642x")</f>
        <v>53428642x</v>
      </c>
    </row>
    <row r="592" spans="1:4" ht="14.25">
      <c r="A592" s="16" t="str">
        <f ca="1">IFERROR(__xludf.UNSUPPORTED("""COMPUTED_VALUE"""),"Poyato Vega, Natalia")</f>
        <v>Poyato Vega, Natalia</v>
      </c>
      <c r="B592" s="16" t="str">
        <f ca="1">IFERROR(__xludf.UNSUPPORTED("""COMPUTED_VALUE"""),"Poyato Vega")</f>
        <v>Poyato Vega</v>
      </c>
      <c r="C592" s="16" t="str">
        <f ca="1">IFERROR(__xludf.UNSUPPORTED("""COMPUTED_VALUE"""),"Natalia")</f>
        <v>Natalia</v>
      </c>
      <c r="D592" s="16" t="str">
        <f ca="1">IFERROR(__xludf.UNSUPPORTED("""COMPUTED_VALUE"""),"49005959C")</f>
        <v>49005959C</v>
      </c>
    </row>
    <row r="593" spans="1:4" ht="14.25">
      <c r="A593" s="16" t="str">
        <f ca="1">IFERROR(__xludf.UNSUPPORTED("""COMPUTED_VALUE"""),"Preciado Mora, Mónica")</f>
        <v>Preciado Mora, Mónica</v>
      </c>
      <c r="B593" s="16" t="str">
        <f ca="1">IFERROR(__xludf.UNSUPPORTED("""COMPUTED_VALUE"""),"Preciado Mora")</f>
        <v>Preciado Mora</v>
      </c>
      <c r="C593" s="16" t="str">
        <f ca="1">IFERROR(__xludf.UNSUPPORTED("""COMPUTED_VALUE"""),"Mónica")</f>
        <v>Mónica</v>
      </c>
      <c r="D593" s="16" t="str">
        <f ca="1">IFERROR(__xludf.UNSUPPORTED("""COMPUTED_VALUE"""),"30360134L")</f>
        <v>30360134L</v>
      </c>
    </row>
    <row r="594" spans="1:4" ht="14.25">
      <c r="A594" s="16" t="str">
        <f ca="1">IFERROR(__xludf.UNSUPPORTED("""COMPUTED_VALUE"""),"Privado Zamorano, Jesús")</f>
        <v>Privado Zamorano, Jesús</v>
      </c>
      <c r="B594" s="16" t="str">
        <f ca="1">IFERROR(__xludf.UNSUPPORTED("""COMPUTED_VALUE"""),"Privado Zamorano")</f>
        <v>Privado Zamorano</v>
      </c>
      <c r="C594" s="16" t="str">
        <f ca="1">IFERROR(__xludf.UNSUPPORTED("""COMPUTED_VALUE"""),"Jesús")</f>
        <v>Jesús</v>
      </c>
      <c r="D594" s="16" t="str">
        <f ca="1">IFERROR(__xludf.UNSUPPORTED("""COMPUTED_VALUE"""),"70347096D")</f>
        <v>70347096D</v>
      </c>
    </row>
    <row r="595" spans="1:4" ht="14.25">
      <c r="A595" s="16" t="str">
        <f ca="1">IFERROR(__xludf.UNSUPPORTED("""COMPUTED_VALUE"""),"Puchol Soriano, Sara")</f>
        <v>Puchol Soriano, Sara</v>
      </c>
      <c r="B595" s="16" t="str">
        <f ca="1">IFERROR(__xludf.UNSUPPORTED("""COMPUTED_VALUE"""),"Puchol Soriano")</f>
        <v>Puchol Soriano</v>
      </c>
      <c r="C595" s="16" t="str">
        <f ca="1">IFERROR(__xludf.UNSUPPORTED("""COMPUTED_VALUE"""),"Sara")</f>
        <v>Sara</v>
      </c>
      <c r="D595" s="16" t="str">
        <f ca="1">IFERROR(__xludf.UNSUPPORTED("""COMPUTED_VALUE"""),"20464667A")</f>
        <v>20464667A</v>
      </c>
    </row>
    <row r="596" spans="1:4" ht="14.25">
      <c r="A596" s="16" t="str">
        <f ca="1">IFERROR(__xludf.UNSUPPORTED("""COMPUTED_VALUE"""),"Puertas Martín, Verónica")</f>
        <v>Puertas Martín, Verónica</v>
      </c>
      <c r="B596" s="16" t="str">
        <f ca="1">IFERROR(__xludf.UNSUPPORTED("""COMPUTED_VALUE"""),"Puertas Martín")</f>
        <v>Puertas Martín</v>
      </c>
      <c r="C596" s="16" t="str">
        <f ca="1">IFERROR(__xludf.UNSUPPORTED("""COMPUTED_VALUE"""),"Verónica")</f>
        <v>Verónica</v>
      </c>
      <c r="D596" s="16" t="str">
        <f ca="1">IFERROR(__xludf.UNSUPPORTED("""COMPUTED_VALUE"""),"76121999A")</f>
        <v>76121999A</v>
      </c>
    </row>
    <row r="597" spans="1:4" ht="14.25">
      <c r="A597" s="16" t="str">
        <f ca="1">IFERROR(__xludf.UNSUPPORTED("""COMPUTED_VALUE"""),"Puig Herreros, Clara")</f>
        <v>Puig Herreros, Clara</v>
      </c>
      <c r="B597" s="16" t="str">
        <f ca="1">IFERROR(__xludf.UNSUPPORTED("""COMPUTED_VALUE"""),"Puig Herreros")</f>
        <v>Puig Herreros</v>
      </c>
      <c r="C597" s="16" t="str">
        <f ca="1">IFERROR(__xludf.UNSUPPORTED("""COMPUTED_VALUE"""),"Clara")</f>
        <v>Clara</v>
      </c>
      <c r="D597" s="16" t="str">
        <f ca="1">IFERROR(__xludf.UNSUPPORTED("""COMPUTED_VALUE"""),"20060011D")</f>
        <v>20060011D</v>
      </c>
    </row>
    <row r="598" spans="1:4" ht="14.25">
      <c r="A598" s="16" t="str">
        <f ca="1">IFERROR(__xludf.UNSUPPORTED("""COMPUTED_VALUE"""),"Puig Pérez, Sara")</f>
        <v>Puig Pérez, Sara</v>
      </c>
      <c r="B598" s="16" t="str">
        <f ca="1">IFERROR(__xludf.UNSUPPORTED("""COMPUTED_VALUE"""),"Puig Pérez")</f>
        <v>Puig Pérez</v>
      </c>
      <c r="C598" s="16" t="str">
        <f ca="1">IFERROR(__xludf.UNSUPPORTED("""COMPUTED_VALUE"""),"Sara")</f>
        <v>Sara</v>
      </c>
      <c r="D598" s="16" t="str">
        <f ca="1">IFERROR(__xludf.UNSUPPORTED("""COMPUTED_VALUE"""),"20846724F")</f>
        <v>20846724F</v>
      </c>
    </row>
    <row r="599" spans="1:4" ht="14.25">
      <c r="A599" s="16" t="str">
        <f ca="1">IFERROR(__xludf.UNSUPPORTED("""COMPUTED_VALUE"""),"Quifer Rada, Paula")</f>
        <v>Quifer Rada, Paula</v>
      </c>
      <c r="B599" s="16" t="str">
        <f ca="1">IFERROR(__xludf.UNSUPPORTED("""COMPUTED_VALUE"""),"Quifer Rada")</f>
        <v>Quifer Rada</v>
      </c>
      <c r="C599" s="16" t="str">
        <f ca="1">IFERROR(__xludf.UNSUPPORTED("""COMPUTED_VALUE"""),"Paula")</f>
        <v>Paula</v>
      </c>
      <c r="D599" s="16" t="str">
        <f ca="1">IFERROR(__xludf.UNSUPPORTED("""COMPUTED_VALUE"""),"47273176B")</f>
        <v>47273176B</v>
      </c>
    </row>
    <row r="600" spans="1:4" ht="14.25">
      <c r="A600" s="16" t="str">
        <f ca="1">IFERROR(__xludf.UNSUPPORTED("""COMPUTED_VALUE"""),"Quiles Catalá, Amparo")</f>
        <v>Quiles Catalá, Amparo</v>
      </c>
      <c r="B600" s="16" t="str">
        <f ca="1">IFERROR(__xludf.UNSUPPORTED("""COMPUTED_VALUE"""),"Quiles Catalá")</f>
        <v>Quiles Catalá</v>
      </c>
      <c r="C600" s="16" t="str">
        <f ca="1">IFERROR(__xludf.UNSUPPORTED("""COMPUTED_VALUE"""),"Amparo")</f>
        <v>Amparo</v>
      </c>
      <c r="D600" s="16" t="str">
        <f ca="1">IFERROR(__xludf.UNSUPPORTED("""COMPUTED_VALUE"""),"22581248D")</f>
        <v>22581248D</v>
      </c>
    </row>
    <row r="601" spans="1:4" ht="14.25">
      <c r="A601" s="16" t="str">
        <f ca="1">IFERROR(__xludf.UNSUPPORTED("""COMPUTED_VALUE"""),"Quintana Hernández, Domingo Jesús")</f>
        <v>Quintana Hernández, Domingo Jesús</v>
      </c>
      <c r="B601" s="16" t="str">
        <f ca="1">IFERROR(__xludf.UNSUPPORTED("""COMPUTED_VALUE"""),"Quintana Hernández")</f>
        <v>Quintana Hernández</v>
      </c>
      <c r="C601" s="16" t="str">
        <f ca="1">IFERROR(__xludf.UNSUPPORTED("""COMPUTED_VALUE"""),"Domingo Jesús")</f>
        <v>Domingo Jesús</v>
      </c>
      <c r="D601" s="16" t="str">
        <f ca="1">IFERROR(__xludf.UNSUPPORTED("""COMPUTED_VALUE"""),"42875307H")</f>
        <v>42875307H</v>
      </c>
    </row>
    <row r="602" spans="1:4" ht="14.25">
      <c r="A602" s="16" t="str">
        <f ca="1">IFERROR(__xludf.UNSUPPORTED("""COMPUTED_VALUE"""),"Quintana López, Alida Verónica")</f>
        <v>Quintana López, Alida Verónica</v>
      </c>
      <c r="B602" s="16" t="str">
        <f ca="1">IFERROR(__xludf.UNSUPPORTED("""COMPUTED_VALUE"""),"Quintana López")</f>
        <v>Quintana López</v>
      </c>
      <c r="C602" s="16" t="str">
        <f ca="1">IFERROR(__xludf.UNSUPPORTED("""COMPUTED_VALUE"""),"Alida Verónica")</f>
        <v>Alida Verónica</v>
      </c>
      <c r="D602" s="16" t="str">
        <f ca="1">IFERROR(__xludf.UNSUPPORTED("""COMPUTED_VALUE"""),"77557162N")</f>
        <v>77557162N</v>
      </c>
    </row>
    <row r="603" spans="1:4" ht="14.25">
      <c r="A603" s="16" t="str">
        <f ca="1">IFERROR(__xludf.UNSUPPORTED("""COMPUTED_VALUE"""),"Rama Galdón, Encarnación")</f>
        <v>Rama Galdón, Encarnación</v>
      </c>
      <c r="B603" s="16" t="str">
        <f ca="1">IFERROR(__xludf.UNSUPPORTED("""COMPUTED_VALUE"""),"Rama Galdón")</f>
        <v>Rama Galdón</v>
      </c>
      <c r="C603" s="16" t="str">
        <f ca="1">IFERROR(__xludf.UNSUPPORTED("""COMPUTED_VALUE"""),"Encarnación")</f>
        <v>Encarnación</v>
      </c>
      <c r="D603" s="16" t="str">
        <f ca="1">IFERROR(__xludf.UNSUPPORTED("""COMPUTED_VALUE"""),"20848398W")</f>
        <v>20848398W</v>
      </c>
    </row>
    <row r="604" spans="1:4" ht="14.25">
      <c r="A604" s="16" t="str">
        <f ca="1">IFERROR(__xludf.UNSUPPORTED("""COMPUTED_VALUE"""),"Ramiro Cortijo, David")</f>
        <v>Ramiro Cortijo, David</v>
      </c>
      <c r="B604" s="16" t="str">
        <f ca="1">IFERROR(__xludf.UNSUPPORTED("""COMPUTED_VALUE"""),"Ramiro Cortijo")</f>
        <v>Ramiro Cortijo</v>
      </c>
      <c r="C604" s="16" t="str">
        <f ca="1">IFERROR(__xludf.UNSUPPORTED("""COMPUTED_VALUE"""),"David")</f>
        <v>David</v>
      </c>
      <c r="D604" s="16" t="str">
        <f ca="1">IFERROR(__xludf.UNSUPPORTED("""COMPUTED_VALUE"""),"50907255K")</f>
        <v>50907255K</v>
      </c>
    </row>
    <row r="605" spans="1:4" ht="14.25">
      <c r="A605" s="16" t="str">
        <f ca="1">IFERROR(__xludf.UNSUPPORTED("""COMPUTED_VALUE"""),"Ramiro Mena, Francisco de Borja")</f>
        <v>Ramiro Mena, Francisco de Borja</v>
      </c>
      <c r="B605" s="16" t="str">
        <f ca="1">IFERROR(__xludf.UNSUPPORTED("""COMPUTED_VALUE"""),"Ramiro Mena")</f>
        <v>Ramiro Mena</v>
      </c>
      <c r="C605" s="16" t="str">
        <f ca="1">IFERROR(__xludf.UNSUPPORTED("""COMPUTED_VALUE"""),"Francisco de Borja")</f>
        <v>Francisco de Borja</v>
      </c>
      <c r="D605" s="16" t="str">
        <f ca="1">IFERROR(__xludf.UNSUPPORTED("""COMPUTED_VALUE"""),"77360556X")</f>
        <v>77360556X</v>
      </c>
    </row>
    <row r="606" spans="1:4" ht="14.25">
      <c r="A606" s="16" t="str">
        <f ca="1">IFERROR(__xludf.UNSUPPORTED("""COMPUTED_VALUE"""),"Ramón Arbues, Enrique")</f>
        <v>Ramón Arbues, Enrique</v>
      </c>
      <c r="B606" s="16" t="str">
        <f ca="1">IFERROR(__xludf.UNSUPPORTED("""COMPUTED_VALUE"""),"Ramón Arbues")</f>
        <v>Ramón Arbues</v>
      </c>
      <c r="C606" s="16" t="str">
        <f ca="1">IFERROR(__xludf.UNSUPPORTED("""COMPUTED_VALUE"""),"Enrique")</f>
        <v>Enrique</v>
      </c>
      <c r="D606" s="16" t="str">
        <f ca="1">IFERROR(__xludf.UNSUPPORTED("""COMPUTED_VALUE"""),"25477396C")</f>
        <v>25477396C</v>
      </c>
    </row>
    <row r="607" spans="1:4" ht="14.25">
      <c r="A607" s="16" t="str">
        <f ca="1">IFERROR(__xludf.UNSUPPORTED("""COMPUTED_VALUE"""),"Ramos Josa, Pedro Francisco")</f>
        <v>Ramos Josa, Pedro Francisco</v>
      </c>
      <c r="B607" s="16" t="str">
        <f ca="1">IFERROR(__xludf.UNSUPPORTED("""COMPUTED_VALUE"""),"Ramos Josa")</f>
        <v>Ramos Josa</v>
      </c>
      <c r="C607" s="16" t="str">
        <f ca="1">IFERROR(__xludf.UNSUPPORTED("""COMPUTED_VALUE"""),"Pedro Francisco")</f>
        <v>Pedro Francisco</v>
      </c>
      <c r="D607" s="16" t="str">
        <f ca="1">IFERROR(__xludf.UNSUPPORTED("""COMPUTED_VALUE"""),"10202550A")</f>
        <v>10202550A</v>
      </c>
    </row>
    <row r="608" spans="1:4" ht="14.25">
      <c r="A608" s="16" t="str">
        <f ca="1">IFERROR(__xludf.UNSUPPORTED("""COMPUTED_VALUE"""),"Ramos Serra, Lidia María")</f>
        <v>Ramos Serra, Lidia María</v>
      </c>
      <c r="B608" s="16" t="str">
        <f ca="1">IFERROR(__xludf.UNSUPPORTED("""COMPUTED_VALUE"""),"Ramos Serra")</f>
        <v>Ramos Serra</v>
      </c>
      <c r="C608" s="16" t="str">
        <f ca="1">IFERROR(__xludf.UNSUPPORTED("""COMPUTED_VALUE"""),"Lidia María")</f>
        <v>Lidia María</v>
      </c>
      <c r="D608" s="16">
        <f ca="1">IFERROR(__xludf.UNSUPPORTED("""COMPUTED_VALUE"""),12655265)</f>
        <v>12655265</v>
      </c>
    </row>
    <row r="609" spans="1:4" ht="14.25">
      <c r="A609" s="16" t="str">
        <f ca="1">IFERROR(__xludf.UNSUPPORTED("""COMPUTED_VALUE"""),"Ramos Usuga, Daniela")</f>
        <v>Ramos Usuga, Daniela</v>
      </c>
      <c r="B609" s="16" t="str">
        <f ca="1">IFERROR(__xludf.UNSUPPORTED("""COMPUTED_VALUE"""),"Ramos Usuga")</f>
        <v>Ramos Usuga</v>
      </c>
      <c r="C609" s="16" t="str">
        <f ca="1">IFERROR(__xludf.UNSUPPORTED("""COMPUTED_VALUE"""),"Daniela")</f>
        <v>Daniela</v>
      </c>
      <c r="D609" s="16" t="str">
        <f ca="1">IFERROR(__xludf.UNSUPPORTED("""COMPUTED_VALUE"""),"79131525W")</f>
        <v>79131525W</v>
      </c>
    </row>
    <row r="610" spans="1:4" ht="14.25">
      <c r="A610" s="16" t="str">
        <f ca="1">IFERROR(__xludf.UNSUPPORTED("""COMPUTED_VALUE"""),"Randazzo, Walter")</f>
        <v>Randazzo, Walter</v>
      </c>
      <c r="B610" s="16" t="str">
        <f ca="1">IFERROR(__xludf.UNSUPPORTED("""COMPUTED_VALUE"""),"Randazzo")</f>
        <v>Randazzo</v>
      </c>
      <c r="C610" s="16" t="str">
        <f ca="1">IFERROR(__xludf.UNSUPPORTED("""COMPUTED_VALUE"""),"Walter")</f>
        <v>Walter</v>
      </c>
      <c r="D610" s="16" t="str">
        <f ca="1">IFERROR(__xludf.UNSUPPORTED("""COMPUTED_VALUE"""),"Y4531494W")</f>
        <v>Y4531494W</v>
      </c>
    </row>
    <row r="611" spans="1:4" ht="14.25">
      <c r="A611" s="16" t="str">
        <f ca="1">IFERROR(__xludf.UNSUPPORTED("""COMPUTED_VALUE"""),"Rasal Cantó, Paloma")</f>
        <v>Rasal Cantó, Paloma</v>
      </c>
      <c r="B611" s="16" t="str">
        <f ca="1">IFERROR(__xludf.UNSUPPORTED("""COMPUTED_VALUE"""),"Rasal Cantó")</f>
        <v>Rasal Cantó</v>
      </c>
      <c r="C611" s="16" t="str">
        <f ca="1">IFERROR(__xludf.UNSUPPORTED("""COMPUTED_VALUE"""),"Paloma")</f>
        <v>Paloma</v>
      </c>
      <c r="D611" s="16" t="str">
        <f ca="1">IFERROR(__xludf.UNSUPPORTED("""COMPUTED_VALUE"""),"52709692V")</f>
        <v>52709692V</v>
      </c>
    </row>
    <row r="612" spans="1:4" ht="14.25">
      <c r="A612" s="16" t="str">
        <f ca="1">IFERROR(__xludf.UNSUPPORTED("""COMPUTED_VALUE"""),"Rebolleda Gil, Carlos")</f>
        <v>Rebolleda Gil, Carlos</v>
      </c>
      <c r="B612" s="16" t="str">
        <f ca="1">IFERROR(__xludf.UNSUPPORTED("""COMPUTED_VALUE"""),"Rebolleda Gil")</f>
        <v>Rebolleda Gil</v>
      </c>
      <c r="C612" s="16" t="str">
        <f ca="1">IFERROR(__xludf.UNSUPPORTED("""COMPUTED_VALUE"""),"Carlos")</f>
        <v>Carlos</v>
      </c>
      <c r="D612" s="16" t="str">
        <f ca="1">IFERROR(__xludf.UNSUPPORTED("""COMPUTED_VALUE"""),"50873545Y")</f>
        <v>50873545Y</v>
      </c>
    </row>
    <row r="613" spans="1:4" ht="14.25">
      <c r="A613" s="16" t="str">
        <f ca="1">IFERROR(__xludf.UNSUPPORTED("""COMPUTED_VALUE"""),"Reig García-Galbis, Manuel")</f>
        <v>Reig García-Galbis, Manuel</v>
      </c>
      <c r="B613" s="16" t="str">
        <f ca="1">IFERROR(__xludf.UNSUPPORTED("""COMPUTED_VALUE"""),"Reig García-Galbis")</f>
        <v>Reig García-Galbis</v>
      </c>
      <c r="C613" s="16" t="str">
        <f ca="1">IFERROR(__xludf.UNSUPPORTED("""COMPUTED_VALUE"""),"Manuel")</f>
        <v>Manuel</v>
      </c>
      <c r="D613" s="16" t="str">
        <f ca="1">IFERROR(__xludf.UNSUPPORTED("""COMPUTED_VALUE"""),"73993402X")</f>
        <v>73993402X</v>
      </c>
    </row>
    <row r="614" spans="1:4" ht="14.25">
      <c r="A614" s="16" t="str">
        <f ca="1">IFERROR(__xludf.UNSUPPORTED("""COMPUTED_VALUE"""),"Rentero Garrido, Pilar")</f>
        <v>Rentero Garrido, Pilar</v>
      </c>
      <c r="B614" s="16" t="str">
        <f ca="1">IFERROR(__xludf.UNSUPPORTED("""COMPUTED_VALUE"""),"Rentero Garrido")</f>
        <v>Rentero Garrido</v>
      </c>
      <c r="C614" s="16" t="str">
        <f ca="1">IFERROR(__xludf.UNSUPPORTED("""COMPUTED_VALUE"""),"Pilar")</f>
        <v>Pilar</v>
      </c>
      <c r="D614" s="16" t="str">
        <f ca="1">IFERROR(__xludf.UNSUPPORTED("""COMPUTED_VALUE"""),"44876979T")</f>
        <v>44876979T</v>
      </c>
    </row>
    <row r="615" spans="1:4" ht="14.25">
      <c r="A615" s="16" t="str">
        <f ca="1">IFERROR(__xludf.UNSUPPORTED("""COMPUTED_VALUE"""),"Rey López, Juan Pablo")</f>
        <v>Rey López, Juan Pablo</v>
      </c>
      <c r="B615" s="16" t="str">
        <f ca="1">IFERROR(__xludf.UNSUPPORTED("""COMPUTED_VALUE"""),"Rey López")</f>
        <v>Rey López</v>
      </c>
      <c r="C615" s="16" t="str">
        <f ca="1">IFERROR(__xludf.UNSUPPORTED("""COMPUTED_VALUE"""),"Juan Pablo")</f>
        <v>Juan Pablo</v>
      </c>
      <c r="D615" s="16" t="str">
        <f ca="1">IFERROR(__xludf.UNSUPPORTED("""COMPUTED_VALUE"""),"25182787H")</f>
        <v>25182787H</v>
      </c>
    </row>
    <row r="616" spans="1:4" ht="14.25">
      <c r="A616" s="16" t="str">
        <f ca="1">IFERROR(__xludf.UNSUPPORTED("""COMPUTED_VALUE"""),"Ribes Fortanet, Diana")</f>
        <v>Ribes Fortanet, Diana</v>
      </c>
      <c r="B616" s="16" t="str">
        <f ca="1">IFERROR(__xludf.UNSUPPORTED("""COMPUTED_VALUE"""),"Ribes Fortanet")</f>
        <v>Ribes Fortanet</v>
      </c>
      <c r="C616" s="16" t="str">
        <f ca="1">IFERROR(__xludf.UNSUPPORTED("""COMPUTED_VALUE"""),"Diana")</f>
        <v>Diana</v>
      </c>
      <c r="D616" s="16" t="str">
        <f ca="1">IFERROR(__xludf.UNSUPPORTED("""COMPUTED_VALUE"""),"20249715D")</f>
        <v>20249715D</v>
      </c>
    </row>
    <row r="617" spans="1:4" ht="14.25">
      <c r="A617" s="16" t="str">
        <f ca="1">IFERROR(__xludf.UNSUPPORTED("""COMPUTED_VALUE"""),"Riffo Campos, Ángela L.")</f>
        <v>Riffo Campos, Ángela L.</v>
      </c>
      <c r="B617" s="16" t="str">
        <f ca="1">IFERROR(__xludf.UNSUPPORTED("""COMPUTED_VALUE"""),"Riffo Campos")</f>
        <v>Riffo Campos</v>
      </c>
      <c r="C617" s="16" t="str">
        <f ca="1">IFERROR(__xludf.UNSUPPORTED("""COMPUTED_VALUE"""),"Ángela L.")</f>
        <v>Ángela L.</v>
      </c>
      <c r="D617" s="16" t="str">
        <f ca="1">IFERROR(__xludf.UNSUPPORTED("""COMPUTED_VALUE"""),"Y1643865T")</f>
        <v>Y1643865T</v>
      </c>
    </row>
    <row r="618" spans="1:4" ht="14.25">
      <c r="A618" s="16" t="str">
        <f ca="1">IFERROR(__xludf.UNSUPPORTED("""COMPUTED_VALUE"""),"Río Martínez , Laura")</f>
        <v>Río Martínez , Laura</v>
      </c>
      <c r="B618" s="16" t="str">
        <f ca="1">IFERROR(__xludf.UNSUPPORTED("""COMPUTED_VALUE"""),"Río Martínez ")</f>
        <v xml:space="preserve">Río Martínez </v>
      </c>
      <c r="C618" s="16" t="str">
        <f ca="1">IFERROR(__xludf.UNSUPPORTED("""COMPUTED_VALUE"""),"Laura")</f>
        <v>Laura</v>
      </c>
      <c r="D618" s="16" t="str">
        <f ca="1">IFERROR(__xludf.UNSUPPORTED("""COMPUTED_VALUE"""),"78739196F")</f>
        <v>78739196F</v>
      </c>
    </row>
    <row r="619" spans="1:4" ht="14.25">
      <c r="A619" s="16" t="str">
        <f ca="1">IFERROR(__xludf.UNSUPPORTED("""COMPUTED_VALUE"""),"RÍos Blázquez, José Carlos")</f>
        <v>RÍos Blázquez, José Carlos</v>
      </c>
      <c r="B619" s="16" t="str">
        <f ca="1">IFERROR(__xludf.UNSUPPORTED("""COMPUTED_VALUE"""),"RÍos Blázquez")</f>
        <v>RÍos Blázquez</v>
      </c>
      <c r="C619" s="16" t="str">
        <f ca="1">IFERROR(__xludf.UNSUPPORTED("""COMPUTED_VALUE"""),"José Carlos")</f>
        <v>José Carlos</v>
      </c>
      <c r="D619" s="16" t="str">
        <f ca="1">IFERROR(__xludf.UNSUPPORTED("""COMPUTED_VALUE"""),"27344428G")</f>
        <v>27344428G</v>
      </c>
    </row>
    <row r="620" spans="1:4" ht="14.25">
      <c r="A620" s="16" t="str">
        <f ca="1">IFERROR(__xludf.UNSUPPORTED("""COMPUTED_VALUE"""),"Rivas García, Lorenzo")</f>
        <v>Rivas García, Lorenzo</v>
      </c>
      <c r="B620" s="16" t="str">
        <f ca="1">IFERROR(__xludf.UNSUPPORTED("""COMPUTED_VALUE"""),"Rivas García")</f>
        <v>Rivas García</v>
      </c>
      <c r="C620" s="16" t="str">
        <f ca="1">IFERROR(__xludf.UNSUPPORTED("""COMPUTED_VALUE"""),"Lorenzo")</f>
        <v>Lorenzo</v>
      </c>
      <c r="D620" s="16" t="str">
        <f ca="1">IFERROR(__xludf.UNSUPPORTED("""COMPUTED_VALUE"""),"75726082P")</f>
        <v>75726082P</v>
      </c>
    </row>
    <row r="621" spans="1:4" ht="14.25">
      <c r="A621" s="16" t="str">
        <f ca="1">IFERROR(__xludf.UNSUPPORTED("""COMPUTED_VALUE"""),"Rivas García, Francisco")</f>
        <v>Rivas García, Francisco</v>
      </c>
      <c r="B621" s="16" t="str">
        <f ca="1">IFERROR(__xludf.UNSUPPORTED("""COMPUTED_VALUE"""),"Rivas García")</f>
        <v>Rivas García</v>
      </c>
      <c r="C621" s="16" t="str">
        <f ca="1">IFERROR(__xludf.UNSUPPORTED("""COMPUTED_VALUE"""),"Francisco")</f>
        <v>Francisco</v>
      </c>
      <c r="D621" s="16" t="str">
        <f ca="1">IFERROR(__xludf.UNSUPPORTED("""COMPUTED_VALUE"""),"74661199W")</f>
        <v>74661199W</v>
      </c>
    </row>
    <row r="622" spans="1:4" ht="14.25">
      <c r="A622" s="16" t="str">
        <f ca="1">IFERROR(__xludf.UNSUPPORTED("""COMPUTED_VALUE"""),"Roca Morales, Pablo")</f>
        <v>Roca Morales, Pablo</v>
      </c>
      <c r="B622" s="16" t="str">
        <f ca="1">IFERROR(__xludf.UNSUPPORTED("""COMPUTED_VALUE"""),"Roca Morales")</f>
        <v>Roca Morales</v>
      </c>
      <c r="C622" s="16" t="str">
        <f ca="1">IFERROR(__xludf.UNSUPPORTED("""COMPUTED_VALUE"""),"Pablo")</f>
        <v>Pablo</v>
      </c>
      <c r="D622" s="16" t="str">
        <f ca="1">IFERROR(__xludf.UNSUPPORTED("""COMPUTED_VALUE"""),"47471290A")</f>
        <v>47471290A</v>
      </c>
    </row>
    <row r="623" spans="1:4" ht="14.25">
      <c r="A623" s="16" t="str">
        <f ca="1">IFERROR(__xludf.UNSUPPORTED("""COMPUTED_VALUE"""),"Roca Santos, Mariona")</f>
        <v>Roca Santos, Mariona</v>
      </c>
      <c r="B623" s="16" t="str">
        <f ca="1">IFERROR(__xludf.UNSUPPORTED("""COMPUTED_VALUE"""),"Roca Santos")</f>
        <v>Roca Santos</v>
      </c>
      <c r="C623" s="16" t="str">
        <f ca="1">IFERROR(__xludf.UNSUPPORTED("""COMPUTED_VALUE"""),"Mariona")</f>
        <v>Mariona</v>
      </c>
      <c r="D623" s="16" t="str">
        <f ca="1">IFERROR(__xludf.UNSUPPORTED("""COMPUTED_VALUE"""),"53395146W")</f>
        <v>53395146W</v>
      </c>
    </row>
    <row r="624" spans="1:4" ht="14.25">
      <c r="A624" s="16" t="str">
        <f ca="1">IFERROR(__xludf.UNSUPPORTED("""COMPUTED_VALUE"""),"Ródenas González, Francisco")</f>
        <v>Ródenas González, Francisco</v>
      </c>
      <c r="B624" s="16" t="str">
        <f ca="1">IFERROR(__xludf.UNSUPPORTED("""COMPUTED_VALUE"""),"Ródenas González")</f>
        <v>Ródenas González</v>
      </c>
      <c r="C624" s="16" t="str">
        <f ca="1">IFERROR(__xludf.UNSUPPORTED("""COMPUTED_VALUE"""),"Francisco")</f>
        <v>Francisco</v>
      </c>
      <c r="D624" s="16" t="str">
        <f ca="1">IFERROR(__xludf.UNSUPPORTED("""COMPUTED_VALUE"""),"74520789F")</f>
        <v>74520789F</v>
      </c>
    </row>
    <row r="625" spans="1:4" ht="14.25">
      <c r="A625" s="16" t="str">
        <f ca="1">IFERROR(__xludf.UNSUPPORTED("""COMPUTED_VALUE"""),"Rodríguez Beltrán, Jerónimo")</f>
        <v>Rodríguez Beltrán, Jerónimo</v>
      </c>
      <c r="B625" s="16" t="str">
        <f ca="1">IFERROR(__xludf.UNSUPPORTED("""COMPUTED_VALUE"""),"Rodríguez Beltrán")</f>
        <v>Rodríguez Beltrán</v>
      </c>
      <c r="C625" s="16" t="str">
        <f ca="1">IFERROR(__xludf.UNSUPPORTED("""COMPUTED_VALUE"""),"Jerónimo")</f>
        <v>Jerónimo</v>
      </c>
      <c r="D625" s="16" t="str">
        <f ca="1">IFERROR(__xludf.UNSUPPORTED("""COMPUTED_VALUE"""),"11854665M")</f>
        <v>11854665M</v>
      </c>
    </row>
    <row r="626" spans="1:4" ht="14.25">
      <c r="A626" s="16" t="str">
        <f ca="1">IFERROR(__xludf.UNSUPPORTED("""COMPUTED_VALUE"""),"Rodríguez Cifuentes, Francisco")</f>
        <v>Rodríguez Cifuentes, Francisco</v>
      </c>
      <c r="B626" s="16" t="str">
        <f ca="1">IFERROR(__xludf.UNSUPPORTED("""COMPUTED_VALUE"""),"Rodríguez Cifuentes")</f>
        <v>Rodríguez Cifuentes</v>
      </c>
      <c r="C626" s="16" t="str">
        <f ca="1">IFERROR(__xludf.UNSUPPORTED("""COMPUTED_VALUE"""),"Francisco")</f>
        <v>Francisco</v>
      </c>
      <c r="D626" s="16" t="str">
        <f ca="1">IFERROR(__xludf.UNSUPPORTED("""COMPUTED_VALUE"""),"70889370N")</f>
        <v>70889370N</v>
      </c>
    </row>
    <row r="627" spans="1:4" ht="14.25">
      <c r="A627" s="16" t="str">
        <f ca="1">IFERROR(__xludf.UNSUPPORTED("""COMPUTED_VALUE"""),"Rodríguez Fernández, Lucía")</f>
        <v>Rodríguez Fernández, Lucía</v>
      </c>
      <c r="B627" s="16" t="str">
        <f ca="1">IFERROR(__xludf.UNSUPPORTED("""COMPUTED_VALUE"""),"Rodríguez Fernández")</f>
        <v>Rodríguez Fernández</v>
      </c>
      <c r="C627" s="16" t="str">
        <f ca="1">IFERROR(__xludf.UNSUPPORTED("""COMPUTED_VALUE"""),"Lucía")</f>
        <v>Lucía</v>
      </c>
      <c r="D627" s="16" t="str">
        <f ca="1">IFERROR(__xludf.UNSUPPORTED("""COMPUTED_VALUE"""),"48412840W")</f>
        <v>48412840W</v>
      </c>
    </row>
    <row r="628" spans="1:4" ht="14.25">
      <c r="A628" s="16" t="str">
        <f ca="1">IFERROR(__xludf.UNSUPPORTED("""COMPUTED_VALUE"""),"Rodríguez Herrera, María Ángeles")</f>
        <v>Rodríguez Herrera, María Ángeles</v>
      </c>
      <c r="B628" s="16" t="str">
        <f ca="1">IFERROR(__xludf.UNSUPPORTED("""COMPUTED_VALUE"""),"Rodríguez Herrera")</f>
        <v>Rodríguez Herrera</v>
      </c>
      <c r="C628" s="16" t="str">
        <f ca="1">IFERROR(__xludf.UNSUPPORTED("""COMPUTED_VALUE"""),"María Ángeles")</f>
        <v>María Ángeles</v>
      </c>
      <c r="D628" s="16" t="str">
        <f ca="1">IFERROR(__xludf.UNSUPPORTED("""COMPUTED_VALUE"""),"74737076W")</f>
        <v>74737076W</v>
      </c>
    </row>
    <row r="629" spans="1:4" ht="14.25">
      <c r="A629" s="16" t="str">
        <f ca="1">IFERROR(__xludf.UNSUPPORTED("""COMPUTED_VALUE"""),"Rodríguez Herrero, Verónica")</f>
        <v>Rodríguez Herrero, Verónica</v>
      </c>
      <c r="B629" s="16" t="str">
        <f ca="1">IFERROR(__xludf.UNSUPPORTED("""COMPUTED_VALUE"""),"Rodríguez Herrero")</f>
        <v>Rodríguez Herrero</v>
      </c>
      <c r="C629" s="16" t="str">
        <f ca="1">IFERROR(__xludf.UNSUPPORTED("""COMPUTED_VALUE"""),"Verónica")</f>
        <v>Verónica</v>
      </c>
      <c r="D629" s="16" t="str">
        <f ca="1">IFERROR(__xludf.UNSUPPORTED("""COMPUTED_VALUE"""),"48363690A")</f>
        <v>48363690A</v>
      </c>
    </row>
    <row r="630" spans="1:4" ht="14.25">
      <c r="A630" s="16" t="str">
        <f ca="1">IFERROR(__xludf.UNSUPPORTED("""COMPUTED_VALUE"""),"Rodríguez Suárez, Antia")</f>
        <v>Rodríguez Suárez, Antia</v>
      </c>
      <c r="B630" s="16" t="str">
        <f ca="1">IFERROR(__xludf.UNSUPPORTED("""COMPUTED_VALUE"""),"Rodríguez Suárez")</f>
        <v>Rodríguez Suárez</v>
      </c>
      <c r="C630" s="16" t="str">
        <f ca="1">IFERROR(__xludf.UNSUPPORTED("""COMPUTED_VALUE"""),"Antia")</f>
        <v>Antia</v>
      </c>
      <c r="D630" s="16" t="str">
        <f ca="1">IFERROR(__xludf.UNSUPPORTED("""COMPUTED_VALUE"""),"36171827A")</f>
        <v>36171827A</v>
      </c>
    </row>
    <row r="631" spans="1:4" ht="14.25">
      <c r="A631" s="16" t="str">
        <f ca="1">IFERROR(__xludf.UNSUPPORTED("""COMPUTED_VALUE"""),"Roldán Pardo, Manuel")</f>
        <v>Roldán Pardo, Manuel</v>
      </c>
      <c r="B631" s="16" t="str">
        <f ca="1">IFERROR(__xludf.UNSUPPORTED("""COMPUTED_VALUE"""),"Roldán Pardo")</f>
        <v>Roldán Pardo</v>
      </c>
      <c r="C631" s="16" t="str">
        <f ca="1">IFERROR(__xludf.UNSUPPORTED("""COMPUTED_VALUE"""),"Manuel")</f>
        <v>Manuel</v>
      </c>
      <c r="D631" s="16" t="str">
        <f ca="1">IFERROR(__xludf.UNSUPPORTED("""COMPUTED_VALUE"""),"53883496Q")</f>
        <v>53883496Q</v>
      </c>
    </row>
    <row r="632" spans="1:4" ht="14.25">
      <c r="A632" s="16" t="str">
        <f ca="1">IFERROR(__xludf.UNSUPPORTED("""COMPUTED_VALUE"""),"Rollán García, Pedro")</f>
        <v>Rollán García, Pedro</v>
      </c>
      <c r="B632" s="16" t="str">
        <f ca="1">IFERROR(__xludf.UNSUPPORTED("""COMPUTED_VALUE"""),"Rollán García")</f>
        <v>Rollán García</v>
      </c>
      <c r="C632" s="16" t="str">
        <f ca="1">IFERROR(__xludf.UNSUPPORTED("""COMPUTED_VALUE"""),"Pedro")</f>
        <v>Pedro</v>
      </c>
      <c r="D632" s="16" t="str">
        <f ca="1">IFERROR(__xludf.UNSUPPORTED("""COMPUTED_VALUE"""),"22630276R")</f>
        <v>22630276R</v>
      </c>
    </row>
    <row r="633" spans="1:4" ht="14.25">
      <c r="A633" s="16" t="str">
        <f ca="1">IFERROR(__xludf.UNSUPPORTED("""COMPUTED_VALUE"""),"Romero Acosta, Kelly Carolina")</f>
        <v>Romero Acosta, Kelly Carolina</v>
      </c>
      <c r="B633" s="16" t="str">
        <f ca="1">IFERROR(__xludf.UNSUPPORTED("""COMPUTED_VALUE"""),"Romero Acosta")</f>
        <v>Romero Acosta</v>
      </c>
      <c r="C633" s="16" t="str">
        <f ca="1">IFERROR(__xludf.UNSUPPORTED("""COMPUTED_VALUE"""),"Kelly Carolina")</f>
        <v>Kelly Carolina</v>
      </c>
      <c r="D633" s="16">
        <f ca="1">IFERROR(__xludf.UNSUPPORTED("""COMPUTED_VALUE"""),22736489)</f>
        <v>22736489</v>
      </c>
    </row>
    <row r="634" spans="1:4" ht="14.25">
      <c r="A634" s="16" t="str">
        <f ca="1">IFERROR(__xludf.UNSUPPORTED("""COMPUTED_VALUE"""),"Romero Cuadrado, Antonia Maria")</f>
        <v>Romero Cuadrado, Antonia Maria</v>
      </c>
      <c r="B634" s="16" t="str">
        <f ca="1">IFERROR(__xludf.UNSUPPORTED("""COMPUTED_VALUE"""),"Romero Cuadrado")</f>
        <v>Romero Cuadrado</v>
      </c>
      <c r="C634" s="16" t="str">
        <f ca="1">IFERROR(__xludf.UNSUPPORTED("""COMPUTED_VALUE"""),"Antonia Maria")</f>
        <v>Antonia Maria</v>
      </c>
      <c r="D634" s="16" t="str">
        <f ca="1">IFERROR(__xludf.UNSUPPORTED("""COMPUTED_VALUE"""),"74518241N")</f>
        <v>74518241N</v>
      </c>
    </row>
    <row r="635" spans="1:4" ht="14.25">
      <c r="A635" s="16" t="str">
        <f ca="1">IFERROR(__xludf.UNSUPPORTED("""COMPUTED_VALUE"""),"Romero Lorenzo, Juan Manuel")</f>
        <v>Romero Lorenzo, Juan Manuel</v>
      </c>
      <c r="B635" s="16" t="str">
        <f ca="1">IFERROR(__xludf.UNSUPPORTED("""COMPUTED_VALUE"""),"Romero Lorenzo")</f>
        <v>Romero Lorenzo</v>
      </c>
      <c r="C635" s="16" t="str">
        <f ca="1">IFERROR(__xludf.UNSUPPORTED("""COMPUTED_VALUE"""),"Juan Manuel")</f>
        <v>Juan Manuel</v>
      </c>
      <c r="D635" s="16" t="str">
        <f ca="1">IFERROR(__xludf.UNSUPPORTED("""COMPUTED_VALUE"""),"35448928V")</f>
        <v>35448928V</v>
      </c>
    </row>
    <row r="636" spans="1:4" ht="14.25">
      <c r="A636" s="16" t="str">
        <f ca="1">IFERROR(__xludf.UNSUPPORTED("""COMPUTED_VALUE"""),"Rosaleny Castell, Ramón")</f>
        <v>Rosaleny Castell, Ramón</v>
      </c>
      <c r="B636" s="16" t="str">
        <f ca="1">IFERROR(__xludf.UNSUPPORTED("""COMPUTED_VALUE"""),"Rosaleny Castell")</f>
        <v>Rosaleny Castell</v>
      </c>
      <c r="C636" s="16" t="str">
        <f ca="1">IFERROR(__xludf.UNSUPPORTED("""COMPUTED_VALUE"""),"Ramón")</f>
        <v>Ramón</v>
      </c>
      <c r="D636" s="16" t="str">
        <f ca="1">IFERROR(__xludf.UNSUPPORTED("""COMPUTED_VALUE"""),"73572645S")</f>
        <v>73572645S</v>
      </c>
    </row>
    <row r="637" spans="1:4" ht="14.25">
      <c r="A637" s="16" t="str">
        <f ca="1">IFERROR(__xludf.UNSUPPORTED("""COMPUTED_VALUE"""),"Rosas García, María Daniela")</f>
        <v>Rosas García, María Daniela</v>
      </c>
      <c r="B637" s="16" t="str">
        <f ca="1">IFERROR(__xludf.UNSUPPORTED("""COMPUTED_VALUE"""),"Rosas García")</f>
        <v>Rosas García</v>
      </c>
      <c r="C637" s="16" t="str">
        <f ca="1">IFERROR(__xludf.UNSUPPORTED("""COMPUTED_VALUE"""),"María Daniela")</f>
        <v>María Daniela</v>
      </c>
      <c r="D637" s="16" t="str">
        <f ca="1">IFERROR(__xludf.UNSUPPORTED("""COMPUTED_VALUE"""),"G30901334")</f>
        <v>G30901334</v>
      </c>
    </row>
    <row r="638" spans="1:4" ht="14.25">
      <c r="A638" s="16" t="str">
        <f ca="1">IFERROR(__xludf.UNSUPPORTED("""COMPUTED_VALUE"""),"Rosón Burgo, Beatriz")</f>
        <v>Rosón Burgo, Beatriz</v>
      </c>
      <c r="B638" s="16" t="str">
        <f ca="1">IFERROR(__xludf.UNSUPPORTED("""COMPUTED_VALUE"""),"Rosón Burgo")</f>
        <v>Rosón Burgo</v>
      </c>
      <c r="C638" s="16" t="str">
        <f ca="1">IFERROR(__xludf.UNSUPPORTED("""COMPUTED_VALUE"""),"Beatriz")</f>
        <v>Beatriz</v>
      </c>
      <c r="D638" s="16" t="str">
        <f ca="1">IFERROR(__xludf.UNSUPPORTED("""COMPUTED_VALUE"""),"71027597D")</f>
        <v>71027597D</v>
      </c>
    </row>
    <row r="639" spans="1:4" ht="14.25">
      <c r="A639" s="16" t="str">
        <f ca="1">IFERROR(__xludf.UNSUPPORTED("""COMPUTED_VALUE"""),"Rubiño Díaz, José Ángel")</f>
        <v>Rubiño Díaz, José Ángel</v>
      </c>
      <c r="B639" s="16" t="str">
        <f ca="1">IFERROR(__xludf.UNSUPPORTED("""COMPUTED_VALUE"""),"Rubiño Díaz")</f>
        <v>Rubiño Díaz</v>
      </c>
      <c r="C639" s="16" t="str">
        <f ca="1">IFERROR(__xludf.UNSUPPORTED("""COMPUTED_VALUE"""),"José Ángel")</f>
        <v>José Ángel</v>
      </c>
      <c r="D639" s="16" t="str">
        <f ca="1">IFERROR(__xludf.UNSUPPORTED("""COMPUTED_VALUE"""),"74718506Q")</f>
        <v>74718506Q</v>
      </c>
    </row>
    <row r="640" spans="1:4" ht="14.25">
      <c r="A640" s="16" t="str">
        <f ca="1">IFERROR(__xludf.UNSUPPORTED("""COMPUTED_VALUE"""),"Rubió Alguacil, Francesca")</f>
        <v>Rubió Alguacil, Francesca</v>
      </c>
      <c r="B640" s="16" t="str">
        <f ca="1">IFERROR(__xludf.UNSUPPORTED("""COMPUTED_VALUE"""),"Rubió Alguacil")</f>
        <v>Rubió Alguacil</v>
      </c>
      <c r="C640" s="16" t="str">
        <f ca="1">IFERROR(__xludf.UNSUPPORTED("""COMPUTED_VALUE"""),"Francesca")</f>
        <v>Francesca</v>
      </c>
      <c r="D640" s="16" t="str">
        <f ca="1">IFERROR(__xludf.UNSUPPORTED("""COMPUTED_VALUE"""),"53208813S")</f>
        <v>53208813S</v>
      </c>
    </row>
    <row r="641" spans="1:4" ht="14.25">
      <c r="A641" s="16" t="str">
        <f ca="1">IFERROR(__xludf.UNSUPPORTED("""COMPUTED_VALUE"""),"Rubio Esparza, Esther")</f>
        <v>Rubio Esparza, Esther</v>
      </c>
      <c r="B641" s="16" t="str">
        <f ca="1">IFERROR(__xludf.UNSUPPORTED("""COMPUTED_VALUE"""),"Rubio Esparza")</f>
        <v>Rubio Esparza</v>
      </c>
      <c r="C641" s="16" t="str">
        <f ca="1">IFERROR(__xludf.UNSUPPORTED("""COMPUTED_VALUE"""),"Esther")</f>
        <v>Esther</v>
      </c>
      <c r="D641" s="16" t="str">
        <f ca="1">IFERROR(__xludf.UNSUPPORTED("""COMPUTED_VALUE"""),"33444373G")</f>
        <v>33444373G</v>
      </c>
    </row>
    <row r="642" spans="1:4" ht="14.25">
      <c r="A642" s="16" t="str">
        <f ca="1">IFERROR(__xludf.UNSUPPORTED("""COMPUTED_VALUE"""),"Ruiz García, Antonio")</f>
        <v>Ruiz García, Antonio</v>
      </c>
      <c r="B642" s="16" t="str">
        <f ca="1">IFERROR(__xludf.UNSUPPORTED("""COMPUTED_VALUE"""),"Ruiz García")</f>
        <v>Ruiz García</v>
      </c>
      <c r="C642" s="16" t="str">
        <f ca="1">IFERROR(__xludf.UNSUPPORTED("""COMPUTED_VALUE"""),"Antonio")</f>
        <v>Antonio</v>
      </c>
      <c r="D642" s="16" t="str">
        <f ca="1">IFERROR(__xludf.UNSUPPORTED("""COMPUTED_VALUE"""),"74891620D")</f>
        <v>74891620D</v>
      </c>
    </row>
    <row r="643" spans="1:4" ht="14.25">
      <c r="A643" s="16" t="str">
        <f ca="1">IFERROR(__xludf.UNSUPPORTED("""COMPUTED_VALUE"""),"Ruiz García, Álvaro")</f>
        <v>Ruiz García, Álvaro</v>
      </c>
      <c r="B643" s="16" t="str">
        <f ca="1">IFERROR(__xludf.UNSUPPORTED("""COMPUTED_VALUE"""),"Ruiz García")</f>
        <v>Ruiz García</v>
      </c>
      <c r="C643" s="16" t="str">
        <f ca="1">IFERROR(__xludf.UNSUPPORTED("""COMPUTED_VALUE"""),"Álvaro")</f>
        <v>Álvaro</v>
      </c>
      <c r="D643" s="16" t="str">
        <f ca="1">IFERROR(__xludf.UNSUPPORTED("""COMPUTED_VALUE"""),"02554159D")</f>
        <v>02554159D</v>
      </c>
    </row>
    <row r="644" spans="1:4" ht="14.25">
      <c r="A644" s="16" t="str">
        <f ca="1">IFERROR(__xludf.UNSUPPORTED("""COMPUTED_VALUE"""),"Ruiz Hontangas, Antonio")</f>
        <v>Ruiz Hontangas, Antonio</v>
      </c>
      <c r="B644" s="16" t="str">
        <f ca="1">IFERROR(__xludf.UNSUPPORTED("""COMPUTED_VALUE"""),"Ruiz Hontangas")</f>
        <v>Ruiz Hontangas</v>
      </c>
      <c r="C644" s="16" t="str">
        <f ca="1">IFERROR(__xludf.UNSUPPORTED("""COMPUTED_VALUE"""),"Antonio")</f>
        <v>Antonio</v>
      </c>
      <c r="D644" s="16" t="str">
        <f ca="1">IFERROR(__xludf.UNSUPPORTED("""COMPUTED_VALUE"""),"22547078V")</f>
        <v>22547078V</v>
      </c>
    </row>
    <row r="645" spans="1:4" ht="14.25">
      <c r="A645" s="16" t="str">
        <f ca="1">IFERROR(__xludf.UNSUPPORTED("""COMPUTED_VALUE"""),"Ruiz Oliva, Elena")</f>
        <v>Ruiz Oliva, Elena</v>
      </c>
      <c r="B645" s="16" t="str">
        <f ca="1">IFERROR(__xludf.UNSUPPORTED("""COMPUTED_VALUE"""),"Ruiz Oliva")</f>
        <v>Ruiz Oliva</v>
      </c>
      <c r="C645" s="16" t="str">
        <f ca="1">IFERROR(__xludf.UNSUPPORTED("""COMPUTED_VALUE"""),"Elena")</f>
        <v>Elena</v>
      </c>
      <c r="D645" s="16" t="str">
        <f ca="1">IFERROR(__xludf.UNSUPPORTED("""COMPUTED_VALUE"""),"54014343Q")</f>
        <v>54014343Q</v>
      </c>
    </row>
    <row r="646" spans="1:4" ht="14.25">
      <c r="A646" s="16" t="str">
        <f ca="1">IFERROR(__xludf.UNSUPPORTED("""COMPUTED_VALUE"""),"Ruiz Romero, Victoria")</f>
        <v>Ruiz Romero, Victoria</v>
      </c>
      <c r="B646" s="16" t="str">
        <f ca="1">IFERROR(__xludf.UNSUPPORTED("""COMPUTED_VALUE"""),"Ruiz Romero")</f>
        <v>Ruiz Romero</v>
      </c>
      <c r="C646" s="16" t="str">
        <f ca="1">IFERROR(__xludf.UNSUPPORTED("""COMPUTED_VALUE"""),"Victoria")</f>
        <v>Victoria</v>
      </c>
      <c r="D646" s="16" t="str">
        <f ca="1">IFERROR(__xludf.UNSUPPORTED("""COMPUTED_VALUE"""),"52266872Q")</f>
        <v>52266872Q</v>
      </c>
    </row>
    <row r="647" spans="1:4" ht="14.25">
      <c r="A647" s="16" t="str">
        <f ca="1">IFERROR(__xludf.UNSUPPORTED("""COMPUTED_VALUE"""),"Ruiz Ruiz, José María")</f>
        <v>Ruiz Ruiz, José María</v>
      </c>
      <c r="B647" s="16" t="str">
        <f ca="1">IFERROR(__xludf.UNSUPPORTED("""COMPUTED_VALUE"""),"Ruiz Ruiz")</f>
        <v>Ruiz Ruiz</v>
      </c>
      <c r="C647" s="16" t="str">
        <f ca="1">IFERROR(__xludf.UNSUPPORTED("""COMPUTED_VALUE"""),"José María")</f>
        <v>José María</v>
      </c>
      <c r="D647" s="16" t="str">
        <f ca="1">IFERROR(__xludf.UNSUPPORTED("""COMPUTED_VALUE"""),"12713537B")</f>
        <v>12713537B</v>
      </c>
    </row>
    <row r="648" spans="1:4" ht="14.25">
      <c r="A648" s="16" t="str">
        <f ca="1">IFERROR(__xludf.UNSUPPORTED("""COMPUTED_VALUE"""),"Saa Casal, Alba")</f>
        <v>Saa Casal, Alba</v>
      </c>
      <c r="B648" s="16" t="str">
        <f ca="1">IFERROR(__xludf.UNSUPPORTED("""COMPUTED_VALUE"""),"Saa Casal")</f>
        <v>Saa Casal</v>
      </c>
      <c r="C648" s="16" t="str">
        <f ca="1">IFERROR(__xludf.UNSUPPORTED("""COMPUTED_VALUE"""),"Alba")</f>
        <v>Alba</v>
      </c>
      <c r="D648" s="16" t="str">
        <f ca="1">IFERROR(__xludf.UNSUPPORTED("""COMPUTED_VALUE"""),"44837114V")</f>
        <v>44837114V</v>
      </c>
    </row>
    <row r="649" spans="1:4" ht="14.25">
      <c r="A649" s="16" t="str">
        <f ca="1">IFERROR(__xludf.UNSUPPORTED("""COMPUTED_VALUE"""),"Sabater Olivas, Laura")</f>
        <v>Sabater Olivas, Laura</v>
      </c>
      <c r="B649" s="16" t="str">
        <f ca="1">IFERROR(__xludf.UNSUPPORTED("""COMPUTED_VALUE"""),"Sabater Olivas")</f>
        <v>Sabater Olivas</v>
      </c>
      <c r="C649" s="16" t="str">
        <f ca="1">IFERROR(__xludf.UNSUPPORTED("""COMPUTED_VALUE"""),"Laura")</f>
        <v>Laura</v>
      </c>
      <c r="D649" s="16" t="str">
        <f ca="1">IFERROR(__xludf.UNSUPPORTED("""COMPUTED_VALUE"""),"53059391R")</f>
        <v>53059391R</v>
      </c>
    </row>
    <row r="650" spans="1:4" ht="14.25">
      <c r="A650" s="16" t="str">
        <f ca="1">IFERROR(__xludf.UNSUPPORTED("""COMPUTED_VALUE"""),"Sabater Sala, Ana Isabel")</f>
        <v>Sabater Sala, Ana Isabel</v>
      </c>
      <c r="B650" s="16" t="str">
        <f ca="1">IFERROR(__xludf.UNSUPPORTED("""COMPUTED_VALUE"""),"Sabater Sala")</f>
        <v>Sabater Sala</v>
      </c>
      <c r="C650" s="16" t="str">
        <f ca="1">IFERROR(__xludf.UNSUPPORTED("""COMPUTED_VALUE"""),"Ana Isabel")</f>
        <v>Ana Isabel</v>
      </c>
      <c r="D650" s="16" t="str">
        <f ca="1">IFERROR(__xludf.UNSUPPORTED("""COMPUTED_VALUE"""),"73997392K")</f>
        <v>73997392K</v>
      </c>
    </row>
    <row r="651" spans="1:4" ht="14.25">
      <c r="A651" s="16" t="str">
        <f ca="1">IFERROR(__xludf.UNSUPPORTED("""COMPUTED_VALUE"""),"Saez Durán, Sandra")</f>
        <v>Saez Durán, Sandra</v>
      </c>
      <c r="B651" s="16" t="str">
        <f ca="1">IFERROR(__xludf.UNSUPPORTED("""COMPUTED_VALUE"""),"Saez Durán")</f>
        <v>Saez Durán</v>
      </c>
      <c r="C651" s="16" t="str">
        <f ca="1">IFERROR(__xludf.UNSUPPORTED("""COMPUTED_VALUE"""),"Sandra")</f>
        <v>Sandra</v>
      </c>
      <c r="D651" s="16" t="str">
        <f ca="1">IFERROR(__xludf.UNSUPPORTED("""COMPUTED_VALUE"""),"40923861F")</f>
        <v>40923861F</v>
      </c>
    </row>
    <row r="652" spans="1:4" ht="14.25">
      <c r="A652" s="16" t="str">
        <f ca="1">IFERROR(__xludf.UNSUPPORTED("""COMPUTED_VALUE"""),"Sainz Ruiz, Pablo Alberto")</f>
        <v>Sainz Ruiz, Pablo Alberto</v>
      </c>
      <c r="B652" s="16" t="str">
        <f ca="1">IFERROR(__xludf.UNSUPPORTED("""COMPUTED_VALUE"""),"Sainz Ruiz")</f>
        <v>Sainz Ruiz</v>
      </c>
      <c r="C652" s="16" t="str">
        <f ca="1">IFERROR(__xludf.UNSUPPORTED("""COMPUTED_VALUE"""),"Pablo Alberto")</f>
        <v>Pablo Alberto</v>
      </c>
      <c r="D652" s="16" t="str">
        <f ca="1">IFERROR(__xludf.UNSUPPORTED("""COMPUTED_VALUE"""),"16626986X")</f>
        <v>16626986X</v>
      </c>
    </row>
    <row r="653" spans="1:4" ht="14.25">
      <c r="A653" s="16" t="str">
        <f ca="1">IFERROR(__xludf.UNSUPPORTED("""COMPUTED_VALUE"""),"Saiz Clar, Elena")</f>
        <v>Saiz Clar, Elena</v>
      </c>
      <c r="B653" s="16" t="str">
        <f ca="1">IFERROR(__xludf.UNSUPPORTED("""COMPUTED_VALUE"""),"Saiz Clar")</f>
        <v>Saiz Clar</v>
      </c>
      <c r="C653" s="16" t="str">
        <f ca="1">IFERROR(__xludf.UNSUPPORTED("""COMPUTED_VALUE"""),"Elena")</f>
        <v>Elena</v>
      </c>
      <c r="D653" s="16" t="str">
        <f ca="1">IFERROR(__xludf.UNSUPPORTED("""COMPUTED_VALUE"""),"74007073L")</f>
        <v>74007073L</v>
      </c>
    </row>
    <row r="654" spans="1:4" ht="14.25">
      <c r="A654" s="16" t="str">
        <f ca="1">IFERROR(__xludf.UNSUPPORTED("""COMPUTED_VALUE"""),"Salinas Granell, Mireya Beatriz")</f>
        <v>Salinas Granell, Mireya Beatriz</v>
      </c>
      <c r="B654" s="16" t="str">
        <f ca="1">IFERROR(__xludf.UNSUPPORTED("""COMPUTED_VALUE"""),"Salinas Granell")</f>
        <v>Salinas Granell</v>
      </c>
      <c r="C654" s="16" t="str">
        <f ca="1">IFERROR(__xludf.UNSUPPORTED("""COMPUTED_VALUE"""),"Mireya Beatriz")</f>
        <v>Mireya Beatriz</v>
      </c>
      <c r="D654" s="16" t="str">
        <f ca="1">IFERROR(__xludf.UNSUPPORTED("""COMPUTED_VALUE"""),"44871531A")</f>
        <v>44871531A</v>
      </c>
    </row>
    <row r="655" spans="1:4" ht="14.25">
      <c r="A655" s="16" t="str">
        <f ca="1">IFERROR(__xludf.UNSUPPORTED("""COMPUTED_VALUE"""),"Salom Borrás, Rafael")</f>
        <v>Salom Borrás, Rafael</v>
      </c>
      <c r="B655" s="16" t="str">
        <f ca="1">IFERROR(__xludf.UNSUPPORTED("""COMPUTED_VALUE"""),"Salom Borrás")</f>
        <v>Salom Borrás</v>
      </c>
      <c r="C655" s="16" t="str">
        <f ca="1">IFERROR(__xludf.UNSUPPORTED("""COMPUTED_VALUE"""),"Rafael")</f>
        <v>Rafael</v>
      </c>
      <c r="D655" s="16" t="str">
        <f ca="1">IFERROR(__xludf.UNSUPPORTED("""COMPUTED_VALUE"""),"73100380D")</f>
        <v>73100380D</v>
      </c>
    </row>
    <row r="656" spans="1:4" ht="14.25">
      <c r="A656" s="16" t="str">
        <f ca="1">IFERROR(__xludf.UNSUPPORTED("""COMPUTED_VALUE"""),"Salvador Candau, Ester")</f>
        <v>Salvador Candau, Ester</v>
      </c>
      <c r="B656" s="16" t="str">
        <f ca="1">IFERROR(__xludf.UNSUPPORTED("""COMPUTED_VALUE"""),"Salvador Candau")</f>
        <v>Salvador Candau</v>
      </c>
      <c r="C656" s="16" t="str">
        <f ca="1">IFERROR(__xludf.UNSUPPORTED("""COMPUTED_VALUE"""),"Ester")</f>
        <v>Ester</v>
      </c>
      <c r="D656" s="16" t="str">
        <f ca="1">IFERROR(__xludf.UNSUPPORTED("""COMPUTED_VALUE"""),"53727851N")</f>
        <v>53727851N</v>
      </c>
    </row>
    <row r="657" spans="1:4" ht="14.25">
      <c r="A657" s="16" t="str">
        <f ca="1">IFERROR(__xludf.UNSUPPORTED("""COMPUTED_VALUE"""),"Salvador Simon, Benjamín")</f>
        <v>Salvador Simon, Benjamín</v>
      </c>
      <c r="B657" s="16" t="str">
        <f ca="1">IFERROR(__xludf.UNSUPPORTED("""COMPUTED_VALUE"""),"Salvador Simon")</f>
        <v>Salvador Simon</v>
      </c>
      <c r="C657" s="16" t="str">
        <f ca="1">IFERROR(__xludf.UNSUPPORTED("""COMPUTED_VALUE"""),"Benjamín")</f>
        <v>Benjamín</v>
      </c>
      <c r="D657" s="16" t="str">
        <f ca="1">IFERROR(__xludf.UNSUPPORTED("""COMPUTED_VALUE"""),"71664104Z")</f>
        <v>71664104Z</v>
      </c>
    </row>
    <row r="658" spans="1:4" ht="14.25">
      <c r="A658" s="16" t="str">
        <f ca="1">IFERROR(__xludf.UNSUPPORTED("""COMPUTED_VALUE"""),"Samaniego Gisbert, Juan Andrés")</f>
        <v>Samaniego Gisbert, Juan Andrés</v>
      </c>
      <c r="B658" s="16" t="str">
        <f ca="1">IFERROR(__xludf.UNSUPPORTED("""COMPUTED_VALUE"""),"Samaniego Gisbert")</f>
        <v>Samaniego Gisbert</v>
      </c>
      <c r="C658" s="16" t="str">
        <f ca="1">IFERROR(__xludf.UNSUPPORTED("""COMPUTED_VALUE"""),"Juan Andrés")</f>
        <v>Juan Andrés</v>
      </c>
      <c r="D658" s="16" t="str">
        <f ca="1">IFERROR(__xludf.UNSUPPORTED("""COMPUTED_VALUE"""),"21672866N")</f>
        <v>21672866N</v>
      </c>
    </row>
    <row r="659" spans="1:4" ht="14.25">
      <c r="A659" s="16" t="str">
        <f ca="1">IFERROR(__xludf.UNSUPPORTED("""COMPUTED_VALUE"""),"Sampedro Piquero, Patricia")</f>
        <v>Sampedro Piquero, Patricia</v>
      </c>
      <c r="B659" s="16" t="str">
        <f ca="1">IFERROR(__xludf.UNSUPPORTED("""COMPUTED_VALUE"""),"Sampedro Piquero")</f>
        <v>Sampedro Piquero</v>
      </c>
      <c r="C659" s="16" t="str">
        <f ca="1">IFERROR(__xludf.UNSUPPORTED("""COMPUTED_VALUE"""),"Patricia")</f>
        <v>Patricia</v>
      </c>
      <c r="D659" s="16" t="str">
        <f ca="1">IFERROR(__xludf.UNSUPPORTED("""COMPUTED_VALUE"""),"76964166W")</f>
        <v>76964166W</v>
      </c>
    </row>
    <row r="660" spans="1:4" ht="14.25">
      <c r="A660" s="16" t="str">
        <f ca="1">IFERROR(__xludf.UNSUPPORTED("""COMPUTED_VALUE"""),"San José Tarrega, Jorge")</f>
        <v>San José Tarrega, Jorge</v>
      </c>
      <c r="B660" s="16" t="str">
        <f ca="1">IFERROR(__xludf.UNSUPPORTED("""COMPUTED_VALUE"""),"San José Tarrega")</f>
        <v>San José Tarrega</v>
      </c>
      <c r="C660" s="16" t="str">
        <f ca="1">IFERROR(__xludf.UNSUPPORTED("""COMPUTED_VALUE"""),"Jorge")</f>
        <v>Jorge</v>
      </c>
      <c r="D660" s="16" t="str">
        <f ca="1">IFERROR(__xludf.UNSUPPORTED("""COMPUTED_VALUE"""),"22589177A")</f>
        <v>22589177A</v>
      </c>
    </row>
    <row r="661" spans="1:4" ht="14.25">
      <c r="A661" s="16" t="str">
        <f ca="1">IFERROR(__xludf.UNSUPPORTED("""COMPUTED_VALUE"""),"Sánchez Burón, Adolfo")</f>
        <v>Sánchez Burón, Adolfo</v>
      </c>
      <c r="B661" s="16" t="str">
        <f ca="1">IFERROR(__xludf.UNSUPPORTED("""COMPUTED_VALUE"""),"Sánchez Burón")</f>
        <v>Sánchez Burón</v>
      </c>
      <c r="C661" s="16" t="str">
        <f ca="1">IFERROR(__xludf.UNSUPPORTED("""COMPUTED_VALUE"""),"Adolfo")</f>
        <v>Adolfo</v>
      </c>
      <c r="D661" s="16" t="str">
        <f ca="1">IFERROR(__xludf.UNSUPPORTED("""COMPUTED_VALUE"""),"05204059X")</f>
        <v>05204059X</v>
      </c>
    </row>
    <row r="662" spans="1:4" ht="14.25">
      <c r="A662" s="16" t="str">
        <f ca="1">IFERROR(__xludf.UNSUPPORTED("""COMPUTED_VALUE"""),"Sánchez Castillo, Carla")</f>
        <v>Sánchez Castillo, Carla</v>
      </c>
      <c r="B662" s="16" t="str">
        <f ca="1">IFERROR(__xludf.UNSUPPORTED("""COMPUTED_VALUE"""),"Sánchez Castillo")</f>
        <v>Sánchez Castillo</v>
      </c>
      <c r="C662" s="16" t="str">
        <f ca="1">IFERROR(__xludf.UNSUPPORTED("""COMPUTED_VALUE"""),"Carla")</f>
        <v>Carla</v>
      </c>
      <c r="D662" s="16" t="str">
        <f ca="1">IFERROR(__xludf.UNSUPPORTED("""COMPUTED_VALUE"""),"70262055E")</f>
        <v>70262055E</v>
      </c>
    </row>
    <row r="663" spans="1:4" ht="14.25">
      <c r="A663" s="16" t="str">
        <f ca="1">IFERROR(__xludf.UNSUPPORTED("""COMPUTED_VALUE"""),"Sánchez Chiva, Desirée")</f>
        <v>Sánchez Chiva, Desirée</v>
      </c>
      <c r="B663" s="16" t="str">
        <f ca="1">IFERROR(__xludf.UNSUPPORTED("""COMPUTED_VALUE"""),"Sánchez Chiva")</f>
        <v>Sánchez Chiva</v>
      </c>
      <c r="C663" s="16" t="str">
        <f ca="1">IFERROR(__xludf.UNSUPPORTED("""COMPUTED_VALUE"""),"Desirée")</f>
        <v>Desirée</v>
      </c>
      <c r="D663" s="16" t="str">
        <f ca="1">IFERROR(__xludf.UNSUPPORTED("""COMPUTED_VALUE"""),"73393542J")</f>
        <v>73393542J</v>
      </c>
    </row>
    <row r="664" spans="1:4" ht="14.25">
      <c r="A664" s="16" t="str">
        <f ca="1">IFERROR(__xludf.UNSUPPORTED("""COMPUTED_VALUE"""),"Sánchez Cuevas, Gema")</f>
        <v>Sánchez Cuevas, Gema</v>
      </c>
      <c r="B664" s="16" t="str">
        <f ca="1">IFERROR(__xludf.UNSUPPORTED("""COMPUTED_VALUE"""),"Sánchez Cuevas")</f>
        <v>Sánchez Cuevas</v>
      </c>
      <c r="C664" s="16" t="str">
        <f ca="1">IFERROR(__xludf.UNSUPPORTED("""COMPUTED_VALUE"""),"Gema")</f>
        <v>Gema</v>
      </c>
      <c r="D664" s="16" t="str">
        <f ca="1">IFERROR(__xludf.UNSUPPORTED("""COMPUTED_VALUE"""),"08364208M")</f>
        <v>08364208M</v>
      </c>
    </row>
    <row r="665" spans="1:4" ht="14.25">
      <c r="A665" s="16" t="str">
        <f ca="1">IFERROR(__xludf.UNSUPPORTED("""COMPUTED_VALUE"""),"Sánchez Gómez, Martín")</f>
        <v>Sánchez Gómez, Martín</v>
      </c>
      <c r="B665" s="16" t="str">
        <f ca="1">IFERROR(__xludf.UNSUPPORTED("""COMPUTED_VALUE"""),"Sánchez Gómez")</f>
        <v>Sánchez Gómez</v>
      </c>
      <c r="C665" s="16" t="str">
        <f ca="1">IFERROR(__xludf.UNSUPPORTED("""COMPUTED_VALUE"""),"Martín")</f>
        <v>Martín</v>
      </c>
      <c r="D665" s="16" t="str">
        <f ca="1">IFERROR(__xludf.UNSUPPORTED("""COMPUTED_VALUE"""),"53729778F")</f>
        <v>53729778F</v>
      </c>
    </row>
    <row r="666" spans="1:4" ht="14.25">
      <c r="A666" s="16" t="str">
        <f ca="1">IFERROR(__xludf.UNSUPPORTED("""COMPUTED_VALUE"""),"Sánchez Hernando, Beatriz")</f>
        <v>Sánchez Hernando, Beatriz</v>
      </c>
      <c r="B666" s="16" t="str">
        <f ca="1">IFERROR(__xludf.UNSUPPORTED("""COMPUTED_VALUE"""),"Sánchez Hernando")</f>
        <v>Sánchez Hernando</v>
      </c>
      <c r="C666" s="16" t="str">
        <f ca="1">IFERROR(__xludf.UNSUPPORTED("""COMPUTED_VALUE"""),"Beatriz")</f>
        <v>Beatriz</v>
      </c>
      <c r="D666" s="16" t="str">
        <f ca="1">IFERROR(__xludf.UNSUPPORTED("""COMPUTED_VALUE"""),"18450675Y")</f>
        <v>18450675Y</v>
      </c>
    </row>
    <row r="667" spans="1:4" ht="14.25">
      <c r="A667" s="16" t="str">
        <f ca="1">IFERROR(__xludf.UNSUPPORTED("""COMPUTED_VALUE"""),"Sánchez Martínez, Iván")</f>
        <v>Sánchez Martínez, Iván</v>
      </c>
      <c r="B667" s="16" t="str">
        <f ca="1">IFERROR(__xludf.UNSUPPORTED("""COMPUTED_VALUE"""),"Sánchez Martínez")</f>
        <v>Sánchez Martínez</v>
      </c>
      <c r="C667" s="16" t="str">
        <f ca="1">IFERROR(__xludf.UNSUPPORTED("""COMPUTED_VALUE"""),"Iván")</f>
        <v>Iván</v>
      </c>
      <c r="D667" s="16" t="str">
        <f ca="1">IFERROR(__xludf.UNSUPPORTED("""COMPUTED_VALUE"""),"47737774D")</f>
        <v>47737774D</v>
      </c>
    </row>
    <row r="668" spans="1:4" ht="14.25">
      <c r="A668" s="16" t="str">
        <f ca="1">IFERROR(__xludf.UNSUPPORTED("""COMPUTED_VALUE"""),"Sánchez Olid, José Manuel")</f>
        <v>Sánchez Olid, José Manuel</v>
      </c>
      <c r="B668" s="16" t="str">
        <f ca="1">IFERROR(__xludf.UNSUPPORTED("""COMPUTED_VALUE"""),"Sánchez Olid")</f>
        <v>Sánchez Olid</v>
      </c>
      <c r="C668" s="16" t="str">
        <f ca="1">IFERROR(__xludf.UNSUPPORTED("""COMPUTED_VALUE"""),"José Manuel")</f>
        <v>José Manuel</v>
      </c>
      <c r="D668" s="16" t="str">
        <f ca="1">IFERROR(__xludf.UNSUPPORTED("""COMPUTED_VALUE"""),"31005061A")</f>
        <v>31005061A</v>
      </c>
    </row>
    <row r="669" spans="1:4" ht="14.25">
      <c r="A669" s="16" t="str">
        <f ca="1">IFERROR(__xludf.UNSUPPORTED("""COMPUTED_VALUE"""),"Sánchez Ortí, Joan Vicent")</f>
        <v>Sánchez Ortí, Joan Vicent</v>
      </c>
      <c r="B669" s="16" t="str">
        <f ca="1">IFERROR(__xludf.UNSUPPORTED("""COMPUTED_VALUE"""),"Sánchez Ortí")</f>
        <v>Sánchez Ortí</v>
      </c>
      <c r="C669" s="16" t="str">
        <f ca="1">IFERROR(__xludf.UNSUPPORTED("""COMPUTED_VALUE"""),"Joan Vicent")</f>
        <v>Joan Vicent</v>
      </c>
      <c r="D669" s="16" t="str">
        <f ca="1">IFERROR(__xludf.UNSUPPORTED("""COMPUTED_VALUE"""),"53879133T")</f>
        <v>53879133T</v>
      </c>
    </row>
    <row r="670" spans="1:4" ht="14.25">
      <c r="A670" s="16" t="str">
        <f ca="1">IFERROR(__xludf.UNSUPPORTED("""COMPUTED_VALUE"""),"Sánchez Reza, Danahe Virginia")</f>
        <v>Sánchez Reza, Danahe Virginia</v>
      </c>
      <c r="B670" s="16" t="str">
        <f ca="1">IFERROR(__xludf.UNSUPPORTED("""COMPUTED_VALUE"""),"Sánchez Reza")</f>
        <v>Sánchez Reza</v>
      </c>
      <c r="C670" s="16" t="str">
        <f ca="1">IFERROR(__xludf.UNSUPPORTED("""COMPUTED_VALUE"""),"Danahe Virginia")</f>
        <v>Danahe Virginia</v>
      </c>
      <c r="D670" s="16" t="str">
        <f ca="1">IFERROR(__xludf.UNSUPPORTED("""COMPUTED_VALUE"""),"Y0304824L")</f>
        <v>Y0304824L</v>
      </c>
    </row>
    <row r="671" spans="1:4" ht="14.25">
      <c r="A671" s="16" t="str">
        <f ca="1">IFERROR(__xludf.UNSUPPORTED("""COMPUTED_VALUE"""),"Sánchez Sauco, Miguel Felipe")</f>
        <v>Sánchez Sauco, Miguel Felipe</v>
      </c>
      <c r="B671" s="16" t="str">
        <f ca="1">IFERROR(__xludf.UNSUPPORTED("""COMPUTED_VALUE"""),"Sánchez Sauco")</f>
        <v>Sánchez Sauco</v>
      </c>
      <c r="C671" s="16" t="str">
        <f ca="1">IFERROR(__xludf.UNSUPPORTED("""COMPUTED_VALUE"""),"Miguel Felipe")</f>
        <v>Miguel Felipe</v>
      </c>
      <c r="D671" s="16" t="str">
        <f ca="1">IFERROR(__xludf.UNSUPPORTED("""COMPUTED_VALUE"""),"75756559X")</f>
        <v>75756559X</v>
      </c>
    </row>
    <row r="672" spans="1:4" ht="14.25">
      <c r="A672" s="16" t="str">
        <f ca="1">IFERROR(__xludf.UNSUPPORTED("""COMPUTED_VALUE"""),"Sánchez Solano, Sonia")</f>
        <v>Sánchez Solano, Sonia</v>
      </c>
      <c r="B672" s="16" t="str">
        <f ca="1">IFERROR(__xludf.UNSUPPORTED("""COMPUTED_VALUE"""),"Sánchez Solano")</f>
        <v>Sánchez Solano</v>
      </c>
      <c r="C672" s="16" t="str">
        <f ca="1">IFERROR(__xludf.UNSUPPORTED("""COMPUTED_VALUE"""),"Sonia")</f>
        <v>Sonia</v>
      </c>
      <c r="D672" s="16" t="str">
        <f ca="1">IFERROR(__xludf.UNSUPPORTED("""COMPUTED_VALUE"""),"49020824G")</f>
        <v>49020824G</v>
      </c>
    </row>
    <row r="673" spans="1:4" ht="14.25">
      <c r="A673" s="16" t="str">
        <f ca="1">IFERROR(__xludf.UNSUPPORTED("""COMPUTED_VALUE"""),"Sánchez Soriano, María Jesús")</f>
        <v>Sánchez Soriano, María Jesús</v>
      </c>
      <c r="B673" s="16" t="str">
        <f ca="1">IFERROR(__xludf.UNSUPPORTED("""COMPUTED_VALUE"""),"Sánchez Soriano")</f>
        <v>Sánchez Soriano</v>
      </c>
      <c r="C673" s="16" t="str">
        <f ca="1">IFERROR(__xludf.UNSUPPORTED("""COMPUTED_VALUE"""),"María Jesús")</f>
        <v>María Jesús</v>
      </c>
      <c r="D673" s="16" t="str">
        <f ca="1">IFERROR(__xludf.UNSUPPORTED("""COMPUTED_VALUE"""),"52999053S")</f>
        <v>52999053S</v>
      </c>
    </row>
    <row r="674" spans="1:4" ht="14.25">
      <c r="A674" s="16" t="str">
        <f ca="1">IFERROR(__xludf.UNSUPPORTED("""COMPUTED_VALUE"""),"Sancho Ferrando, Elena")</f>
        <v>Sancho Ferrando, Elena</v>
      </c>
      <c r="B674" s="16" t="str">
        <f ca="1">IFERROR(__xludf.UNSUPPORTED("""COMPUTED_VALUE"""),"Sancho Ferrando")</f>
        <v>Sancho Ferrando</v>
      </c>
      <c r="C674" s="16" t="str">
        <f ca="1">IFERROR(__xludf.UNSUPPORTED("""COMPUTED_VALUE"""),"Elena")</f>
        <v>Elena</v>
      </c>
      <c r="D674" s="16" t="str">
        <f ca="1">IFERROR(__xludf.UNSUPPORTED("""COMPUTED_VALUE"""),"29216661Z")</f>
        <v>29216661Z</v>
      </c>
    </row>
    <row r="675" spans="1:4" ht="14.25">
      <c r="A675" s="16" t="str">
        <f ca="1">IFERROR(__xludf.UNSUPPORTED("""COMPUTED_VALUE"""),"Sanmarco Vázquez, Jessica")</f>
        <v>Sanmarco Vázquez, Jessica</v>
      </c>
      <c r="B675" s="16" t="str">
        <f ca="1">IFERROR(__xludf.UNSUPPORTED("""COMPUTED_VALUE"""),"Sanmarco Vázquez")</f>
        <v>Sanmarco Vázquez</v>
      </c>
      <c r="C675" s="16" t="str">
        <f ca="1">IFERROR(__xludf.UNSUPPORTED("""COMPUTED_VALUE"""),"Jessica")</f>
        <v>Jessica</v>
      </c>
      <c r="D675" s="16" t="str">
        <f ca="1">IFERROR(__xludf.UNSUPPORTED("""COMPUTED_VALUE"""),"53612942B")</f>
        <v>53612942B</v>
      </c>
    </row>
    <row r="676" spans="1:4" ht="14.25">
      <c r="A676" s="16" t="str">
        <f ca="1">IFERROR(__xludf.UNSUPPORTED("""COMPUTED_VALUE"""),"Santillán García, Azucena")</f>
        <v>Santillán García, Azucena</v>
      </c>
      <c r="B676" s="16" t="str">
        <f ca="1">IFERROR(__xludf.UNSUPPORTED("""COMPUTED_VALUE"""),"Santillán García")</f>
        <v>Santillán García</v>
      </c>
      <c r="C676" s="16" t="str">
        <f ca="1">IFERROR(__xludf.UNSUPPORTED("""COMPUTED_VALUE"""),"Azucena")</f>
        <v>Azucena</v>
      </c>
      <c r="D676" s="16" t="str">
        <f ca="1">IFERROR(__xludf.UNSUPPORTED("""COMPUTED_VALUE"""),"13164631Y")</f>
        <v>13164631Y</v>
      </c>
    </row>
    <row r="677" spans="1:4" ht="14.25">
      <c r="A677" s="16" t="str">
        <f ca="1">IFERROR(__xludf.UNSUPPORTED("""COMPUTED_VALUE"""),"Santillán Torres Torija, Carolina")</f>
        <v>Santillán Torres Torija, Carolina</v>
      </c>
      <c r="B677" s="16" t="str">
        <f ca="1">IFERROR(__xludf.UNSUPPORTED("""COMPUTED_VALUE"""),"Santillán Torres Torija")</f>
        <v>Santillán Torres Torija</v>
      </c>
      <c r="C677" s="16" t="str">
        <f ca="1">IFERROR(__xludf.UNSUPPORTED("""COMPUTED_VALUE"""),"Carolina")</f>
        <v>Carolina</v>
      </c>
      <c r="D677" s="16" t="str">
        <f ca="1">IFERROR(__xludf.UNSUPPORTED("""COMPUTED_VALUE"""),"G146596889")</f>
        <v>G146596889</v>
      </c>
    </row>
    <row r="678" spans="1:4" ht="14.25">
      <c r="A678" s="16" t="str">
        <f ca="1">IFERROR(__xludf.UNSUPPORTED("""COMPUTED_VALUE"""),"Santos González, María Cristina")</f>
        <v>Santos González, María Cristina</v>
      </c>
      <c r="B678" s="16" t="str">
        <f ca="1">IFERROR(__xludf.UNSUPPORTED("""COMPUTED_VALUE"""),"Santos González")</f>
        <v>Santos González</v>
      </c>
      <c r="C678" s="16" t="str">
        <f ca="1">IFERROR(__xludf.UNSUPPORTED("""COMPUTED_VALUE"""),"María Cristina")</f>
        <v>María Cristina</v>
      </c>
      <c r="D678" s="16" t="str">
        <f ca="1">IFERROR(__xludf.UNSUPPORTED("""COMPUTED_VALUE"""),"70894380P")</f>
        <v>70894380P</v>
      </c>
    </row>
    <row r="679" spans="1:4" ht="14.25">
      <c r="A679" s="16" t="str">
        <f ca="1">IFERROR(__xludf.UNSUPPORTED("""COMPUTED_VALUE"""),"Santurino Fontecha, Cristina")</f>
        <v>Santurino Fontecha, Cristina</v>
      </c>
      <c r="B679" s="16" t="str">
        <f ca="1">IFERROR(__xludf.UNSUPPORTED("""COMPUTED_VALUE"""),"Santurino Fontecha")</f>
        <v>Santurino Fontecha</v>
      </c>
      <c r="C679" s="16" t="str">
        <f ca="1">IFERROR(__xludf.UNSUPPORTED("""COMPUTED_VALUE"""),"Cristina")</f>
        <v>Cristina</v>
      </c>
      <c r="D679" s="16" t="str">
        <f ca="1">IFERROR(__xludf.UNSUPPORTED("""COMPUTED_VALUE"""),"52309723H")</f>
        <v>52309723H</v>
      </c>
    </row>
    <row r="680" spans="1:4" ht="14.25">
      <c r="A680" s="16" t="str">
        <f ca="1">IFERROR(__xludf.UNSUPPORTED("""COMPUTED_VALUE"""),"Sanz Gómez, Sergio")</f>
        <v>Sanz Gómez, Sergio</v>
      </c>
      <c r="B680" s="16" t="str">
        <f ca="1">IFERROR(__xludf.UNSUPPORTED("""COMPUTED_VALUE"""),"Sanz Gómez")</f>
        <v>Sanz Gómez</v>
      </c>
      <c r="C680" s="16" t="str">
        <f ca="1">IFERROR(__xludf.UNSUPPORTED("""COMPUTED_VALUE"""),"Sergio")</f>
        <v>Sergio</v>
      </c>
      <c r="D680" s="16" t="str">
        <f ca="1">IFERROR(__xludf.UNSUPPORTED("""COMPUTED_VALUE"""),"30233698Z")</f>
        <v>30233698Z</v>
      </c>
    </row>
    <row r="681" spans="1:4" ht="14.25">
      <c r="A681" s="16" t="str">
        <f ca="1">IFERROR(__xludf.UNSUPPORTED("""COMPUTED_VALUE"""),"Sanz González, Silvia")</f>
        <v>Sanz González, Silvia</v>
      </c>
      <c r="B681" s="16" t="str">
        <f ca="1">IFERROR(__xludf.UNSUPPORTED("""COMPUTED_VALUE"""),"Sanz González")</f>
        <v>Sanz González</v>
      </c>
      <c r="C681" s="16" t="str">
        <f ca="1">IFERROR(__xludf.UNSUPPORTED("""COMPUTED_VALUE"""),"Silvia")</f>
        <v>Silvia</v>
      </c>
      <c r="D681" s="16" t="str">
        <f ca="1">IFERROR(__xludf.UNSUPPORTED("""COMPUTED_VALUE"""),"22570250M")</f>
        <v>22570250M</v>
      </c>
    </row>
    <row r="682" spans="1:4" ht="14.25">
      <c r="A682" s="16" t="str">
        <f ca="1">IFERROR(__xludf.UNSUPPORTED("""COMPUTED_VALUE"""),"Sarmento Henrique, Renata Lenise")</f>
        <v>Sarmento Henrique, Renata Lenise</v>
      </c>
      <c r="B682" s="16" t="str">
        <f ca="1">IFERROR(__xludf.UNSUPPORTED("""COMPUTED_VALUE"""),"Sarmento Henrique")</f>
        <v>Sarmento Henrique</v>
      </c>
      <c r="C682" s="16" t="str">
        <f ca="1">IFERROR(__xludf.UNSUPPORTED("""COMPUTED_VALUE"""),"Renata Lenise")</f>
        <v>Renata Lenise</v>
      </c>
      <c r="D682" s="16" t="str">
        <f ca="1">IFERROR(__xludf.UNSUPPORTED("""COMPUTED_VALUE"""),"51535564Q")</f>
        <v>51535564Q</v>
      </c>
    </row>
    <row r="683" spans="1:4" ht="14.25">
      <c r="A683" s="16" t="str">
        <f ca="1">IFERROR(__xludf.UNSUPPORTED("""COMPUTED_VALUE"""),"Sarrias Arrabal, Esteban")</f>
        <v>Sarrias Arrabal, Esteban</v>
      </c>
      <c r="B683" s="16" t="str">
        <f ca="1">IFERROR(__xludf.UNSUPPORTED("""COMPUTED_VALUE"""),"Sarrias Arrabal")</f>
        <v>Sarrias Arrabal</v>
      </c>
      <c r="C683" s="16" t="str">
        <f ca="1">IFERROR(__xludf.UNSUPPORTED("""COMPUTED_VALUE"""),"Esteban")</f>
        <v>Esteban</v>
      </c>
      <c r="D683" s="16" t="str">
        <f ca="1">IFERROR(__xludf.UNSUPPORTED("""COMPUTED_VALUE"""),"74945228G")</f>
        <v>74945228G</v>
      </c>
    </row>
    <row r="684" spans="1:4" ht="14.25">
      <c r="A684" s="16" t="str">
        <f ca="1">IFERROR(__xludf.UNSUPPORTED("""COMPUTED_VALUE"""),"Saturnini Pacheco, Norelvis Cecilia")</f>
        <v>Saturnini Pacheco, Norelvis Cecilia</v>
      </c>
      <c r="B684" s="16" t="str">
        <f ca="1">IFERROR(__xludf.UNSUPPORTED("""COMPUTED_VALUE"""),"Saturnini Pacheco")</f>
        <v>Saturnini Pacheco</v>
      </c>
      <c r="C684" s="16" t="str">
        <f ca="1">IFERROR(__xludf.UNSUPPORTED("""COMPUTED_VALUE"""),"Norelvis Cecilia")</f>
        <v>Norelvis Cecilia</v>
      </c>
      <c r="D684" s="16">
        <f ca="1">IFERROR(__xludf.UNSUPPORTED("""COMPUTED_VALUE"""),5244038)</f>
        <v>5244038</v>
      </c>
    </row>
    <row r="685" spans="1:4" ht="14.25">
      <c r="A685" s="16" t="str">
        <f ca="1">IFERROR(__xludf.UNSUPPORTED("""COMPUTED_VALUE"""),"Saus Ortega, Carlos")</f>
        <v>Saus Ortega, Carlos</v>
      </c>
      <c r="B685" s="16" t="str">
        <f ca="1">IFERROR(__xludf.UNSUPPORTED("""COMPUTED_VALUE"""),"Saus Ortega")</f>
        <v>Saus Ortega</v>
      </c>
      <c r="C685" s="16" t="str">
        <f ca="1">IFERROR(__xludf.UNSUPPORTED("""COMPUTED_VALUE"""),"Carlos")</f>
        <v>Carlos</v>
      </c>
      <c r="D685" s="16" t="str">
        <f ca="1">IFERROR(__xludf.UNSUPPORTED("""COMPUTED_VALUE"""),"20441909S")</f>
        <v>20441909S</v>
      </c>
    </row>
    <row r="686" spans="1:4" ht="14.25">
      <c r="A686" s="16" t="str">
        <f ca="1">IFERROR(__xludf.UNSUPPORTED("""COMPUTED_VALUE"""),"Schor-Landman, Guillermo")</f>
        <v>Schor-Landman, Guillermo</v>
      </c>
      <c r="B686" s="16" t="str">
        <f ca="1">IFERROR(__xludf.UNSUPPORTED("""COMPUTED_VALUE"""),"Schor-Landman")</f>
        <v>Schor-Landman</v>
      </c>
      <c r="C686" s="16" t="str">
        <f ca="1">IFERROR(__xludf.UNSUPPORTED("""COMPUTED_VALUE"""),"Guillermo")</f>
        <v>Guillermo</v>
      </c>
      <c r="D686" s="16" t="str">
        <f ca="1">IFERROR(__xludf.UNSUPPORTED("""COMPUTED_VALUE"""),"AAD279396")</f>
        <v>AAD279396</v>
      </c>
    </row>
    <row r="687" spans="1:4" ht="14.25">
      <c r="A687" s="16" t="str">
        <f ca="1">IFERROR(__xludf.UNSUPPORTED("""COMPUTED_VALUE"""),"Sebastiani, Giorgia")</f>
        <v>Sebastiani, Giorgia</v>
      </c>
      <c r="B687" s="16" t="str">
        <f ca="1">IFERROR(__xludf.UNSUPPORTED("""COMPUTED_VALUE"""),"Sebastiani")</f>
        <v>Sebastiani</v>
      </c>
      <c r="C687" s="16" t="str">
        <f ca="1">IFERROR(__xludf.UNSUPPORTED("""COMPUTED_VALUE"""),"Giorgia")</f>
        <v>Giorgia</v>
      </c>
      <c r="D687" s="16" t="str">
        <f ca="1">IFERROR(__xludf.UNSUPPORTED("""COMPUTED_VALUE"""),"X4415981G")</f>
        <v>X4415981G</v>
      </c>
    </row>
    <row r="688" spans="1:4" ht="14.25">
      <c r="A688" s="16" t="str">
        <f ca="1">IFERROR(__xludf.UNSUPPORTED("""COMPUTED_VALUE"""),"Segarra Martínez, Nuria")</f>
        <v>Segarra Martínez, Nuria</v>
      </c>
      <c r="B688" s="16" t="str">
        <f ca="1">IFERROR(__xludf.UNSUPPORTED("""COMPUTED_VALUE"""),"Segarra Martínez")</f>
        <v>Segarra Martínez</v>
      </c>
      <c r="C688" s="16" t="str">
        <f ca="1">IFERROR(__xludf.UNSUPPORTED("""COMPUTED_VALUE"""),"Nuria")</f>
        <v>Nuria</v>
      </c>
      <c r="D688" s="16" t="str">
        <f ca="1">IFERROR(__xludf.UNSUPPORTED("""COMPUTED_VALUE"""),"46138496S")</f>
        <v>46138496S</v>
      </c>
    </row>
    <row r="689" spans="1:4" ht="14.25">
      <c r="A689" s="16" t="str">
        <f ca="1">IFERROR(__xludf.UNSUPPORTED("""COMPUTED_VALUE"""),"Segovia Minguet, Oriol")</f>
        <v>Segovia Minguet, Oriol</v>
      </c>
      <c r="B689" s="16" t="str">
        <f ca="1">IFERROR(__xludf.UNSUPPORTED("""COMPUTED_VALUE"""),"Segovia Minguet")</f>
        <v>Segovia Minguet</v>
      </c>
      <c r="C689" s="16" t="str">
        <f ca="1">IFERROR(__xludf.UNSUPPORTED("""COMPUTED_VALUE"""),"Oriol")</f>
        <v>Oriol</v>
      </c>
      <c r="D689" s="16" t="str">
        <f ca="1">IFERROR(__xludf.UNSUPPORTED("""COMPUTED_VALUE"""),"47888283Y")</f>
        <v>47888283Y</v>
      </c>
    </row>
    <row r="690" spans="1:4" ht="14.25">
      <c r="A690" s="16" t="str">
        <f ca="1">IFERROR(__xludf.UNSUPPORTED("""COMPUTED_VALUE"""),"Seguí López-Peñalver, Raimundo")</f>
        <v>Seguí López-Peñalver, Raimundo</v>
      </c>
      <c r="B690" s="16" t="str">
        <f ca="1">IFERROR(__xludf.UNSUPPORTED("""COMPUTED_VALUE"""),"Seguí López-Peñalver")</f>
        <v>Seguí López-Peñalver</v>
      </c>
      <c r="C690" s="16" t="str">
        <f ca="1">IFERROR(__xludf.UNSUPPORTED("""COMPUTED_VALUE"""),"Raimundo")</f>
        <v>Raimundo</v>
      </c>
      <c r="D690" s="16" t="str">
        <f ca="1">IFERROR(__xludf.UNSUPPORTED("""COMPUTED_VALUE"""),"53358163A")</f>
        <v>53358163A</v>
      </c>
    </row>
    <row r="691" spans="1:4" ht="14.25">
      <c r="A691" s="16" t="str">
        <f ca="1">IFERROR(__xludf.UNSUPPORTED("""COMPUTED_VALUE"""),"Selaya Berodia, Adriana")</f>
        <v>Selaya Berodia, Adriana</v>
      </c>
      <c r="B691" s="16" t="str">
        <f ca="1">IFERROR(__xludf.UNSUPPORTED("""COMPUTED_VALUE"""),"Selaya Berodia")</f>
        <v>Selaya Berodia</v>
      </c>
      <c r="C691" s="16" t="str">
        <f ca="1">IFERROR(__xludf.UNSUPPORTED("""COMPUTED_VALUE"""),"Adriana")</f>
        <v>Adriana</v>
      </c>
      <c r="D691" s="16" t="str">
        <f ca="1">IFERROR(__xludf.UNSUPPORTED("""COMPUTED_VALUE"""),"72151193D")</f>
        <v>72151193D</v>
      </c>
    </row>
    <row r="692" spans="1:4" ht="14.25">
      <c r="A692" s="16" t="str">
        <f ca="1">IFERROR(__xludf.UNSUPPORTED("""COMPUTED_VALUE"""),"Sendra Ortola, Miquel")</f>
        <v>Sendra Ortola, Miquel</v>
      </c>
      <c r="B692" s="16" t="str">
        <f ca="1">IFERROR(__xludf.UNSUPPORTED("""COMPUTED_VALUE"""),"Sendra Ortola")</f>
        <v>Sendra Ortola</v>
      </c>
      <c r="C692" s="16" t="str">
        <f ca="1">IFERROR(__xludf.UNSUPPORTED("""COMPUTED_VALUE"""),"Miquel")</f>
        <v>Miquel</v>
      </c>
      <c r="D692" s="16" t="str">
        <f ca="1">IFERROR(__xludf.UNSUPPORTED("""COMPUTED_VALUE"""),"48671191V")</f>
        <v>48671191V</v>
      </c>
    </row>
    <row r="693" spans="1:4" ht="14.25">
      <c r="A693" s="16" t="str">
        <f ca="1">IFERROR(__xludf.UNSUPPORTED("""COMPUTED_VALUE"""),"Sequera Martín, Manuel")</f>
        <v>Sequera Martín, Manuel</v>
      </c>
      <c r="B693" s="16" t="str">
        <f ca="1">IFERROR(__xludf.UNSUPPORTED("""COMPUTED_VALUE"""),"Sequera Martín")</f>
        <v>Sequera Martín</v>
      </c>
      <c r="C693" s="16" t="str">
        <f ca="1">IFERROR(__xludf.UNSUPPORTED("""COMPUTED_VALUE"""),"Manuel")</f>
        <v>Manuel</v>
      </c>
      <c r="D693" s="16" t="str">
        <f ca="1">IFERROR(__xludf.UNSUPPORTED("""COMPUTED_VALUE"""),"08865299H")</f>
        <v>08865299H</v>
      </c>
    </row>
    <row r="694" spans="1:4" ht="14.25">
      <c r="A694" s="16" t="str">
        <f ca="1">IFERROR(__xludf.UNSUPPORTED("""COMPUTED_VALUE"""),"Serra Maqueda, Aida")</f>
        <v>Serra Maqueda, Aida</v>
      </c>
      <c r="B694" s="16" t="str">
        <f ca="1">IFERROR(__xludf.UNSUPPORTED("""COMPUTED_VALUE"""),"Serra Maqueda")</f>
        <v>Serra Maqueda</v>
      </c>
      <c r="C694" s="16" t="str">
        <f ca="1">IFERROR(__xludf.UNSUPPORTED("""COMPUTED_VALUE"""),"Aida")</f>
        <v>Aida</v>
      </c>
      <c r="D694" s="16" t="str">
        <f ca="1">IFERROR(__xludf.UNSUPPORTED("""COMPUTED_VALUE"""),"78081675X")</f>
        <v>78081675X</v>
      </c>
    </row>
    <row r="695" spans="1:4" ht="14.25">
      <c r="A695" s="16" t="str">
        <f ca="1">IFERROR(__xludf.UNSUPPORTED("""COMPUTED_VALUE"""),"Serrador Díez, Concepción ")</f>
        <v xml:space="preserve">Serrador Díez, Concepción </v>
      </c>
      <c r="B695" s="16" t="str">
        <f ca="1">IFERROR(__xludf.UNSUPPORTED("""COMPUTED_VALUE"""),"Serrador Díez")</f>
        <v>Serrador Díez</v>
      </c>
      <c r="C695" s="16" t="str">
        <f ca="1">IFERROR(__xludf.UNSUPPORTED("""COMPUTED_VALUE"""),"Concepción ")</f>
        <v xml:space="preserve">Concepción </v>
      </c>
      <c r="D695" s="16" t="str">
        <f ca="1">IFERROR(__xludf.UNSUPPORTED("""COMPUTED_VALUE"""),"71169694N")</f>
        <v>71169694N</v>
      </c>
    </row>
    <row r="696" spans="1:4" ht="14.25">
      <c r="A696" s="16" t="str">
        <f ca="1">IFERROR(__xludf.UNSUPPORTED("""COMPUTED_VALUE"""),"Serralta García, Laura Beatriz")</f>
        <v>Serralta García, Laura Beatriz</v>
      </c>
      <c r="B696" s="16" t="str">
        <f ca="1">IFERROR(__xludf.UNSUPPORTED("""COMPUTED_VALUE"""),"Serralta García")</f>
        <v>Serralta García</v>
      </c>
      <c r="C696" s="16" t="str">
        <f ca="1">IFERROR(__xludf.UNSUPPORTED("""COMPUTED_VALUE"""),"Laura Beatriz")</f>
        <v>Laura Beatriz</v>
      </c>
      <c r="D696" s="16" t="str">
        <f ca="1">IFERROR(__xludf.UNSUPPORTED("""COMPUTED_VALUE"""),"44890584N")</f>
        <v>44890584N</v>
      </c>
    </row>
    <row r="697" spans="1:4" ht="14.25">
      <c r="A697" s="16" t="str">
        <f ca="1">IFERROR(__xludf.UNSUPPORTED("""COMPUTED_VALUE"""),"Serrano Alcalá, Alicia")</f>
        <v>Serrano Alcalá, Alicia</v>
      </c>
      <c r="B697" s="16" t="str">
        <f ca="1">IFERROR(__xludf.UNSUPPORTED("""COMPUTED_VALUE"""),"Serrano Alcalá")</f>
        <v>Serrano Alcalá</v>
      </c>
      <c r="C697" s="16" t="str">
        <f ca="1">IFERROR(__xludf.UNSUPPORTED("""COMPUTED_VALUE"""),"Alicia")</f>
        <v>Alicia</v>
      </c>
      <c r="D697" s="16" t="str">
        <f ca="1">IFERROR(__xludf.UNSUPPORTED("""COMPUTED_VALUE"""),"74379309T")</f>
        <v>74379309T</v>
      </c>
    </row>
    <row r="698" spans="1:4" ht="14.25">
      <c r="A698" s="16" t="str">
        <f ca="1">IFERROR(__xludf.UNSUPPORTED("""COMPUTED_VALUE"""),"Serrano García, Cristina")</f>
        <v>Serrano García, Cristina</v>
      </c>
      <c r="B698" s="16" t="str">
        <f ca="1">IFERROR(__xludf.UNSUPPORTED("""COMPUTED_VALUE"""),"Serrano García")</f>
        <v>Serrano García</v>
      </c>
      <c r="C698" s="16" t="str">
        <f ca="1">IFERROR(__xludf.UNSUPPORTED("""COMPUTED_VALUE"""),"Cristina")</f>
        <v>Cristina</v>
      </c>
      <c r="D698" s="16" t="str">
        <f ca="1">IFERROR(__xludf.UNSUPPORTED("""COMPUTED_VALUE"""),"09002063R")</f>
        <v>09002063R</v>
      </c>
    </row>
    <row r="699" spans="1:4" ht="14.25">
      <c r="A699" s="16" t="str">
        <f ca="1">IFERROR(__xludf.UNSUPPORTED("""COMPUTED_VALUE"""),"Serrano Zárate, Berenice")</f>
        <v>Serrano Zárate, Berenice</v>
      </c>
      <c r="B699" s="16" t="str">
        <f ca="1">IFERROR(__xludf.UNSUPPORTED("""COMPUTED_VALUE"""),"Serrano Zárate")</f>
        <v>Serrano Zárate</v>
      </c>
      <c r="C699" s="16" t="str">
        <f ca="1">IFERROR(__xludf.UNSUPPORTED("""COMPUTED_VALUE"""),"Berenice")</f>
        <v>Berenice</v>
      </c>
      <c r="D699" s="16" t="str">
        <f ca="1">IFERROR(__xludf.UNSUPPORTED("""COMPUTED_VALUE"""),"X9069676V")</f>
        <v>X9069676V</v>
      </c>
    </row>
    <row r="700" spans="1:4" ht="14.25">
      <c r="A700" s="16" t="str">
        <f ca="1">IFERROR(__xludf.UNSUPPORTED("""COMPUTED_VALUE"""),"Servián Franco, Fátima")</f>
        <v>Servián Franco, Fátima</v>
      </c>
      <c r="B700" s="16" t="str">
        <f ca="1">IFERROR(__xludf.UNSUPPORTED("""COMPUTED_VALUE"""),"Servián Franco")</f>
        <v>Servián Franco</v>
      </c>
      <c r="C700" s="16" t="str">
        <f ca="1">IFERROR(__xludf.UNSUPPORTED("""COMPUTED_VALUE"""),"Fátima")</f>
        <v>Fátima</v>
      </c>
      <c r="D700" s="16" t="str">
        <f ca="1">IFERROR(__xludf.UNSUPPORTED("""COMPUTED_VALUE"""),"50612648K")</f>
        <v>50612648K</v>
      </c>
    </row>
    <row r="701" spans="1:4" ht="14.25">
      <c r="A701" s="16" t="str">
        <f ca="1">IFERROR(__xludf.UNSUPPORTED("""COMPUTED_VALUE"""),"Silva López, Mariana")</f>
        <v>Silva López, Mariana</v>
      </c>
      <c r="B701" s="16" t="str">
        <f ca="1">IFERROR(__xludf.UNSUPPORTED("""COMPUTED_VALUE"""),"Silva López")</f>
        <v>Silva López</v>
      </c>
      <c r="C701" s="16" t="str">
        <f ca="1">IFERROR(__xludf.UNSUPPORTED("""COMPUTED_VALUE"""),"Mariana")</f>
        <v>Mariana</v>
      </c>
      <c r="D701" s="16" t="str">
        <f ca="1">IFERROR(__xludf.UNSUPPORTED("""COMPUTED_VALUE"""),"50548000A")</f>
        <v>50548000A</v>
      </c>
    </row>
    <row r="702" spans="1:4" ht="14.25">
      <c r="A702" s="16" t="str">
        <f ca="1">IFERROR(__xludf.UNSUPPORTED("""COMPUTED_VALUE"""),"Smani, Younes")</f>
        <v>Smani, Younes</v>
      </c>
      <c r="B702" s="16" t="str">
        <f ca="1">IFERROR(__xludf.UNSUPPORTED("""COMPUTED_VALUE"""),"Smani")</f>
        <v>Smani</v>
      </c>
      <c r="C702" s="16" t="str">
        <f ca="1">IFERROR(__xludf.UNSUPPORTED("""COMPUTED_VALUE"""),"Younes")</f>
        <v>Younes</v>
      </c>
      <c r="D702" s="16" t="str">
        <f ca="1">IFERROR(__xludf.UNSUPPORTED("""COMPUTED_VALUE"""),"X9251096J")</f>
        <v>X9251096J</v>
      </c>
    </row>
    <row r="703" spans="1:4" ht="14.25">
      <c r="A703" s="16" t="str">
        <f ca="1">IFERROR(__xludf.UNSUPPORTED("""COMPUTED_VALUE"""),"Solano Parada, Jennifer")</f>
        <v>Solano Parada, Jennifer</v>
      </c>
      <c r="B703" s="16" t="str">
        <f ca="1">IFERROR(__xludf.UNSUPPORTED("""COMPUTED_VALUE"""),"Solano Parada")</f>
        <v>Solano Parada</v>
      </c>
      <c r="C703" s="16" t="str">
        <f ca="1">IFERROR(__xludf.UNSUPPORTED("""COMPUTED_VALUE"""),"Jennifer")</f>
        <v>Jennifer</v>
      </c>
      <c r="D703" s="16" t="str">
        <f ca="1">IFERROR(__xludf.UNSUPPORTED("""COMPUTED_VALUE"""),"74036954T")</f>
        <v>74036954T</v>
      </c>
    </row>
    <row r="704" spans="1:4" ht="14.25">
      <c r="A704" s="16" t="str">
        <f ca="1">IFERROR(__xludf.UNSUPPORTED("""COMPUTED_VALUE"""),"Solaz García, Álvaro")</f>
        <v>Solaz García, Álvaro</v>
      </c>
      <c r="B704" s="16" t="str">
        <f ca="1">IFERROR(__xludf.UNSUPPORTED("""COMPUTED_VALUE"""),"Solaz García")</f>
        <v>Solaz García</v>
      </c>
      <c r="C704" s="16" t="str">
        <f ca="1">IFERROR(__xludf.UNSUPPORTED("""COMPUTED_VALUE"""),"Álvaro")</f>
        <v>Álvaro</v>
      </c>
      <c r="D704" s="16" t="str">
        <f ca="1">IFERROR(__xludf.UNSUPPORTED("""COMPUTED_VALUE"""),"73596322W")</f>
        <v>73596322W</v>
      </c>
    </row>
    <row r="705" spans="1:4" ht="14.25">
      <c r="A705" s="16" t="str">
        <f ca="1">IFERROR(__xludf.UNSUPPORTED("""COMPUTED_VALUE"""),"Soler Vila, Paula")</f>
        <v>Soler Vila, Paula</v>
      </c>
      <c r="B705" s="16" t="str">
        <f ca="1">IFERROR(__xludf.UNSUPPORTED("""COMPUTED_VALUE"""),"Soler Vila")</f>
        <v>Soler Vila</v>
      </c>
      <c r="C705" s="16" t="str">
        <f ca="1">IFERROR(__xludf.UNSUPPORTED("""COMPUTED_VALUE"""),"Paula")</f>
        <v>Paula</v>
      </c>
      <c r="D705" s="16" t="str">
        <f ca="1">IFERROR(__xludf.UNSUPPORTED("""COMPUTED_VALUE"""),"48294021R")</f>
        <v>48294021R</v>
      </c>
    </row>
    <row r="706" spans="1:4" ht="14.25">
      <c r="A706" s="16" t="str">
        <f ca="1">IFERROR(__xludf.UNSUPPORTED("""COMPUTED_VALUE"""),"Soria Urios, Gema")</f>
        <v>Soria Urios, Gema</v>
      </c>
      <c r="B706" s="16" t="str">
        <f ca="1">IFERROR(__xludf.UNSUPPORTED("""COMPUTED_VALUE"""),"Soria Urios")</f>
        <v>Soria Urios</v>
      </c>
      <c r="C706" s="16" t="str">
        <f ca="1">IFERROR(__xludf.UNSUPPORTED("""COMPUTED_VALUE"""),"Gema")</f>
        <v>Gema</v>
      </c>
      <c r="D706" s="16" t="str">
        <f ca="1">IFERROR(__xludf.UNSUPPORTED("""COMPUTED_VALUE"""),"73565399Z")</f>
        <v>73565399Z</v>
      </c>
    </row>
    <row r="707" spans="1:4" ht="14.25">
      <c r="A707" s="16" t="str">
        <f ca="1">IFERROR(__xludf.UNSUPPORTED("""COMPUTED_VALUE"""),"Soriano Romaní, Laura")</f>
        <v>Soriano Romaní, Laura</v>
      </c>
      <c r="B707" s="16" t="str">
        <f ca="1">IFERROR(__xludf.UNSUPPORTED("""COMPUTED_VALUE"""),"Soriano Romaní")</f>
        <v>Soriano Romaní</v>
      </c>
      <c r="C707" s="16" t="str">
        <f ca="1">IFERROR(__xludf.UNSUPPORTED("""COMPUTED_VALUE"""),"Laura")</f>
        <v>Laura</v>
      </c>
      <c r="D707" s="16" t="str">
        <f ca="1">IFERROR(__xludf.UNSUPPORTED("""COMPUTED_VALUE"""),"44524068R")</f>
        <v>44524068R</v>
      </c>
    </row>
    <row r="708" spans="1:4" ht="14.25">
      <c r="A708" s="16" t="str">
        <f ca="1">IFERROR(__xludf.UNSUPPORTED("""COMPUTED_VALUE"""),"Soro Domingo, Marina")</f>
        <v>Soro Domingo, Marina</v>
      </c>
      <c r="B708" s="16" t="str">
        <f ca="1">IFERROR(__xludf.UNSUPPORTED("""COMPUTED_VALUE"""),"Soro Domingo")</f>
        <v>Soro Domingo</v>
      </c>
      <c r="C708" s="16" t="str">
        <f ca="1">IFERROR(__xludf.UNSUPPORTED("""COMPUTED_VALUE"""),"Marina")</f>
        <v>Marina</v>
      </c>
      <c r="D708" s="16" t="str">
        <f ca="1">IFERROR(__xludf.UNSUPPORTED("""COMPUTED_VALUE"""),"25139602G")</f>
        <v>25139602G</v>
      </c>
    </row>
    <row r="709" spans="1:4" ht="14.25">
      <c r="A709" s="16" t="str">
        <f ca="1">IFERROR(__xludf.UNSUPPORTED("""COMPUTED_VALUE"""),"Sosa Palanca, Eva Maria")</f>
        <v>Sosa Palanca, Eva Maria</v>
      </c>
      <c r="B709" s="16" t="str">
        <f ca="1">IFERROR(__xludf.UNSUPPORTED("""COMPUTED_VALUE"""),"Sosa Palanca")</f>
        <v>Sosa Palanca</v>
      </c>
      <c r="C709" s="16" t="str">
        <f ca="1">IFERROR(__xludf.UNSUPPORTED("""COMPUTED_VALUE"""),"Eva Maria")</f>
        <v>Eva Maria</v>
      </c>
      <c r="D709" s="16" t="str">
        <f ca="1">IFERROR(__xludf.UNSUPPORTED("""COMPUTED_VALUE"""),"22561977N")</f>
        <v>22561977N</v>
      </c>
    </row>
    <row r="710" spans="1:4" ht="14.25">
      <c r="A710" s="16" t="str">
        <f ca="1">IFERROR(__xludf.UNSUPPORTED("""COMPUTED_VALUE"""),"Soto Pérez, Felipe Claudio")</f>
        <v>Soto Pérez, Felipe Claudio</v>
      </c>
      <c r="B710" s="16" t="str">
        <f ca="1">IFERROR(__xludf.UNSUPPORTED("""COMPUTED_VALUE"""),"Soto Pérez")</f>
        <v>Soto Pérez</v>
      </c>
      <c r="C710" s="16" t="str">
        <f ca="1">IFERROR(__xludf.UNSUPPORTED("""COMPUTED_VALUE"""),"Felipe Claudio")</f>
        <v>Felipe Claudio</v>
      </c>
      <c r="D710" s="16" t="str">
        <f ca="1">IFERROR(__xludf.UNSUPPORTED("""COMPUTED_VALUE"""),"71054008Q")</f>
        <v>71054008Q</v>
      </c>
    </row>
    <row r="711" spans="1:4" ht="14.25">
      <c r="A711" s="16" t="str">
        <f ca="1">IFERROR(__xludf.UNSUPPORTED("""COMPUTED_VALUE"""),"Soto Rubio, Ana Lucila")</f>
        <v>Soto Rubio, Ana Lucila</v>
      </c>
      <c r="B711" s="16" t="str">
        <f ca="1">IFERROR(__xludf.UNSUPPORTED("""COMPUTED_VALUE"""),"Soto Rubio")</f>
        <v>Soto Rubio</v>
      </c>
      <c r="C711" s="16" t="str">
        <f ca="1">IFERROR(__xludf.UNSUPPORTED("""COMPUTED_VALUE"""),"Ana Lucila")</f>
        <v>Ana Lucila</v>
      </c>
      <c r="D711" s="16" t="str">
        <f ca="1">IFERROR(__xludf.UNSUPPORTED("""COMPUTED_VALUE"""),"54126854B")</f>
        <v>54126854B</v>
      </c>
    </row>
    <row r="712" spans="1:4" ht="14.25">
      <c r="A712" s="16" t="str">
        <f ca="1">IFERROR(__xludf.UNSUPPORTED("""COMPUTED_VALUE"""),"Soto Sanz, Victoria")</f>
        <v>Soto Sanz, Victoria</v>
      </c>
      <c r="B712" s="16" t="str">
        <f ca="1">IFERROR(__xludf.UNSUPPORTED("""COMPUTED_VALUE"""),"Soto Sanz")</f>
        <v>Soto Sanz</v>
      </c>
      <c r="C712" s="16" t="str">
        <f ca="1">IFERROR(__xludf.UNSUPPORTED("""COMPUTED_VALUE"""),"Victoria")</f>
        <v>Victoria</v>
      </c>
      <c r="D712" s="16" t="str">
        <f ca="1">IFERROR(__xludf.UNSUPPORTED("""COMPUTED_VALUE"""),"74374931S")</f>
        <v>74374931S</v>
      </c>
    </row>
    <row r="713" spans="1:4" ht="14.25">
      <c r="A713" s="16" t="str">
        <f ca="1">IFERROR(__xludf.UNSUPPORTED("""COMPUTED_VALUE"""),"Suárez Blay, María Dolores")</f>
        <v>Suárez Blay, María Dolores</v>
      </c>
      <c r="B713" s="16" t="str">
        <f ca="1">IFERROR(__xludf.UNSUPPORTED("""COMPUTED_VALUE"""),"Suárez Blay")</f>
        <v>Suárez Blay</v>
      </c>
      <c r="C713" s="16" t="str">
        <f ca="1">IFERROR(__xludf.UNSUPPORTED("""COMPUTED_VALUE"""),"María Dolores")</f>
        <v>María Dolores</v>
      </c>
      <c r="D713" s="16" t="str">
        <f ca="1">IFERROR(__xludf.UNSUPPORTED("""COMPUTED_VALUE"""),"50094505E")</f>
        <v>50094505E</v>
      </c>
    </row>
    <row r="714" spans="1:4" ht="14.25">
      <c r="A714" s="16" t="str">
        <f ca="1">IFERROR(__xludf.UNSUPPORTED("""COMPUTED_VALUE"""),"Suárez Soto, Elizabeth")</f>
        <v>Suárez Soto, Elizabeth</v>
      </c>
      <c r="B714" s="16" t="str">
        <f ca="1">IFERROR(__xludf.UNSUPPORTED("""COMPUTED_VALUE"""),"Suárez Soto")</f>
        <v>Suárez Soto</v>
      </c>
      <c r="C714" s="16" t="str">
        <f ca="1">IFERROR(__xludf.UNSUPPORTED("""COMPUTED_VALUE"""),"Elizabeth")</f>
        <v>Elizabeth</v>
      </c>
      <c r="D714" s="16" t="str">
        <f ca="1">IFERROR(__xludf.UNSUPPORTED("""COMPUTED_VALUE"""),"Y4222090V")</f>
        <v>Y4222090V</v>
      </c>
    </row>
    <row r="715" spans="1:4" ht="14.25">
      <c r="A715" s="16" t="str">
        <f ca="1">IFERROR(__xludf.UNSUPPORTED("""COMPUTED_VALUE"""),"Subirana Mirete, Judit")</f>
        <v>Subirana Mirete, Judit</v>
      </c>
      <c r="B715" s="16" t="str">
        <f ca="1">IFERROR(__xludf.UNSUPPORTED("""COMPUTED_VALUE"""),"Subirana Mirete")</f>
        <v>Subirana Mirete</v>
      </c>
      <c r="C715" s="16" t="str">
        <f ca="1">IFERROR(__xludf.UNSUPPORTED("""COMPUTED_VALUE"""),"Judit")</f>
        <v>Judit</v>
      </c>
      <c r="D715" s="16" t="str">
        <f ca="1">IFERROR(__xludf.UNSUPPORTED("""COMPUTED_VALUE"""),"47790788P")</f>
        <v>47790788P</v>
      </c>
    </row>
    <row r="716" spans="1:4" ht="14.25">
      <c r="A716" s="16" t="str">
        <f ca="1">IFERROR(__xludf.UNSUPPORTED("""COMPUTED_VALUE"""),"Szygendowska, Marta")</f>
        <v>Szygendowska, Marta</v>
      </c>
      <c r="B716" s="16" t="str">
        <f ca="1">IFERROR(__xludf.UNSUPPORTED("""COMPUTED_VALUE"""),"Szygendowska")</f>
        <v>Szygendowska</v>
      </c>
      <c r="C716" s="16" t="str">
        <f ca="1">IFERROR(__xludf.UNSUPPORTED("""COMPUTED_VALUE"""),"Marta")</f>
        <v>Marta</v>
      </c>
      <c r="D716" s="16" t="str">
        <f ca="1">IFERROR(__xludf.UNSUPPORTED("""COMPUTED_VALUE"""),"X07033484S")</f>
        <v>X07033484S</v>
      </c>
    </row>
    <row r="717" spans="1:4" ht="14.25">
      <c r="A717" s="16" t="str">
        <f ca="1">IFERROR(__xludf.UNSUPPORTED("""COMPUTED_VALUE"""),"Taberner Cortés, Alida")</f>
        <v>Taberner Cortés, Alida</v>
      </c>
      <c r="B717" s="16" t="str">
        <f ca="1">IFERROR(__xludf.UNSUPPORTED("""COMPUTED_VALUE"""),"Taberner Cortés")</f>
        <v>Taberner Cortés</v>
      </c>
      <c r="C717" s="16" t="str">
        <f ca="1">IFERROR(__xludf.UNSUPPORTED("""COMPUTED_VALUE"""),"Alida")</f>
        <v>Alida</v>
      </c>
      <c r="D717" s="16" t="str">
        <f ca="1">IFERROR(__xludf.UNSUPPORTED("""COMPUTED_VALUE"""),"53207980X")</f>
        <v>53207980X</v>
      </c>
    </row>
    <row r="718" spans="1:4" ht="14.25">
      <c r="A718" s="16" t="str">
        <f ca="1">IFERROR(__xludf.UNSUPPORTED("""COMPUTED_VALUE"""),"Tarazón Melguizo, Estefanía")</f>
        <v>Tarazón Melguizo, Estefanía</v>
      </c>
      <c r="B718" s="16" t="str">
        <f ca="1">IFERROR(__xludf.UNSUPPORTED("""COMPUTED_VALUE"""),"Tarazón Melguizo")</f>
        <v>Tarazón Melguizo</v>
      </c>
      <c r="C718" s="16" t="str">
        <f ca="1">IFERROR(__xludf.UNSUPPORTED("""COMPUTED_VALUE"""),"Estefanía")</f>
        <v>Estefanía</v>
      </c>
      <c r="D718" s="16" t="str">
        <f ca="1">IFERROR(__xludf.UNSUPPORTED("""COMPUTED_VALUE"""),"73579879G")</f>
        <v>73579879G</v>
      </c>
    </row>
    <row r="719" spans="1:4" ht="14.25">
      <c r="A719" s="16" t="str">
        <f ca="1">IFERROR(__xludf.UNSUPPORTED("""COMPUTED_VALUE"""),"Tejedor Huerta, María Asunción")</f>
        <v>Tejedor Huerta, María Asunción</v>
      </c>
      <c r="B719" s="16" t="str">
        <f ca="1">IFERROR(__xludf.UNSUPPORTED("""COMPUTED_VALUE"""),"Tejedor Huerta")</f>
        <v>Tejedor Huerta</v>
      </c>
      <c r="C719" s="16" t="str">
        <f ca="1">IFERROR(__xludf.UNSUPPORTED("""COMPUTED_VALUE"""),"María Asunción")</f>
        <v>María Asunción</v>
      </c>
      <c r="D719" s="16" t="str">
        <f ca="1">IFERROR(__xludf.UNSUPPORTED("""COMPUTED_VALUE"""),"24884046R")</f>
        <v>24884046R</v>
      </c>
    </row>
    <row r="720" spans="1:4" ht="14.25">
      <c r="A720" s="16" t="str">
        <f ca="1">IFERROR(__xludf.UNSUPPORTED("""COMPUTED_VALUE"""),"Telechea Fernández, Marcelino")</f>
        <v>Telechea Fernández, Marcelino</v>
      </c>
      <c r="B720" s="16" t="str">
        <f ca="1">IFERROR(__xludf.UNSUPPORTED("""COMPUTED_VALUE"""),"Telechea Fernández")</f>
        <v>Telechea Fernández</v>
      </c>
      <c r="C720" s="16" t="str">
        <f ca="1">IFERROR(__xludf.UNSUPPORTED("""COMPUTED_VALUE"""),"Marcelino")</f>
        <v>Marcelino</v>
      </c>
      <c r="D720" s="16" t="str">
        <f ca="1">IFERROR(__xludf.UNSUPPORTED("""COMPUTED_VALUE"""),"18505226R")</f>
        <v>18505226R</v>
      </c>
    </row>
    <row r="721" spans="1:4" ht="14.25">
      <c r="A721" s="16" t="str">
        <f ca="1">IFERROR(__xludf.UNSUPPORTED("""COMPUTED_VALUE"""),"Tercero Quintero, Rocío")</f>
        <v>Tercero Quintero, Rocío</v>
      </c>
      <c r="B721" s="16" t="str">
        <f ca="1">IFERROR(__xludf.UNSUPPORTED("""COMPUTED_VALUE"""),"Tercero Quintero")</f>
        <v>Tercero Quintero</v>
      </c>
      <c r="C721" s="16" t="str">
        <f ca="1">IFERROR(__xludf.UNSUPPORTED("""COMPUTED_VALUE"""),"Rocío")</f>
        <v>Rocío</v>
      </c>
      <c r="D721" s="16"/>
    </row>
    <row r="722" spans="1:4" ht="14.25">
      <c r="A722" s="16" t="str">
        <f ca="1">IFERROR(__xludf.UNSUPPORTED("""COMPUTED_VALUE"""),"Terreros García, Elena")</f>
        <v>Terreros García, Elena</v>
      </c>
      <c r="B722" s="16" t="str">
        <f ca="1">IFERROR(__xludf.UNSUPPORTED("""COMPUTED_VALUE"""),"Terreros García")</f>
        <v>Terreros García</v>
      </c>
      <c r="C722" s="16" t="str">
        <f ca="1">IFERROR(__xludf.UNSUPPORTED("""COMPUTED_VALUE"""),"Elena")</f>
        <v>Elena</v>
      </c>
      <c r="D722" s="16" t="str">
        <f ca="1">IFERROR(__xludf.UNSUPPORTED("""COMPUTED_VALUE"""),"24395859N")</f>
        <v>24395859N</v>
      </c>
    </row>
    <row r="723" spans="1:4" ht="14.25">
      <c r="A723" s="16" t="str">
        <f ca="1">IFERROR(__xludf.UNSUPPORTED("""COMPUTED_VALUE"""),"Themme Afán, Cecilia Luisa")</f>
        <v>Themme Afán, Cecilia Luisa</v>
      </c>
      <c r="B723" s="16" t="str">
        <f ca="1">IFERROR(__xludf.UNSUPPORTED("""COMPUTED_VALUE"""),"Themme Afán")</f>
        <v>Themme Afán</v>
      </c>
      <c r="C723" s="16" t="str">
        <f ca="1">IFERROR(__xludf.UNSUPPORTED("""COMPUTED_VALUE"""),"Cecilia Luisa")</f>
        <v>Cecilia Luisa</v>
      </c>
      <c r="D723" s="16" t="str">
        <f ca="1">IFERROR(__xludf.UNSUPPORTED("""COMPUTED_VALUE"""),"72810615K")</f>
        <v>72810615K</v>
      </c>
    </row>
    <row r="724" spans="1:4" ht="14.25">
      <c r="A724" s="16" t="str">
        <f ca="1">IFERROR(__xludf.UNSUPPORTED("""COMPUTED_VALUE"""),"Tirado Gómez, Graciela Isabel")</f>
        <v>Tirado Gómez, Graciela Isabel</v>
      </c>
      <c r="B724" s="16" t="str">
        <f ca="1">IFERROR(__xludf.UNSUPPORTED("""COMPUTED_VALUE"""),"Tirado Gómez")</f>
        <v>Tirado Gómez</v>
      </c>
      <c r="C724" s="16" t="str">
        <f ca="1">IFERROR(__xludf.UNSUPPORTED("""COMPUTED_VALUE"""),"Graciela Isabel")</f>
        <v>Graciela Isabel</v>
      </c>
      <c r="D724" s="16">
        <f ca="1">IFERROR(__xludf.UNSUPPORTED("""COMPUTED_VALUE"""),21050335992)</f>
        <v>21050335992</v>
      </c>
    </row>
    <row r="725" spans="1:4" ht="14.25">
      <c r="A725" s="16" t="str">
        <f ca="1">IFERROR(__xludf.UNSUPPORTED("""COMPUTED_VALUE"""),"Tobar Fredes, Rodrigo")</f>
        <v>Tobar Fredes, Rodrigo</v>
      </c>
      <c r="B725" s="16" t="str">
        <f ca="1">IFERROR(__xludf.UNSUPPORTED("""COMPUTED_VALUE"""),"Tobar Fredes")</f>
        <v>Tobar Fredes</v>
      </c>
      <c r="C725" s="16" t="str">
        <f ca="1">IFERROR(__xludf.UNSUPPORTED("""COMPUTED_VALUE"""),"Rodrigo")</f>
        <v>Rodrigo</v>
      </c>
      <c r="D725" s="16"/>
    </row>
    <row r="726" spans="1:4" ht="14.25">
      <c r="A726" s="16" t="str">
        <f ca="1">IFERROR(__xludf.UNSUPPORTED("""COMPUTED_VALUE"""),"Tobar Tosse, Henry Fabian")</f>
        <v>Tobar Tosse, Henry Fabian</v>
      </c>
      <c r="B726" s="16" t="str">
        <f ca="1">IFERROR(__xludf.UNSUPPORTED("""COMPUTED_VALUE"""),"Tobar Tosse")</f>
        <v>Tobar Tosse</v>
      </c>
      <c r="C726" s="16" t="str">
        <f ca="1">IFERROR(__xludf.UNSUPPORTED("""COMPUTED_VALUE"""),"Henry Fabian")</f>
        <v>Henry Fabian</v>
      </c>
      <c r="D726" s="16" t="str">
        <f ca="1">IFERROR(__xludf.UNSUPPORTED("""COMPUTED_VALUE"""),"AR613492")</f>
        <v>AR613492</v>
      </c>
    </row>
    <row r="727" spans="1:4" ht="14.25">
      <c r="A727" s="16" t="str">
        <f ca="1">IFERROR(__xludf.UNSUPPORTED("""COMPUTED_VALUE"""),"Tormo Irún, María Pilar")</f>
        <v>Tormo Irún, María Pilar</v>
      </c>
      <c r="B727" s="16" t="str">
        <f ca="1">IFERROR(__xludf.UNSUPPORTED("""COMPUTED_VALUE"""),"Tormo Irún")</f>
        <v>Tormo Irún</v>
      </c>
      <c r="C727" s="16" t="str">
        <f ca="1">IFERROR(__xludf.UNSUPPORTED("""COMPUTED_VALUE"""),"María Pilar")</f>
        <v>María Pilar</v>
      </c>
      <c r="D727" s="16" t="str">
        <f ca="1">IFERROR(__xludf.UNSUPPORTED("""COMPUTED_VALUE"""),"18991791R")</f>
        <v>18991791R</v>
      </c>
    </row>
    <row r="728" spans="1:4" ht="14.25">
      <c r="A728" s="16" t="str">
        <f ca="1">IFERROR(__xludf.UNSUPPORTED("""COMPUTED_VALUE"""),"Toro Funes, Natalia")</f>
        <v>Toro Funes, Natalia</v>
      </c>
      <c r="B728" s="16" t="str">
        <f ca="1">IFERROR(__xludf.UNSUPPORTED("""COMPUTED_VALUE"""),"Toro Funes")</f>
        <v>Toro Funes</v>
      </c>
      <c r="C728" s="16" t="str">
        <f ca="1">IFERROR(__xludf.UNSUPPORTED("""COMPUTED_VALUE"""),"Natalia")</f>
        <v>Natalia</v>
      </c>
      <c r="D728" s="16" t="str">
        <f ca="1">IFERROR(__xludf.UNSUPPORTED("""COMPUTED_VALUE"""),"18048795M")</f>
        <v>18048795M</v>
      </c>
    </row>
    <row r="729" spans="1:4" ht="14.25">
      <c r="A729" s="16" t="str">
        <f ca="1">IFERROR(__xludf.UNSUPPORTED("""COMPUTED_VALUE"""),"Torres Apolo, Víctor Andrés")</f>
        <v>Torres Apolo, Víctor Andrés</v>
      </c>
      <c r="B729" s="16" t="str">
        <f ca="1">IFERROR(__xludf.UNSUPPORTED("""COMPUTED_VALUE"""),"Torres Apolo")</f>
        <v>Torres Apolo</v>
      </c>
      <c r="C729" s="16" t="str">
        <f ca="1">IFERROR(__xludf.UNSUPPORTED("""COMPUTED_VALUE"""),"Víctor Andrés")</f>
        <v>Víctor Andrés</v>
      </c>
      <c r="D729" s="16" t="str">
        <f ca="1">IFERROR(__xludf.UNSUPPORTED("""COMPUTED_VALUE"""),"47197164Z")</f>
        <v>47197164Z</v>
      </c>
    </row>
    <row r="730" spans="1:4" ht="14.25">
      <c r="A730" s="16" t="str">
        <f ca="1">IFERROR(__xludf.UNSUPPORTED("""COMPUTED_VALUE"""),"Torres Aviño, Elena")</f>
        <v>Torres Aviño, Elena</v>
      </c>
      <c r="B730" s="16" t="str">
        <f ca="1">IFERROR(__xludf.UNSUPPORTED("""COMPUTED_VALUE"""),"Torres Aviño")</f>
        <v>Torres Aviño</v>
      </c>
      <c r="C730" s="16" t="str">
        <f ca="1">IFERROR(__xludf.UNSUPPORTED("""COMPUTED_VALUE"""),"Elena")</f>
        <v>Elena</v>
      </c>
      <c r="D730" s="16" t="str">
        <f ca="1">IFERROR(__xludf.UNSUPPORTED("""COMPUTED_VALUE"""),"20824476T")</f>
        <v>20824476T</v>
      </c>
    </row>
    <row r="731" spans="1:4" ht="14.25">
      <c r="A731" s="16" t="str">
        <f ca="1">IFERROR(__xludf.UNSUPPORTED("""COMPUTED_VALUE"""),"Torres Prioris, María José")</f>
        <v>Torres Prioris, María José</v>
      </c>
      <c r="B731" s="16" t="str">
        <f ca="1">IFERROR(__xludf.UNSUPPORTED("""COMPUTED_VALUE"""),"Torres Prioris")</f>
        <v>Torres Prioris</v>
      </c>
      <c r="C731" s="16" t="str">
        <f ca="1">IFERROR(__xludf.UNSUPPORTED("""COMPUTED_VALUE"""),"María José")</f>
        <v>María José</v>
      </c>
      <c r="D731" s="16" t="str">
        <f ca="1">IFERROR(__xludf.UNSUPPORTED("""COMPUTED_VALUE"""),"77429133R")</f>
        <v>77429133R</v>
      </c>
    </row>
    <row r="732" spans="1:4" ht="14.25">
      <c r="A732" s="16" t="str">
        <f ca="1">IFERROR(__xludf.UNSUPPORTED("""COMPUTED_VALUE"""),"Tortosa Pérez, Macarena")</f>
        <v>Tortosa Pérez, Macarena</v>
      </c>
      <c r="B732" s="16" t="str">
        <f ca="1">IFERROR(__xludf.UNSUPPORTED("""COMPUTED_VALUE"""),"Tortosa Pérez")</f>
        <v>Tortosa Pérez</v>
      </c>
      <c r="C732" s="16" t="str">
        <f ca="1">IFERROR(__xludf.UNSUPPORTED("""COMPUTED_VALUE"""),"Macarena")</f>
        <v>Macarena</v>
      </c>
      <c r="D732" s="16" t="str">
        <f ca="1">IFERROR(__xludf.UNSUPPORTED("""COMPUTED_VALUE"""),"21009402Y")</f>
        <v>21009402Y</v>
      </c>
    </row>
    <row r="733" spans="1:4" ht="14.25">
      <c r="A733" s="16" t="str">
        <f ca="1">IFERROR(__xludf.UNSUPPORTED("""COMPUTED_VALUE"""),"Tresgallo Saiz, Emilio Constantino")</f>
        <v>Tresgallo Saiz, Emilio Constantino</v>
      </c>
      <c r="B733" s="16" t="str">
        <f ca="1">IFERROR(__xludf.UNSUPPORTED("""COMPUTED_VALUE"""),"Tresgallo Saiz")</f>
        <v>Tresgallo Saiz</v>
      </c>
      <c r="C733" s="16" t="str">
        <f ca="1">IFERROR(__xludf.UNSUPPORTED("""COMPUTED_VALUE"""),"Emilio Constantino")</f>
        <v>Emilio Constantino</v>
      </c>
      <c r="D733" s="16" t="str">
        <f ca="1">IFERROR(__xludf.UNSUPPORTED("""COMPUTED_VALUE"""),"13897985M")</f>
        <v>13897985M</v>
      </c>
    </row>
    <row r="734" spans="1:4" ht="14.25">
      <c r="A734" s="16" t="str">
        <f ca="1">IFERROR(__xludf.UNSUPPORTED("""COMPUTED_VALUE"""),"Tripiana Sánchez, Iban")</f>
        <v>Tripiana Sánchez, Iban</v>
      </c>
      <c r="B734" s="16" t="str">
        <f ca="1">IFERROR(__xludf.UNSUPPORTED("""COMPUTED_VALUE"""),"Tripiana Sánchez")</f>
        <v>Tripiana Sánchez</v>
      </c>
      <c r="C734" s="16" t="str">
        <f ca="1">IFERROR(__xludf.UNSUPPORTED("""COMPUTED_VALUE"""),"Iban")</f>
        <v>Iban</v>
      </c>
      <c r="D734" s="16" t="str">
        <f ca="1">IFERROR(__xludf.UNSUPPORTED("""COMPUTED_VALUE"""),"18998595C")</f>
        <v>18998595C</v>
      </c>
    </row>
    <row r="735" spans="1:4" ht="14.25">
      <c r="A735" s="16" t="str">
        <f ca="1">IFERROR(__xludf.UNSUPPORTED("""COMPUTED_VALUE"""),"Tronchoni Albert, Héctor")</f>
        <v>Tronchoni Albert, Héctor</v>
      </c>
      <c r="B735" s="16" t="str">
        <f ca="1">IFERROR(__xludf.UNSUPPORTED("""COMPUTED_VALUE"""),"Tronchoni Albert")</f>
        <v>Tronchoni Albert</v>
      </c>
      <c r="C735" s="16" t="str">
        <f ca="1">IFERROR(__xludf.UNSUPPORTED("""COMPUTED_VALUE"""),"Héctor")</f>
        <v>Héctor</v>
      </c>
      <c r="D735" s="16" t="str">
        <f ca="1">IFERROR(__xludf.UNSUPPORTED("""COMPUTED_VALUE"""),"53206415D")</f>
        <v>53206415D</v>
      </c>
    </row>
    <row r="736" spans="1:4" ht="14.25">
      <c r="A736" s="16" t="str">
        <f ca="1">IFERROR(__xludf.UNSUPPORTED("""COMPUTED_VALUE"""),"Tronchoni León, Jordi")</f>
        <v>Tronchoni León, Jordi</v>
      </c>
      <c r="B736" s="16" t="str">
        <f ca="1">IFERROR(__xludf.UNSUPPORTED("""COMPUTED_VALUE"""),"Tronchoni León")</f>
        <v>Tronchoni León</v>
      </c>
      <c r="C736" s="16" t="str">
        <f ca="1">IFERROR(__xludf.UNSUPPORTED("""COMPUTED_VALUE"""),"Jordi")</f>
        <v>Jordi</v>
      </c>
      <c r="D736" s="16" t="str">
        <f ca="1">IFERROR(__xludf.UNSUPPORTED("""COMPUTED_VALUE"""),"53202944B")</f>
        <v>53202944B</v>
      </c>
    </row>
    <row r="737" spans="1:4" ht="14.25">
      <c r="A737" s="16" t="str">
        <f ca="1">IFERROR(__xludf.UNSUPPORTED("""COMPUTED_VALUE"""),"Tur Doménech, Cintia")</f>
        <v>Tur Doménech, Cintia</v>
      </c>
      <c r="B737" s="16" t="str">
        <f ca="1">IFERROR(__xludf.UNSUPPORTED("""COMPUTED_VALUE"""),"Tur Doménech")</f>
        <v>Tur Doménech</v>
      </c>
      <c r="C737" s="16" t="str">
        <f ca="1">IFERROR(__xludf.UNSUPPORTED("""COMPUTED_VALUE"""),"Cintia")</f>
        <v>Cintia</v>
      </c>
      <c r="D737" s="16" t="str">
        <f ca="1">IFERROR(__xludf.UNSUPPORTED("""COMPUTED_VALUE"""),"53632775H")</f>
        <v>53632775H</v>
      </c>
    </row>
    <row r="738" spans="1:4" ht="14.25">
      <c r="A738" s="16" t="str">
        <f ca="1">IFERROR(__xludf.UNSUPPORTED("""COMPUTED_VALUE"""),"Ubago Jiménez, José Luis")</f>
        <v>Ubago Jiménez, José Luis</v>
      </c>
      <c r="B738" s="16" t="str">
        <f ca="1">IFERROR(__xludf.UNSUPPORTED("""COMPUTED_VALUE"""),"Ubago Jiménez")</f>
        <v>Ubago Jiménez</v>
      </c>
      <c r="C738" s="16" t="str">
        <f ca="1">IFERROR(__xludf.UNSUPPORTED("""COMPUTED_VALUE"""),"José Luis")</f>
        <v>José Luis</v>
      </c>
      <c r="D738" s="16" t="str">
        <f ca="1">IFERROR(__xludf.UNSUPPORTED("""COMPUTED_VALUE"""),"75145585P")</f>
        <v>75145585P</v>
      </c>
    </row>
    <row r="739" spans="1:4" ht="14.25">
      <c r="A739" s="16" t="str">
        <f ca="1">IFERROR(__xludf.UNSUPPORTED("""COMPUTED_VALUE"""),"Ulloa Guerra, Óscar")</f>
        <v>Ulloa Guerra, Óscar</v>
      </c>
      <c r="B739" s="16" t="str">
        <f ca="1">IFERROR(__xludf.UNSUPPORTED("""COMPUTED_VALUE"""),"Ulloa Guerra")</f>
        <v>Ulloa Guerra</v>
      </c>
      <c r="C739" s="16" t="str">
        <f ca="1">IFERROR(__xludf.UNSUPPORTED("""COMPUTED_VALUE"""),"Óscar")</f>
        <v>Óscar</v>
      </c>
      <c r="D739" s="16" t="str">
        <f ca="1">IFERROR(__xludf.UNSUPPORTED("""COMPUTED_VALUE"""),"54964187Y")</f>
        <v>54964187Y</v>
      </c>
    </row>
    <row r="740" spans="1:4" ht="14.25">
      <c r="A740" s="16" t="str">
        <f ca="1">IFERROR(__xludf.UNSUPPORTED("""COMPUTED_VALUE"""),"Vadillo Padilla, Miguel")</f>
        <v>Vadillo Padilla, Miguel</v>
      </c>
      <c r="B740" s="16" t="str">
        <f ca="1">IFERROR(__xludf.UNSUPPORTED("""COMPUTED_VALUE"""),"Vadillo Padilla")</f>
        <v>Vadillo Padilla</v>
      </c>
      <c r="C740" s="16" t="str">
        <f ca="1">IFERROR(__xludf.UNSUPPORTED("""COMPUTED_VALUE"""),"Miguel")</f>
        <v>Miguel</v>
      </c>
      <c r="D740" s="16" t="str">
        <f ca="1">IFERROR(__xludf.UNSUPPORTED("""COMPUTED_VALUE"""),"25340660L")</f>
        <v>25340660L</v>
      </c>
    </row>
    <row r="741" spans="1:4" ht="14.25">
      <c r="A741" s="16" t="str">
        <f ca="1">IFERROR(__xludf.UNSUPPORTED("""COMPUTED_VALUE"""),"Valdés García, Enric")</f>
        <v>Valdés García, Enric</v>
      </c>
      <c r="B741" s="16" t="str">
        <f ca="1">IFERROR(__xludf.UNSUPPORTED("""COMPUTED_VALUE"""),"Valdés García")</f>
        <v>Valdés García</v>
      </c>
      <c r="C741" s="16" t="str">
        <f ca="1">IFERROR(__xludf.UNSUPPORTED("""COMPUTED_VALUE"""),"Enric")</f>
        <v>Enric</v>
      </c>
      <c r="D741" s="16" t="str">
        <f ca="1">IFERROR(__xludf.UNSUPPORTED("""COMPUTED_VALUE"""),"47458161F")</f>
        <v>47458161F</v>
      </c>
    </row>
    <row r="742" spans="1:4" ht="14.25">
      <c r="A742" s="16" t="str">
        <f ca="1">IFERROR(__xludf.UNSUPPORTED("""COMPUTED_VALUE"""),"Valdés Sánchez, Ivón")</f>
        <v>Valdés Sánchez, Ivón</v>
      </c>
      <c r="B742" s="16" t="str">
        <f ca="1">IFERROR(__xludf.UNSUPPORTED("""COMPUTED_VALUE"""),"Valdés Sánchez")</f>
        <v>Valdés Sánchez</v>
      </c>
      <c r="C742" s="16" t="str">
        <f ca="1">IFERROR(__xludf.UNSUPPORTED("""COMPUTED_VALUE"""),"Ivón")</f>
        <v>Ivón</v>
      </c>
      <c r="D742" s="16" t="str">
        <f ca="1">IFERROR(__xludf.UNSUPPORTED("""COMPUTED_VALUE"""),"50841324P")</f>
        <v>50841324P</v>
      </c>
    </row>
    <row r="743" spans="1:4" ht="14.25">
      <c r="A743" s="16" t="str">
        <f ca="1">IFERROR(__xludf.UNSUPPORTED("""COMPUTED_VALUE"""),"Valdivia Vasco, Rafael Alejandro")</f>
        <v>Valdivia Vasco, Rafael Alejandro</v>
      </c>
      <c r="B743" s="16" t="str">
        <f ca="1">IFERROR(__xludf.UNSUPPORTED("""COMPUTED_VALUE"""),"Valdivia Vasco")</f>
        <v>Valdivia Vasco</v>
      </c>
      <c r="C743" s="16" t="str">
        <f ca="1">IFERROR(__xludf.UNSUPPORTED("""COMPUTED_VALUE"""),"Rafael Alejandro")</f>
        <v>Rafael Alejandro</v>
      </c>
      <c r="D743" s="16" t="str">
        <f ca="1">IFERROR(__xludf.UNSUPPORTED("""COMPUTED_VALUE"""),"26032208A")</f>
        <v>26032208A</v>
      </c>
    </row>
    <row r="744" spans="1:4" ht="14.25">
      <c r="A744" s="16" t="str">
        <f ca="1">IFERROR(__xludf.UNSUPPORTED("""COMPUTED_VALUE"""),"Valentín Centeno, Alberto")</f>
        <v>Valentín Centeno, Alberto</v>
      </c>
      <c r="B744" s="16" t="str">
        <f ca="1">IFERROR(__xludf.UNSUPPORTED("""COMPUTED_VALUE"""),"Valentín Centeno")</f>
        <v>Valentín Centeno</v>
      </c>
      <c r="C744" s="16" t="str">
        <f ca="1">IFERROR(__xludf.UNSUPPORTED("""COMPUTED_VALUE"""),"Alberto")</f>
        <v>Alberto</v>
      </c>
      <c r="D744" s="16" t="str">
        <f ca="1">IFERROR(__xludf.UNSUPPORTED("""COMPUTED_VALUE"""),"09261231M")</f>
        <v>09261231M</v>
      </c>
    </row>
    <row r="745" spans="1:4" ht="14.25">
      <c r="A745" s="16" t="str">
        <f ca="1">IFERROR(__xludf.UNSUPPORTED("""COMPUTED_VALUE"""),"Valera Lloris, Raquel")</f>
        <v>Valera Lloris, Raquel</v>
      </c>
      <c r="B745" s="16" t="str">
        <f ca="1">IFERROR(__xludf.UNSUPPORTED("""COMPUTED_VALUE"""),"Valera Lloris")</f>
        <v>Valera Lloris</v>
      </c>
      <c r="C745" s="16" t="str">
        <f ca="1">IFERROR(__xludf.UNSUPPORTED("""COMPUTED_VALUE"""),"Raquel")</f>
        <v>Raquel</v>
      </c>
      <c r="D745" s="16" t="str">
        <f ca="1">IFERROR(__xludf.UNSUPPORTED("""COMPUTED_VALUE"""),"22580149Z")</f>
        <v>22580149Z</v>
      </c>
    </row>
    <row r="746" spans="1:4" ht="14.25">
      <c r="A746" s="16" t="str">
        <f ca="1">IFERROR(__xludf.UNSUPPORTED("""COMPUTED_VALUE"""),"Valero Rello, Ana")</f>
        <v>Valero Rello, Ana</v>
      </c>
      <c r="B746" s="16" t="str">
        <f ca="1">IFERROR(__xludf.UNSUPPORTED("""COMPUTED_VALUE"""),"Valero Rello")</f>
        <v>Valero Rello</v>
      </c>
      <c r="C746" s="16" t="str">
        <f ca="1">IFERROR(__xludf.UNSUPPORTED("""COMPUTED_VALUE"""),"Ana")</f>
        <v>Ana</v>
      </c>
      <c r="D746" s="16" t="str">
        <f ca="1">IFERROR(__xludf.UNSUPPORTED("""COMPUTED_VALUE"""),"33467093T")</f>
        <v>33467093T</v>
      </c>
    </row>
    <row r="747" spans="1:4" ht="14.25">
      <c r="A747" s="16" t="str">
        <f ca="1">IFERROR(__xludf.UNSUPPORTED("""COMPUTED_VALUE"""),"Valiente Gómez, Alicia")</f>
        <v>Valiente Gómez, Alicia</v>
      </c>
      <c r="B747" s="16" t="str">
        <f ca="1">IFERROR(__xludf.UNSUPPORTED("""COMPUTED_VALUE"""),"Valiente Gómez")</f>
        <v>Valiente Gómez</v>
      </c>
      <c r="C747" s="16" t="str">
        <f ca="1">IFERROR(__xludf.UNSUPPORTED("""COMPUTED_VALUE"""),"Alicia")</f>
        <v>Alicia</v>
      </c>
      <c r="D747" s="16" t="str">
        <f ca="1">IFERROR(__xludf.UNSUPPORTED("""COMPUTED_VALUE"""),"53071375W")</f>
        <v>53071375W</v>
      </c>
    </row>
    <row r="748" spans="1:4" ht="14.25">
      <c r="A748" s="16" t="str">
        <f ca="1">IFERROR(__xludf.UNSUPPORTED("""COMPUTED_VALUE"""),"Valiente Parra, Nicolás")</f>
        <v>Valiente Parra, Nicolás</v>
      </c>
      <c r="B748" s="16" t="str">
        <f ca="1">IFERROR(__xludf.UNSUPPORTED("""COMPUTED_VALUE"""),"Valiente Parra")</f>
        <v>Valiente Parra</v>
      </c>
      <c r="C748" s="16" t="str">
        <f ca="1">IFERROR(__xludf.UNSUPPORTED("""COMPUTED_VALUE"""),"Nicolás")</f>
        <v>Nicolás</v>
      </c>
      <c r="D748" s="16" t="str">
        <f ca="1">IFERROR(__xludf.UNSUPPORTED("""COMPUTED_VALUE"""),"47095124W")</f>
        <v>47095124W</v>
      </c>
    </row>
    <row r="749" spans="1:4" ht="14.25">
      <c r="A749" s="16" t="str">
        <f ca="1">IFERROR(__xludf.UNSUPPORTED("""COMPUTED_VALUE"""),"Vallalta Rueda, Juan Francisco")</f>
        <v>Vallalta Rueda, Juan Francisco</v>
      </c>
      <c r="B749" s="16" t="str">
        <f ca="1">IFERROR(__xludf.UNSUPPORTED("""COMPUTED_VALUE"""),"Vallalta Rueda")</f>
        <v>Vallalta Rueda</v>
      </c>
      <c r="C749" s="16" t="str">
        <f ca="1">IFERROR(__xludf.UNSUPPORTED("""COMPUTED_VALUE"""),"Juan Francisco")</f>
        <v>Juan Francisco</v>
      </c>
      <c r="D749" s="16" t="str">
        <f ca="1">IFERROR(__xludf.UNSUPPORTED("""COMPUTED_VALUE"""),"25126556E")</f>
        <v>25126556E</v>
      </c>
    </row>
    <row r="750" spans="1:4" ht="14.25">
      <c r="A750" s="16" t="str">
        <f ca="1">IFERROR(__xludf.UNSUPPORTED("""COMPUTED_VALUE"""),"Valles González, Beatriz Rosa")</f>
        <v>Valles González, Beatriz Rosa</v>
      </c>
      <c r="B750" s="16" t="str">
        <f ca="1">IFERROR(__xludf.UNSUPPORTED("""COMPUTED_VALUE"""),"Valles González")</f>
        <v>Valles González</v>
      </c>
      <c r="C750" s="16" t="str">
        <f ca="1">IFERROR(__xludf.UNSUPPORTED("""COMPUTED_VALUE"""),"Beatriz Rosa")</f>
        <v>Beatriz Rosa</v>
      </c>
      <c r="D750" s="16" t="str">
        <f ca="1">IFERROR(__xludf.UNSUPPORTED("""COMPUTED_VALUE"""),"26897731J")</f>
        <v>26897731J</v>
      </c>
    </row>
    <row r="751" spans="1:4" ht="14.25">
      <c r="A751" s="16" t="str">
        <f ca="1">IFERROR(__xludf.UNSUPPORTED("""COMPUTED_VALUE"""),"Valls Royo, Víctor ")</f>
        <v xml:space="preserve">Valls Royo, Víctor </v>
      </c>
      <c r="B751" s="16" t="str">
        <f ca="1">IFERROR(__xludf.UNSUPPORTED("""COMPUTED_VALUE"""),"Valls Royo")</f>
        <v>Valls Royo</v>
      </c>
      <c r="C751" s="16" t="str">
        <f ca="1">IFERROR(__xludf.UNSUPPORTED("""COMPUTED_VALUE"""),"Víctor ")</f>
        <v xml:space="preserve">Víctor </v>
      </c>
      <c r="D751" s="16" t="str">
        <f ca="1">IFERROR(__xludf.UNSUPPORTED("""COMPUTED_VALUE"""),"48526484A")</f>
        <v>48526484A</v>
      </c>
    </row>
    <row r="752" spans="1:4" ht="14.25">
      <c r="A752" s="16" t="str">
        <f ca="1">IFERROR(__xludf.UNSUPPORTED("""COMPUTED_VALUE"""),"Varela Castiñeiras, Isabel María")</f>
        <v>Varela Castiñeiras, Isabel María</v>
      </c>
      <c r="B752" s="16" t="str">
        <f ca="1">IFERROR(__xludf.UNSUPPORTED("""COMPUTED_VALUE"""),"Varela Castiñeiras")</f>
        <v>Varela Castiñeiras</v>
      </c>
      <c r="C752" s="16" t="str">
        <f ca="1">IFERROR(__xludf.UNSUPPORTED("""COMPUTED_VALUE"""),"Isabel María")</f>
        <v>Isabel María</v>
      </c>
      <c r="D752" s="16" t="str">
        <f ca="1">IFERROR(__xludf.UNSUPPORTED("""COMPUTED_VALUE"""),"76365669B")</f>
        <v>76365669B</v>
      </c>
    </row>
    <row r="753" spans="1:4" ht="14.25">
      <c r="A753" s="16" t="str">
        <f ca="1">IFERROR(__xludf.UNSUPPORTED("""COMPUTED_VALUE"""),"Vargas Salinas, Viviana Sylvia Elena")</f>
        <v>Vargas Salinas, Viviana Sylvia Elena</v>
      </c>
      <c r="B753" s="16" t="str">
        <f ca="1">IFERROR(__xludf.UNSUPPORTED("""COMPUTED_VALUE"""),"Vargas Salinas")</f>
        <v>Vargas Salinas</v>
      </c>
      <c r="C753" s="16" t="str">
        <f ca="1">IFERROR(__xludf.UNSUPPORTED("""COMPUTED_VALUE"""),"Viviana Sylvia Elena")</f>
        <v>Viviana Sylvia Elena</v>
      </c>
      <c r="D753" s="16" t="str">
        <f ca="1">IFERROR(__xludf.UNSUPPORTED("""COMPUTED_VALUE"""),"PO5487177")</f>
        <v>PO5487177</v>
      </c>
    </row>
    <row r="754" spans="1:4" ht="14.25">
      <c r="A754" s="16" t="str">
        <f ca="1">IFERROR(__xludf.UNSUPPORTED("""COMPUTED_VALUE"""),"Vásquez Amezquita, Milena")</f>
        <v>Vásquez Amezquita, Milena</v>
      </c>
      <c r="B754" s="16" t="str">
        <f ca="1">IFERROR(__xludf.UNSUPPORTED("""COMPUTED_VALUE"""),"Vásquez Amezquita")</f>
        <v>Vásquez Amezquita</v>
      </c>
      <c r="C754" s="16" t="str">
        <f ca="1">IFERROR(__xludf.UNSUPPORTED("""COMPUTED_VALUE"""),"Milena")</f>
        <v>Milena</v>
      </c>
      <c r="D754" s="16">
        <f ca="1">IFERROR(__xludf.UNSUPPORTED("""COMPUTED_VALUE"""),53124124)</f>
        <v>53124124</v>
      </c>
    </row>
    <row r="755" spans="1:4" ht="14.25">
      <c r="A755" s="16" t="str">
        <f ca="1">IFERROR(__xludf.UNSUPPORTED("""COMPUTED_VALUE"""),"Vázquez, Natalia")</f>
        <v>Vázquez, Natalia</v>
      </c>
      <c r="B755" s="16" t="str">
        <f ca="1">IFERROR(__xludf.UNSUPPORTED("""COMPUTED_VALUE"""),"Vázquez")</f>
        <v>Vázquez</v>
      </c>
      <c r="C755" s="16" t="str">
        <f ca="1">IFERROR(__xludf.UNSUPPORTED("""COMPUTED_VALUE"""),"Natalia")</f>
        <v>Natalia</v>
      </c>
      <c r="D755" s="16" t="str">
        <f ca="1">IFERROR(__xludf.UNSUPPORTED("""COMPUTED_VALUE"""),"AAB264574")</f>
        <v>AAB264574</v>
      </c>
    </row>
    <row r="756" spans="1:4" ht="14.25">
      <c r="A756" s="16" t="str">
        <f ca="1">IFERROR(__xludf.UNSUPPORTED("""COMPUTED_VALUE"""),"Vázquez, Victoria")</f>
        <v>Vázquez, Victoria</v>
      </c>
      <c r="B756" s="16" t="str">
        <f ca="1">IFERROR(__xludf.UNSUPPORTED("""COMPUTED_VALUE"""),"Vázquez")</f>
        <v>Vázquez</v>
      </c>
      <c r="C756" s="16" t="str">
        <f ca="1">IFERROR(__xludf.UNSUPPORTED("""COMPUTED_VALUE"""),"Victoria")</f>
        <v>Victoria</v>
      </c>
      <c r="D756" s="16">
        <f ca="1">IFERROR(__xludf.UNSUPPORTED("""COMPUTED_VALUE"""),38820396)</f>
        <v>38820396</v>
      </c>
    </row>
    <row r="757" spans="1:4" ht="14.25">
      <c r="A757" s="16" t="str">
        <f ca="1">IFERROR(__xludf.UNSUPPORTED("""COMPUTED_VALUE"""),"Vázquez Aguilar, Laura Alejandra")</f>
        <v>Vázquez Aguilar, Laura Alejandra</v>
      </c>
      <c r="B757" s="16" t="str">
        <f ca="1">IFERROR(__xludf.UNSUPPORTED("""COMPUTED_VALUE"""),"Vázquez Aguilar")</f>
        <v>Vázquez Aguilar</v>
      </c>
      <c r="C757" s="16" t="str">
        <f ca="1">IFERROR(__xludf.UNSUPPORTED("""COMPUTED_VALUE"""),"Laura Alejandra")</f>
        <v>Laura Alejandra</v>
      </c>
      <c r="D757" s="16" t="str">
        <f ca="1">IFERROR(__xludf.UNSUPPORTED("""COMPUTED_VALUE"""),"VAAL820926576")</f>
        <v>VAAL820926576</v>
      </c>
    </row>
    <row r="758" spans="1:4" ht="14.25">
      <c r="A758" s="16" t="str">
        <f ca="1">IFERROR(__xludf.UNSUPPORTED("""COMPUTED_VALUE"""),"Vázquez Martínez, Andrea")</f>
        <v>Vázquez Martínez, Andrea</v>
      </c>
      <c r="B758" s="16" t="str">
        <f ca="1">IFERROR(__xludf.UNSUPPORTED("""COMPUTED_VALUE"""),"Vázquez Martínez")</f>
        <v>Vázquez Martínez</v>
      </c>
      <c r="C758" s="16" t="str">
        <f ca="1">IFERROR(__xludf.UNSUPPORTED("""COMPUTED_VALUE"""),"Andrea")</f>
        <v>Andrea</v>
      </c>
      <c r="D758" s="16" t="str">
        <f ca="1">IFERROR(__xludf.UNSUPPORTED("""COMPUTED_VALUE"""),"44491870A")</f>
        <v>44491870A</v>
      </c>
    </row>
    <row r="759" spans="1:4" ht="14.25">
      <c r="A759" s="16" t="str">
        <f ca="1">IFERROR(__xludf.UNSUPPORTED("""COMPUTED_VALUE"""),"Vázquez Miraz, Pedro")</f>
        <v>Vázquez Miraz, Pedro</v>
      </c>
      <c r="B759" s="16" t="str">
        <f ca="1">IFERROR(__xludf.UNSUPPORTED("""COMPUTED_VALUE"""),"Vázquez Miraz")</f>
        <v>Vázquez Miraz</v>
      </c>
      <c r="C759" s="16" t="str">
        <f ca="1">IFERROR(__xludf.UNSUPPORTED("""COMPUTED_VALUE"""),"Pedro")</f>
        <v>Pedro</v>
      </c>
      <c r="D759" s="16" t="str">
        <f ca="1">IFERROR(__xludf.UNSUPPORTED("""COMPUTED_VALUE"""),"47360456Y")</f>
        <v>47360456Y</v>
      </c>
    </row>
    <row r="760" spans="1:4" ht="14.25">
      <c r="A760" s="16" t="str">
        <f ca="1">IFERROR(__xludf.UNSUPPORTED("""COMPUTED_VALUE"""),"Vázquez Orellana, Nuria")</f>
        <v>Vázquez Orellana, Nuria</v>
      </c>
      <c r="B760" s="16" t="str">
        <f ca="1">IFERROR(__xludf.UNSUPPORTED("""COMPUTED_VALUE"""),"Vázquez Orellana")</f>
        <v>Vázquez Orellana</v>
      </c>
      <c r="C760" s="16" t="str">
        <f ca="1">IFERROR(__xludf.UNSUPPORTED("""COMPUTED_VALUE"""),"Nuria")</f>
        <v>Nuria</v>
      </c>
      <c r="D760" s="16" t="str">
        <f ca="1">IFERROR(__xludf.UNSUPPORTED("""COMPUTED_VALUE"""),"39694961C")</f>
        <v>39694961C</v>
      </c>
    </row>
    <row r="761" spans="1:4" ht="14.25">
      <c r="A761" s="16" t="str">
        <f ca="1">IFERROR(__xludf.UNSUPPORTED("""COMPUTED_VALUE"""),"Vázquez Prieto, Severo")</f>
        <v>Vázquez Prieto, Severo</v>
      </c>
      <c r="B761" s="16" t="str">
        <f ca="1">IFERROR(__xludf.UNSUPPORTED("""COMPUTED_VALUE"""),"Vázquez Prieto")</f>
        <v>Vázquez Prieto</v>
      </c>
      <c r="C761" s="16" t="str">
        <f ca="1">IFERROR(__xludf.UNSUPPORTED("""COMPUTED_VALUE"""),"Severo")</f>
        <v>Severo</v>
      </c>
      <c r="D761" s="16" t="str">
        <f ca="1">IFERROR(__xludf.UNSUPPORTED("""COMPUTED_VALUE"""),"36162051W")</f>
        <v>36162051W</v>
      </c>
    </row>
    <row r="762" spans="1:4" ht="14.25">
      <c r="A762" s="16" t="str">
        <f ca="1">IFERROR(__xludf.UNSUPPORTED("""COMPUTED_VALUE"""),"Vázquez Robles, José Julián")</f>
        <v>Vázquez Robles, José Julián</v>
      </c>
      <c r="B762" s="16" t="str">
        <f ca="1">IFERROR(__xludf.UNSUPPORTED("""COMPUTED_VALUE"""),"Vázquez Robles")</f>
        <v>Vázquez Robles</v>
      </c>
      <c r="C762" s="16" t="str">
        <f ca="1">IFERROR(__xludf.UNSUPPORTED("""COMPUTED_VALUE"""),"José Julián")</f>
        <v>José Julián</v>
      </c>
      <c r="D762" s="16" t="str">
        <f ca="1">IFERROR(__xludf.UNSUPPORTED("""COMPUTED_VALUE"""),"06728684B")</f>
        <v>06728684B</v>
      </c>
    </row>
    <row r="763" spans="1:4" ht="14.25">
      <c r="A763" s="16" t="str">
        <f ca="1">IFERROR(__xludf.UNSUPPORTED("""COMPUTED_VALUE"""),"Vega Flores, Germán")</f>
        <v>Vega Flores, Germán</v>
      </c>
      <c r="B763" s="16" t="str">
        <f ca="1">IFERROR(__xludf.UNSUPPORTED("""COMPUTED_VALUE"""),"Vega Flores")</f>
        <v>Vega Flores</v>
      </c>
      <c r="C763" s="16" t="str">
        <f ca="1">IFERROR(__xludf.UNSUPPORTED("""COMPUTED_VALUE"""),"Germán")</f>
        <v>Germán</v>
      </c>
      <c r="D763" s="16" t="str">
        <f ca="1">IFERROR(__xludf.UNSUPPORTED("""COMPUTED_VALUE"""),"X9830495L")</f>
        <v>X9830495L</v>
      </c>
    </row>
    <row r="764" spans="1:4" ht="14.25">
      <c r="A764" s="16" t="str">
        <f ca="1">IFERROR(__xludf.UNSUPPORTED("""COMPUTED_VALUE"""),"Vega Moreno, Daniel")</f>
        <v>Vega Moreno, Daniel</v>
      </c>
      <c r="B764" s="16" t="str">
        <f ca="1">IFERROR(__xludf.UNSUPPORTED("""COMPUTED_VALUE"""),"Vega Moreno")</f>
        <v>Vega Moreno</v>
      </c>
      <c r="C764" s="16" t="str">
        <f ca="1">IFERROR(__xludf.UNSUPPORTED("""COMPUTED_VALUE"""),"Daniel")</f>
        <v>Daniel</v>
      </c>
      <c r="D764" s="16" t="str">
        <f ca="1">IFERROR(__xludf.UNSUPPORTED("""COMPUTED_VALUE"""),"43427898B")</f>
        <v>43427898B</v>
      </c>
    </row>
    <row r="765" spans="1:4" ht="14.25">
      <c r="A765" s="16" t="str">
        <f ca="1">IFERROR(__xludf.UNSUPPORTED("""COMPUTED_VALUE"""),"Vega Sanz, Maria")</f>
        <v>Vega Sanz, Maria</v>
      </c>
      <c r="B765" s="16" t="str">
        <f ca="1">IFERROR(__xludf.UNSUPPORTED("""COMPUTED_VALUE"""),"Vega Sanz")</f>
        <v>Vega Sanz</v>
      </c>
      <c r="C765" s="16" t="str">
        <f ca="1">IFERROR(__xludf.UNSUPPORTED("""COMPUTED_VALUE"""),"Maria")</f>
        <v>Maria</v>
      </c>
      <c r="D765" s="16" t="str">
        <f ca="1">IFERROR(__xludf.UNSUPPORTED("""COMPUTED_VALUE"""),"51190675N")</f>
        <v>51190675N</v>
      </c>
    </row>
    <row r="766" spans="1:4" ht="14.25">
      <c r="A766" s="16" t="str">
        <f ca="1">IFERROR(__xludf.UNSUPPORTED("""COMPUTED_VALUE"""),"Vegas Pardavila, Estefanía")</f>
        <v>Vegas Pardavila, Estefanía</v>
      </c>
      <c r="B766" s="16" t="str">
        <f ca="1">IFERROR(__xludf.UNSUPPORTED("""COMPUTED_VALUE"""),"Vegas Pardavila")</f>
        <v>Vegas Pardavila</v>
      </c>
      <c r="C766" s="16" t="str">
        <f ca="1">IFERROR(__xludf.UNSUPPORTED("""COMPUTED_VALUE"""),"Estefanía")</f>
        <v>Estefanía</v>
      </c>
      <c r="D766" s="16" t="str">
        <f ca="1">IFERROR(__xludf.UNSUPPORTED("""COMPUTED_VALUE"""),"53544081N")</f>
        <v>53544081N</v>
      </c>
    </row>
    <row r="767" spans="1:4" ht="14.25">
      <c r="A767" s="16" t="str">
        <f ca="1">IFERROR(__xludf.UNSUPPORTED("""COMPUTED_VALUE"""),"Veiga Rodeiro, Sergio")</f>
        <v>Veiga Rodeiro, Sergio</v>
      </c>
      <c r="B767" s="16" t="str">
        <f ca="1">IFERROR(__xludf.UNSUPPORTED("""COMPUTED_VALUE"""),"Veiga Rodeiro")</f>
        <v>Veiga Rodeiro</v>
      </c>
      <c r="C767" s="16" t="str">
        <f ca="1">IFERROR(__xludf.UNSUPPORTED("""COMPUTED_VALUE"""),"Sergio")</f>
        <v>Sergio</v>
      </c>
      <c r="D767" s="16" t="str">
        <f ca="1">IFERROR(__xludf.UNSUPPORTED("""COMPUTED_VALUE"""),"44806176Z")</f>
        <v>44806176Z</v>
      </c>
    </row>
    <row r="768" spans="1:4" ht="14.25">
      <c r="A768" s="16" t="str">
        <f ca="1">IFERROR(__xludf.UNSUPPORTED("""COMPUTED_VALUE"""),"Velasco Mayol, Lydia")</f>
        <v>Velasco Mayol, Lydia</v>
      </c>
      <c r="B768" s="16" t="str">
        <f ca="1">IFERROR(__xludf.UNSUPPORTED("""COMPUTED_VALUE"""),"Velasco Mayol")</f>
        <v>Velasco Mayol</v>
      </c>
      <c r="C768" s="16" t="str">
        <f ca="1">IFERROR(__xludf.UNSUPPORTED("""COMPUTED_VALUE"""),"Lydia")</f>
        <v>Lydia</v>
      </c>
      <c r="D768" s="16" t="str">
        <f ca="1">IFERROR(__xludf.UNSUPPORTED("""COMPUTED_VALUE"""),"74442953A")</f>
        <v>74442953A</v>
      </c>
    </row>
    <row r="769" spans="1:4" ht="14.25">
      <c r="A769" s="16" t="str">
        <f ca="1">IFERROR(__xludf.UNSUPPORTED("""COMPUTED_VALUE"""),"Velásquez Vega, José Alfredo")</f>
        <v>Velásquez Vega, José Alfredo</v>
      </c>
      <c r="B769" s="16" t="str">
        <f ca="1">IFERROR(__xludf.UNSUPPORTED("""COMPUTED_VALUE"""),"Velásquez Vega")</f>
        <v>Velásquez Vega</v>
      </c>
      <c r="C769" s="16" t="str">
        <f ca="1">IFERROR(__xludf.UNSUPPORTED("""COMPUTED_VALUE"""),"José Alfredo")</f>
        <v>José Alfredo</v>
      </c>
      <c r="D769" s="16">
        <f ca="1">IFERROR(__xludf.UNSUPPORTED("""COMPUTED_VALUE"""),1082898982)</f>
        <v>1082898982</v>
      </c>
    </row>
    <row r="770" spans="1:4" ht="14.25">
      <c r="A770" s="16" t="str">
        <f ca="1">IFERROR(__xludf.UNSUPPORTED("""COMPUTED_VALUE"""),"Vellisca González, María Yolanda")</f>
        <v>Vellisca González, María Yolanda</v>
      </c>
      <c r="B770" s="16" t="str">
        <f ca="1">IFERROR(__xludf.UNSUPPORTED("""COMPUTED_VALUE"""),"Vellisca González")</f>
        <v>Vellisca González</v>
      </c>
      <c r="C770" s="16" t="str">
        <f ca="1">IFERROR(__xludf.UNSUPPORTED("""COMPUTED_VALUE"""),"María Yolanda")</f>
        <v>María Yolanda</v>
      </c>
      <c r="D770" s="16"/>
    </row>
    <row r="771" spans="1:4" ht="14.25">
      <c r="A771" s="16" t="str">
        <f ca="1">IFERROR(__xludf.UNSUPPORTED("""COMPUTED_VALUE"""),"Vera García, Rosa María")</f>
        <v>Vera García, Rosa María</v>
      </c>
      <c r="B771" s="16" t="str">
        <f ca="1">IFERROR(__xludf.UNSUPPORTED("""COMPUTED_VALUE"""),"Vera García")</f>
        <v>Vera García</v>
      </c>
      <c r="C771" s="16" t="str">
        <f ca="1">IFERROR(__xludf.UNSUPPORTED("""COMPUTED_VALUE"""),"Rosa María")</f>
        <v>Rosa María</v>
      </c>
      <c r="D771" s="16" t="str">
        <f ca="1">IFERROR(__xludf.UNSUPPORTED("""COMPUTED_VALUE"""),"52111583T")</f>
        <v>52111583T</v>
      </c>
    </row>
    <row r="772" spans="1:4" ht="14.25">
      <c r="A772" s="16" t="str">
        <f ca="1">IFERROR(__xludf.UNSUPPORTED("""COMPUTED_VALUE"""),"Viayna Gaza, Antonio")</f>
        <v>Viayna Gaza, Antonio</v>
      </c>
      <c r="B772" s="16" t="str">
        <f ca="1">IFERROR(__xludf.UNSUPPORTED("""COMPUTED_VALUE"""),"Viayna Gaza")</f>
        <v>Viayna Gaza</v>
      </c>
      <c r="C772" s="16" t="str">
        <f ca="1">IFERROR(__xludf.UNSUPPORTED("""COMPUTED_VALUE"""),"Antonio")</f>
        <v>Antonio</v>
      </c>
      <c r="D772" s="16" t="str">
        <f ca="1">IFERROR(__xludf.UNSUPPORTED("""COMPUTED_VALUE"""),"14268121W")</f>
        <v>14268121W</v>
      </c>
    </row>
    <row r="773" spans="1:4" ht="14.25">
      <c r="A773" s="16" t="str">
        <f ca="1">IFERROR(__xludf.UNSUPPORTED("""COMPUTED_VALUE"""),"Vidal Gil, Lorena")</f>
        <v>Vidal Gil, Lorena</v>
      </c>
      <c r="B773" s="16" t="str">
        <f ca="1">IFERROR(__xludf.UNSUPPORTED("""COMPUTED_VALUE"""),"Vidal Gil")</f>
        <v>Vidal Gil</v>
      </c>
      <c r="C773" s="16" t="str">
        <f ca="1">IFERROR(__xludf.UNSUPPORTED("""COMPUTED_VALUE"""),"Lorena")</f>
        <v>Lorena</v>
      </c>
      <c r="D773" s="16" t="str">
        <f ca="1">IFERROR(__xludf.UNSUPPORTED("""COMPUTED_VALUE"""),"45842003J")</f>
        <v>45842003J</v>
      </c>
    </row>
    <row r="774" spans="1:4" ht="14.25">
      <c r="A774" s="16" t="str">
        <f ca="1">IFERROR(__xludf.UNSUPPORTED("""COMPUTED_VALUE"""),"Vila Candel, Rafael")</f>
        <v>Vila Candel, Rafael</v>
      </c>
      <c r="B774" s="16" t="str">
        <f ca="1">IFERROR(__xludf.UNSUPPORTED("""COMPUTED_VALUE"""),"Vila Candel")</f>
        <v>Vila Candel</v>
      </c>
      <c r="C774" s="16" t="str">
        <f ca="1">IFERROR(__xludf.UNSUPPORTED("""COMPUTED_VALUE"""),"Rafael")</f>
        <v>Rafael</v>
      </c>
      <c r="D774" s="16" t="str">
        <f ca="1">IFERROR(__xludf.UNSUPPORTED("""COMPUTED_VALUE"""),"20816961Y")</f>
        <v>20816961Y</v>
      </c>
    </row>
    <row r="775" spans="1:4" ht="14.25">
      <c r="A775" s="16" t="str">
        <f ca="1">IFERROR(__xludf.UNSUPPORTED("""COMPUTED_VALUE"""),"Vila López , Vanessa")</f>
        <v>Vila López , Vanessa</v>
      </c>
      <c r="B775" s="16" t="str">
        <f ca="1">IFERROR(__xludf.UNSUPPORTED("""COMPUTED_VALUE"""),"Vila López ")</f>
        <v xml:space="preserve">Vila López </v>
      </c>
      <c r="C775" s="16" t="str">
        <f ca="1">IFERROR(__xludf.UNSUPPORTED("""COMPUTED_VALUE"""),"Vanessa")</f>
        <v>Vanessa</v>
      </c>
      <c r="D775" s="16" t="str">
        <f ca="1">IFERROR(__xludf.UNSUPPORTED("""COMPUTED_VALUE"""),"29181561N")</f>
        <v>29181561N</v>
      </c>
    </row>
    <row r="776" spans="1:4" ht="14.25">
      <c r="A776" s="16" t="str">
        <f ca="1">IFERROR(__xludf.UNSUPPORTED("""COMPUTED_VALUE"""),"Vila Vicent, Susana")</f>
        <v>Vila Vicent, Susana</v>
      </c>
      <c r="B776" s="16" t="str">
        <f ca="1">IFERROR(__xludf.UNSUPPORTED("""COMPUTED_VALUE"""),"Vila Vicent")</f>
        <v>Vila Vicent</v>
      </c>
      <c r="C776" s="16" t="str">
        <f ca="1">IFERROR(__xludf.UNSUPPORTED("""COMPUTED_VALUE"""),"Susana")</f>
        <v>Susana</v>
      </c>
      <c r="D776" s="16" t="str">
        <f ca="1">IFERROR(__xludf.UNSUPPORTED("""COMPUTED_VALUE"""),"48603992R")</f>
        <v>48603992R</v>
      </c>
    </row>
    <row r="777" spans="1:4" ht="14.25">
      <c r="A777" s="16" t="str">
        <f ca="1">IFERROR(__xludf.UNSUPPORTED("""COMPUTED_VALUE"""),"Villada Rodríguez, Carolina")</f>
        <v>Villada Rodríguez, Carolina</v>
      </c>
      <c r="B777" s="16" t="str">
        <f ca="1">IFERROR(__xludf.UNSUPPORTED("""COMPUTED_VALUE"""),"Villada Rodríguez")</f>
        <v>Villada Rodríguez</v>
      </c>
      <c r="C777" s="16" t="str">
        <f ca="1">IFERROR(__xludf.UNSUPPORTED("""COMPUTED_VALUE"""),"Carolina")</f>
        <v>Carolina</v>
      </c>
      <c r="D777" s="16" t="str">
        <f ca="1">IFERROR(__xludf.UNSUPPORTED("""COMPUTED_VALUE"""),"23035573S")</f>
        <v>23035573S</v>
      </c>
    </row>
    <row r="778" spans="1:4" ht="14.25">
      <c r="A778" s="16" t="str">
        <f ca="1">IFERROR(__xludf.UNSUPPORTED("""COMPUTED_VALUE"""),"Villalba Felipe, Adrián")</f>
        <v>Villalba Felipe, Adrián</v>
      </c>
      <c r="B778" s="16" t="str">
        <f ca="1">IFERROR(__xludf.UNSUPPORTED("""COMPUTED_VALUE"""),"Villalba Felipe")</f>
        <v>Villalba Felipe</v>
      </c>
      <c r="C778" s="16" t="str">
        <f ca="1">IFERROR(__xludf.UNSUPPORTED("""COMPUTED_VALUE"""),"Adrián")</f>
        <v>Adrián</v>
      </c>
      <c r="D778" s="16" t="str">
        <f ca="1">IFERROR(__xludf.UNSUPPORTED("""COMPUTED_VALUE"""),"38883360C")</f>
        <v>38883360C</v>
      </c>
    </row>
    <row r="779" spans="1:4" ht="14.25">
      <c r="A779" s="16" t="str">
        <f ca="1">IFERROR(__xludf.UNSUPPORTED("""COMPUTED_VALUE"""),"Villalobos Tornero, María Dolores")</f>
        <v>Villalobos Tornero, María Dolores</v>
      </c>
      <c r="B779" s="16" t="str">
        <f ca="1">IFERROR(__xludf.UNSUPPORTED("""COMPUTED_VALUE"""),"Villalobos Tornero")</f>
        <v>Villalobos Tornero</v>
      </c>
      <c r="C779" s="16" t="str">
        <f ca="1">IFERROR(__xludf.UNSUPPORTED("""COMPUTED_VALUE"""),"María Dolores")</f>
        <v>María Dolores</v>
      </c>
      <c r="D779" s="16" t="str">
        <f ca="1">IFERROR(__xludf.UNSUPPORTED("""COMPUTED_VALUE"""),"76422963N")</f>
        <v>76422963N</v>
      </c>
    </row>
    <row r="780" spans="1:4" ht="14.25">
      <c r="A780" s="16" t="str">
        <f ca="1">IFERROR(__xludf.UNSUPPORTED("""COMPUTED_VALUE"""),"Villalón Coca, Javier")</f>
        <v>Villalón Coca, Javier</v>
      </c>
      <c r="B780" s="16" t="str">
        <f ca="1">IFERROR(__xludf.UNSUPPORTED("""COMPUTED_VALUE"""),"Villalón Coca")</f>
        <v>Villalón Coca</v>
      </c>
      <c r="C780" s="16" t="str">
        <f ca="1">IFERROR(__xludf.UNSUPPORTED("""COMPUTED_VALUE"""),"Javier")</f>
        <v>Javier</v>
      </c>
      <c r="D780" s="16" t="str">
        <f ca="1">IFERROR(__xludf.UNSUPPORTED("""COMPUTED_VALUE"""),"44859681K")</f>
        <v>44859681K</v>
      </c>
    </row>
    <row r="781" spans="1:4" ht="14.25">
      <c r="A781" s="16" t="str">
        <f ca="1">IFERROR(__xludf.UNSUPPORTED("""COMPUTED_VALUE"""),"Villanueva Blasco, Víctor José")</f>
        <v>Villanueva Blasco, Víctor José</v>
      </c>
      <c r="B781" s="16" t="str">
        <f ca="1">IFERROR(__xludf.UNSUPPORTED("""COMPUTED_VALUE"""),"Villanueva Blasco")</f>
        <v>Villanueva Blasco</v>
      </c>
      <c r="C781" s="16" t="str">
        <f ca="1">IFERROR(__xludf.UNSUPPORTED("""COMPUTED_VALUE"""),"Víctor José")</f>
        <v>Víctor José</v>
      </c>
      <c r="D781" s="16" t="str">
        <f ca="1">IFERROR(__xludf.UNSUPPORTED("""COMPUTED_VALUE"""),"73259341V")</f>
        <v>73259341V</v>
      </c>
    </row>
    <row r="782" spans="1:4" ht="14.25">
      <c r="A782" s="16" t="str">
        <f ca="1">IFERROR(__xludf.UNSUPPORTED("""COMPUTED_VALUE"""),"Villanueva Silvestre, Verónica")</f>
        <v>Villanueva Silvestre, Verónica</v>
      </c>
      <c r="B782" s="16" t="str">
        <f ca="1">IFERROR(__xludf.UNSUPPORTED("""COMPUTED_VALUE"""),"Villanueva Silvestre")</f>
        <v>Villanueva Silvestre</v>
      </c>
      <c r="C782" s="16" t="str">
        <f ca="1">IFERROR(__xludf.UNSUPPORTED("""COMPUTED_VALUE"""),"Verónica")</f>
        <v>Verónica</v>
      </c>
      <c r="D782" s="16" t="str">
        <f ca="1">IFERROR(__xludf.UNSUPPORTED("""COMPUTED_VALUE"""),"44515586Y")</f>
        <v>44515586Y</v>
      </c>
    </row>
    <row r="783" spans="1:4" ht="14.25">
      <c r="A783" s="16" t="str">
        <f ca="1">IFERROR(__xludf.UNSUPPORTED("""COMPUTED_VALUE"""),"Villarreal Díaz, Pablo")</f>
        <v>Villarreal Díaz, Pablo</v>
      </c>
      <c r="B783" s="16" t="str">
        <f ca="1">IFERROR(__xludf.UNSUPPORTED("""COMPUTED_VALUE"""),"Villarreal Díaz")</f>
        <v>Villarreal Díaz</v>
      </c>
      <c r="C783" s="16" t="str">
        <f ca="1">IFERROR(__xludf.UNSUPPORTED("""COMPUTED_VALUE"""),"Pablo")</f>
        <v>Pablo</v>
      </c>
      <c r="D783" s="16">
        <f ca="1">IFERROR(__xludf.UNSUPPORTED("""COMPUTED_VALUE"""),167517250)</f>
        <v>167517250</v>
      </c>
    </row>
    <row r="784" spans="1:4" ht="14.25">
      <c r="A784" s="16" t="str">
        <f ca="1">IFERROR(__xludf.UNSUPPORTED("""COMPUTED_VALUE"""),"Vilte Rosas, Luz Sofía")</f>
        <v>Vilte Rosas, Luz Sofía</v>
      </c>
      <c r="B784" s="16" t="str">
        <f ca="1">IFERROR(__xludf.UNSUPPORTED("""COMPUTED_VALUE"""),"Vilte Rosas")</f>
        <v>Vilte Rosas</v>
      </c>
      <c r="C784" s="16" t="str">
        <f ca="1">IFERROR(__xludf.UNSUPPORTED("""COMPUTED_VALUE"""),"Luz Sofía")</f>
        <v>Luz Sofía</v>
      </c>
      <c r="D784" s="16" t="str">
        <f ca="1">IFERROR(__xludf.UNSUPPORTED("""COMPUTED_VALUE"""),"02652988F")</f>
        <v>02652988F</v>
      </c>
    </row>
    <row r="785" spans="1:4" ht="14.25">
      <c r="A785" s="16" t="str">
        <f ca="1">IFERROR(__xludf.UNSUPPORTED("""COMPUTED_VALUE"""),"Ximenez de Embun Ferrer, Ingrid")</f>
        <v>Ximenez de Embun Ferrer, Ingrid</v>
      </c>
      <c r="B785" s="16" t="str">
        <f ca="1">IFERROR(__xludf.UNSUPPORTED("""COMPUTED_VALUE"""),"Ximenez de Embun Ferrer")</f>
        <v>Ximenez de Embun Ferrer</v>
      </c>
      <c r="C785" s="16" t="str">
        <f ca="1">IFERROR(__xludf.UNSUPPORTED("""COMPUTED_VALUE"""),"Ingrid")</f>
        <v>Ingrid</v>
      </c>
      <c r="D785" s="16" t="str">
        <f ca="1">IFERROR(__xludf.UNSUPPORTED("""COMPUTED_VALUE"""),"46819266Y")</f>
        <v>46819266Y</v>
      </c>
    </row>
    <row r="786" spans="1:4" ht="14.25">
      <c r="A786" s="16" t="str">
        <f ca="1">IFERROR(__xludf.UNSUPPORTED("""COMPUTED_VALUE"""),"Yagüe Menéndez, Paula")</f>
        <v>Yagüe Menéndez, Paula</v>
      </c>
      <c r="B786" s="16" t="str">
        <f ca="1">IFERROR(__xludf.UNSUPPORTED("""COMPUTED_VALUE"""),"Yagüe Menéndez")</f>
        <v>Yagüe Menéndez</v>
      </c>
      <c r="C786" s="16" t="str">
        <f ca="1">IFERROR(__xludf.UNSUPPORTED("""COMPUTED_VALUE"""),"Paula")</f>
        <v>Paula</v>
      </c>
      <c r="D786" s="16" t="str">
        <f ca="1">IFERROR(__xludf.UNSUPPORTED("""COMPUTED_VALUE"""),"71656192Z")</f>
        <v>71656192Z</v>
      </c>
    </row>
    <row r="787" spans="1:4" ht="14.25">
      <c r="A787" s="16" t="str">
        <f ca="1">IFERROR(__xludf.UNSUPPORTED("""COMPUTED_VALUE"""),"Yáñez Vilches, Aurora")</f>
        <v>Yáñez Vilches, Aurora</v>
      </c>
      <c r="B787" s="16" t="str">
        <f ca="1">IFERROR(__xludf.UNSUPPORTED("""COMPUTED_VALUE"""),"Yáñez Vilches")</f>
        <v>Yáñez Vilches</v>
      </c>
      <c r="C787" s="16" t="str">
        <f ca="1">IFERROR(__xludf.UNSUPPORTED("""COMPUTED_VALUE"""),"Aurora")</f>
        <v>Aurora</v>
      </c>
      <c r="D787" s="16" t="str">
        <f ca="1">IFERROR(__xludf.UNSUPPORTED("""COMPUTED_VALUE"""),"45887457L")</f>
        <v>45887457L</v>
      </c>
    </row>
    <row r="788" spans="1:4" ht="14.25">
      <c r="A788" s="16" t="str">
        <f ca="1">IFERROR(__xludf.UNSUPPORTED("""COMPUTED_VALUE"""),"Zalazar Jaime, Mauricio Federico")</f>
        <v>Zalazar Jaime, Mauricio Federico</v>
      </c>
      <c r="B788" s="16" t="str">
        <f ca="1">IFERROR(__xludf.UNSUPPORTED("""COMPUTED_VALUE"""),"Zalazar Jaime")</f>
        <v>Zalazar Jaime</v>
      </c>
      <c r="C788" s="16" t="str">
        <f ca="1">IFERROR(__xludf.UNSUPPORTED("""COMPUTED_VALUE"""),"Mauricio Federico")</f>
        <v>Mauricio Federico</v>
      </c>
      <c r="D788" s="16">
        <f ca="1">IFERROR(__xludf.UNSUPPORTED("""COMPUTED_VALUE"""),31479532)</f>
        <v>31479532</v>
      </c>
    </row>
    <row r="789" spans="1:4" ht="14.25">
      <c r="A789" s="16" t="str">
        <f ca="1">IFERROR(__xludf.UNSUPPORTED("""COMPUTED_VALUE"""),"Zanón Moreno, Vicente Calixto")</f>
        <v>Zanón Moreno, Vicente Calixto</v>
      </c>
      <c r="B789" s="16" t="str">
        <f ca="1">IFERROR(__xludf.UNSUPPORTED("""COMPUTED_VALUE"""),"Zanón Moreno")</f>
        <v>Zanón Moreno</v>
      </c>
      <c r="C789" s="16" t="str">
        <f ca="1">IFERROR(__xludf.UNSUPPORTED("""COMPUTED_VALUE"""),"Vicente Calixto")</f>
        <v>Vicente Calixto</v>
      </c>
      <c r="D789" s="16" t="str">
        <f ca="1">IFERROR(__xludf.UNSUPPORTED("""COMPUTED_VALUE"""),"24358259V")</f>
        <v>24358259V</v>
      </c>
    </row>
    <row r="790" spans="1:4" ht="14.25">
      <c r="A790" s="16" t="str">
        <f ca="1">IFERROR(__xludf.UNSUPPORTED("""COMPUTED_VALUE"""),"Zolog, Teodora Cosmina")</f>
        <v>Zolog, Teodora Cosmina</v>
      </c>
      <c r="B790" s="16" t="str">
        <f ca="1">IFERROR(__xludf.UNSUPPORTED("""COMPUTED_VALUE"""),"Zolog")</f>
        <v>Zolog</v>
      </c>
      <c r="C790" s="16" t="str">
        <f ca="1">IFERROR(__xludf.UNSUPPORTED("""COMPUTED_VALUE"""),"Teodora Cosmina")</f>
        <v>Teodora Cosmina</v>
      </c>
      <c r="D790" s="16" t="str">
        <f ca="1">IFERROR(__xludf.UNSUPPORTED("""COMPUTED_VALUE"""),"X6267024F")</f>
        <v>X6267024F</v>
      </c>
    </row>
    <row r="791" spans="1:4" ht="14.25">
      <c r="A791" s="16" t="str">
        <f ca="1">IFERROR(__xludf.UNSUPPORTED("""COMPUTED_VALUE"""),"Zorrilla Larrainzar, Idoia")</f>
        <v>Zorrilla Larrainzar, Idoia</v>
      </c>
      <c r="B791" s="16" t="str">
        <f ca="1">IFERROR(__xludf.UNSUPPORTED("""COMPUTED_VALUE"""),"Zorrilla Larrainzar")</f>
        <v>Zorrilla Larrainzar</v>
      </c>
      <c r="C791" s="16" t="str">
        <f ca="1">IFERROR(__xludf.UNSUPPORTED("""COMPUTED_VALUE"""),"Idoia")</f>
        <v>Idoia</v>
      </c>
      <c r="D791" s="16" t="str">
        <f ca="1">IFERROR(__xludf.UNSUPPORTED("""COMPUTED_VALUE"""),"33424439B")</f>
        <v>33424439B</v>
      </c>
    </row>
    <row r="792" spans="1:4" ht="14.25">
      <c r="A792" s="16" t="str">
        <f ca="1">IFERROR(__xludf.UNSUPPORTED("""COMPUTED_VALUE"""),"Zorzo Vallina, Candela")</f>
        <v>Zorzo Vallina, Candela</v>
      </c>
      <c r="B792" s="16" t="str">
        <f ca="1">IFERROR(__xludf.UNSUPPORTED("""COMPUTED_VALUE"""),"Zorzo Vallina")</f>
        <v>Zorzo Vallina</v>
      </c>
      <c r="C792" s="16" t="str">
        <f ca="1">IFERROR(__xludf.UNSUPPORTED("""COMPUTED_VALUE"""),"Candela")</f>
        <v>Candela</v>
      </c>
      <c r="D792" s="16" t="str">
        <f ca="1">IFERROR(__xludf.UNSUPPORTED("""COMPUTED_VALUE"""),"71727257D")</f>
        <v>71727257D</v>
      </c>
    </row>
    <row r="793" spans="1:4" ht="14.25">
      <c r="A793" s="16" t="str">
        <f ca="1">IFERROR(__xludf.UNSUPPORTED("""COMPUTED_VALUE"""),"Zumeta Sánchez, Larraitz Nerea")</f>
        <v>Zumeta Sánchez, Larraitz Nerea</v>
      </c>
      <c r="B793" s="16" t="str">
        <f ca="1">IFERROR(__xludf.UNSUPPORTED("""COMPUTED_VALUE"""),"Zumeta Sánchez")</f>
        <v>Zumeta Sánchez</v>
      </c>
      <c r="C793" s="16" t="str">
        <f ca="1">IFERROR(__xludf.UNSUPPORTED("""COMPUTED_VALUE"""),"Larraitz Nerea")</f>
        <v>Larraitz Nerea</v>
      </c>
      <c r="D793" s="16" t="str">
        <f ca="1">IFERROR(__xludf.UNSUPPORTED("""COMPUTED_VALUE"""),"72477029G")</f>
        <v>72477029G</v>
      </c>
    </row>
    <row r="794" spans="1:4" ht="14.25">
      <c r="A794" s="16" t="str">
        <f ca="1">IFERROR(__xludf.UNSUPPORTED("""COMPUTED_VALUE"""),"Zúñiga Trejos, Sheila")</f>
        <v>Zúñiga Trejos, Sheila</v>
      </c>
      <c r="B794" s="16" t="str">
        <f ca="1">IFERROR(__xludf.UNSUPPORTED("""COMPUTED_VALUE"""),"Zúñiga Trejos")</f>
        <v>Zúñiga Trejos</v>
      </c>
      <c r="C794" s="16" t="str">
        <f ca="1">IFERROR(__xludf.UNSUPPORTED("""COMPUTED_VALUE"""),"Sheila")</f>
        <v>Sheila</v>
      </c>
      <c r="D794" s="16" t="str">
        <f ca="1">IFERROR(__xludf.UNSUPPORTED("""COMPUTED_VALUE"""),"70874038K")</f>
        <v>70874038K</v>
      </c>
    </row>
    <row r="795" spans="1:4" ht="14.25">
      <c r="A795" s="16" t="str">
        <f ca="1">IFERROR(__xludf.UNSUPPORTED("""COMPUTED_VALUE"""),"Duarte Climents, Gonzalo")</f>
        <v>Duarte Climents, Gonzalo</v>
      </c>
      <c r="B795" s="16" t="str">
        <f ca="1">IFERROR(__xludf.UNSUPPORTED("""COMPUTED_VALUE"""),"Duarte Climents")</f>
        <v>Duarte Climents</v>
      </c>
      <c r="C795" s="16" t="str">
        <f ca="1">IFERROR(__xludf.UNSUPPORTED("""COMPUTED_VALUE"""),"Gonzalo")</f>
        <v>Gonzalo</v>
      </c>
      <c r="D795" s="16" t="str">
        <f ca="1">IFERROR(__xludf.UNSUPPORTED("""COMPUTED_VALUE"""),"31252935Y")</f>
        <v>31252935Y</v>
      </c>
    </row>
    <row r="796" spans="1:4" ht="14.25">
      <c r="A796" s="16" t="str">
        <f ca="1">IFERROR(__xludf.UNSUPPORTED("""COMPUTED_VALUE"""),"Cabré García, Marta")</f>
        <v>Cabré García, Marta</v>
      </c>
      <c r="B796" s="16" t="str">
        <f ca="1">IFERROR(__xludf.UNSUPPORTED("""COMPUTED_VALUE"""),"Cabré García")</f>
        <v>Cabré García</v>
      </c>
      <c r="C796" s="16" t="str">
        <f ca="1">IFERROR(__xludf.UNSUPPORTED("""COMPUTED_VALUE"""),"Marta")</f>
        <v>Marta</v>
      </c>
      <c r="D796" s="16" t="str">
        <f ca="1">IFERROR(__xludf.UNSUPPORTED("""COMPUTED_VALUE"""),"43546300D")</f>
        <v>43546300D</v>
      </c>
    </row>
    <row r="797" spans="1:4" ht="14.25">
      <c r="A797" s="16" t="str">
        <f ca="1">IFERROR(__xludf.UNSUPPORTED("""COMPUTED_VALUE"""),", ")</f>
        <v xml:space="preserve">, </v>
      </c>
      <c r="B797" s="16"/>
      <c r="C797" s="16"/>
      <c r="D797" s="16"/>
    </row>
    <row r="798" spans="1:4" ht="14.25">
      <c r="A798" s="16" t="str">
        <f ca="1">IFERROR(__xludf.UNSUPPORTED("""COMPUTED_VALUE"""),", ")</f>
        <v xml:space="preserve">, </v>
      </c>
      <c r="B798" s="16"/>
      <c r="C798" s="16"/>
      <c r="D798" s="16"/>
    </row>
    <row r="799" spans="1:4" ht="14.25">
      <c r="A799" s="16"/>
      <c r="B799" s="16"/>
      <c r="C799" s="16"/>
      <c r="D799" s="16"/>
    </row>
    <row r="800" spans="1:4" ht="14.25">
      <c r="A800" s="16"/>
      <c r="B800" s="16"/>
      <c r="C800" s="16"/>
      <c r="D800" s="16"/>
    </row>
    <row r="801" spans="1:4" ht="14.25">
      <c r="A801" s="16"/>
      <c r="B801" s="16"/>
      <c r="C801" s="16"/>
      <c r="D801" s="16"/>
    </row>
    <row r="802" spans="1:4" ht="14.25">
      <c r="A802" s="16"/>
      <c r="B802" s="16"/>
      <c r="C802" s="16"/>
      <c r="D802" s="16"/>
    </row>
    <row r="803" spans="1:4" ht="14.25">
      <c r="A803" s="16"/>
      <c r="B803" s="16"/>
      <c r="C803" s="16"/>
      <c r="D803" s="16"/>
    </row>
    <row r="804" spans="1:4" ht="14.25">
      <c r="A804" s="16"/>
      <c r="B804" s="16"/>
      <c r="C804" s="16"/>
      <c r="D804" s="16"/>
    </row>
    <row r="805" spans="1:4" ht="14.25">
      <c r="A805" s="16"/>
      <c r="B805" s="16"/>
      <c r="C805" s="16"/>
      <c r="D805" s="16"/>
    </row>
    <row r="806" spans="1:4" ht="14.25">
      <c r="A806" s="16"/>
      <c r="B806" s="16"/>
      <c r="C806" s="16"/>
      <c r="D806" s="16"/>
    </row>
    <row r="807" spans="1:4" ht="14.25">
      <c r="A807" s="16"/>
      <c r="B807" s="16"/>
      <c r="C807" s="16"/>
      <c r="D807" s="16"/>
    </row>
    <row r="808" spans="1:4" ht="14.25">
      <c r="A808" s="16"/>
      <c r="B808" s="16"/>
      <c r="C808" s="16"/>
      <c r="D808" s="16"/>
    </row>
    <row r="809" spans="1:4" ht="14.25">
      <c r="A809" s="16"/>
      <c r="B809" s="16"/>
      <c r="C809" s="16"/>
      <c r="D809" s="16"/>
    </row>
    <row r="810" spans="1:4" ht="14.25">
      <c r="A810" s="16"/>
      <c r="B810" s="16"/>
      <c r="C810" s="16"/>
      <c r="D810" s="16"/>
    </row>
    <row r="811" spans="1:4" ht="14.25">
      <c r="A811" s="16"/>
      <c r="B811" s="16"/>
      <c r="C811" s="16"/>
      <c r="D811" s="16"/>
    </row>
    <row r="812" spans="1:4" ht="14.25">
      <c r="A812" s="16"/>
      <c r="B812" s="16"/>
      <c r="C812" s="16"/>
      <c r="D812" s="16"/>
    </row>
    <row r="813" spans="1:4" ht="14.25">
      <c r="A813" s="16"/>
      <c r="B813" s="16"/>
      <c r="C813" s="16"/>
      <c r="D813" s="16"/>
    </row>
    <row r="814" spans="1:4" ht="14.25">
      <c r="A814" s="16"/>
      <c r="B814" s="16"/>
      <c r="C814" s="16"/>
      <c r="D814" s="16"/>
    </row>
    <row r="815" spans="1:4" ht="14.25">
      <c r="A815" s="16"/>
      <c r="B815" s="16"/>
      <c r="C815" s="16"/>
      <c r="D815" s="16"/>
    </row>
    <row r="816" spans="1:4" ht="14.25">
      <c r="A816" s="16"/>
      <c r="B816" s="16"/>
      <c r="C816" s="16"/>
      <c r="D816" s="16"/>
    </row>
    <row r="817" spans="1:4" ht="14.25">
      <c r="A817" s="16"/>
      <c r="B817" s="16"/>
      <c r="C817" s="16"/>
      <c r="D817" s="16"/>
    </row>
    <row r="818" spans="1:4" ht="14.25">
      <c r="A818" s="16"/>
      <c r="B818" s="16"/>
      <c r="C818" s="16"/>
      <c r="D818" s="16"/>
    </row>
    <row r="819" spans="1:4" ht="14.25">
      <c r="A819" s="16"/>
      <c r="B819" s="16"/>
      <c r="C819" s="16"/>
      <c r="D819" s="16"/>
    </row>
    <row r="820" spans="1:4" ht="14.25">
      <c r="A820" s="16"/>
      <c r="B820" s="16"/>
      <c r="C820" s="16"/>
      <c r="D820" s="16"/>
    </row>
    <row r="821" spans="1:4" ht="14.25">
      <c r="A821" s="16"/>
      <c r="B821" s="16"/>
      <c r="C821" s="16"/>
      <c r="D821" s="16"/>
    </row>
    <row r="822" spans="1:4" ht="14.25">
      <c r="A822" s="16"/>
      <c r="B822" s="16"/>
      <c r="C822" s="16"/>
      <c r="D822" s="16"/>
    </row>
    <row r="823" spans="1:4" ht="14.25">
      <c r="A823" s="16"/>
      <c r="B823" s="16"/>
      <c r="C823" s="16"/>
      <c r="D823" s="16"/>
    </row>
    <row r="824" spans="1:4" ht="14.25">
      <c r="A824" s="16"/>
      <c r="B824" s="16"/>
      <c r="C824" s="16"/>
      <c r="D824" s="16"/>
    </row>
    <row r="825" spans="1:4" ht="14.25">
      <c r="A825" s="16"/>
      <c r="B825" s="16"/>
      <c r="C825" s="16"/>
      <c r="D825" s="16"/>
    </row>
    <row r="826" spans="1:4" ht="14.25">
      <c r="A826" s="16"/>
      <c r="B826" s="16"/>
      <c r="C826" s="16"/>
      <c r="D826" s="16"/>
    </row>
    <row r="827" spans="1:4" ht="14.25">
      <c r="A827" s="16"/>
      <c r="B827" s="16"/>
      <c r="C827" s="16"/>
      <c r="D827" s="16"/>
    </row>
    <row r="828" spans="1:4" ht="14.25">
      <c r="A828" s="16"/>
      <c r="B828" s="16"/>
      <c r="C828" s="16"/>
      <c r="D828" s="16"/>
    </row>
    <row r="829" spans="1:4" ht="14.25">
      <c r="A829" s="16"/>
      <c r="B829" s="16"/>
      <c r="C829" s="16"/>
      <c r="D829" s="16"/>
    </row>
    <row r="830" spans="1:4" ht="14.25">
      <c r="A830" s="16"/>
      <c r="B830" s="16"/>
      <c r="C830" s="16"/>
      <c r="D830" s="16"/>
    </row>
    <row r="831" spans="1:4" ht="14.25">
      <c r="A831" s="16"/>
      <c r="B831" s="16"/>
      <c r="C831" s="16"/>
      <c r="D831" s="16"/>
    </row>
    <row r="832" spans="1:4" ht="14.25">
      <c r="A832" s="16"/>
      <c r="B832" s="16"/>
      <c r="C832" s="16"/>
      <c r="D832" s="16"/>
    </row>
    <row r="833" spans="1:4" ht="14.25">
      <c r="A833" s="16"/>
      <c r="B833" s="16"/>
      <c r="C833" s="16"/>
      <c r="D833" s="16"/>
    </row>
    <row r="834" spans="1:4" ht="14.25">
      <c r="A834" s="16"/>
      <c r="B834" s="16"/>
      <c r="C834" s="16"/>
      <c r="D834" s="16"/>
    </row>
    <row r="835" spans="1:4" ht="14.25">
      <c r="A835" s="16"/>
      <c r="B835" s="16"/>
      <c r="C835" s="16"/>
      <c r="D835" s="16"/>
    </row>
    <row r="836" spans="1:4" ht="14.25">
      <c r="A836" s="16"/>
      <c r="B836" s="16"/>
      <c r="C836" s="16"/>
      <c r="D836" s="16"/>
    </row>
    <row r="837" spans="1:4" ht="14.25">
      <c r="A837" s="16"/>
      <c r="B837" s="16"/>
      <c r="C837" s="16"/>
      <c r="D837" s="16"/>
    </row>
    <row r="838" spans="1:4" ht="14.25">
      <c r="A838" s="16"/>
      <c r="B838" s="16"/>
      <c r="C838" s="16"/>
      <c r="D838" s="16"/>
    </row>
    <row r="839" spans="1:4" ht="14.25">
      <c r="A839" s="16"/>
      <c r="B839" s="16"/>
      <c r="C839" s="16"/>
      <c r="D839" s="16"/>
    </row>
    <row r="840" spans="1:4" ht="14.25">
      <c r="A840" s="16"/>
      <c r="B840" s="16"/>
      <c r="C840" s="16"/>
      <c r="D840" s="16"/>
    </row>
    <row r="841" spans="1:4" ht="14.25">
      <c r="A841" s="16"/>
      <c r="B841" s="16"/>
      <c r="C841" s="16"/>
      <c r="D841" s="16"/>
    </row>
    <row r="842" spans="1:4" ht="14.25">
      <c r="A842" s="16"/>
      <c r="B842" s="16"/>
      <c r="C842" s="16"/>
      <c r="D842" s="16"/>
    </row>
    <row r="843" spans="1:4" ht="14.25">
      <c r="A843" s="16"/>
      <c r="B843" s="16"/>
      <c r="C843" s="16"/>
      <c r="D843" s="16"/>
    </row>
    <row r="844" spans="1:4" ht="14.25">
      <c r="A844" s="16"/>
      <c r="B844" s="16"/>
      <c r="C844" s="16"/>
      <c r="D844" s="16"/>
    </row>
    <row r="845" spans="1:4" ht="14.25">
      <c r="A845" s="16"/>
      <c r="B845" s="16"/>
      <c r="C845" s="16"/>
      <c r="D845" s="16"/>
    </row>
    <row r="846" spans="1:4" ht="14.25">
      <c r="A846" s="16"/>
      <c r="B846" s="16"/>
      <c r="C846" s="16"/>
      <c r="D846" s="16"/>
    </row>
    <row r="847" spans="1:4" ht="14.25">
      <c r="A847" s="16"/>
      <c r="B847" s="16"/>
      <c r="C847" s="16"/>
      <c r="D847" s="16"/>
    </row>
    <row r="848" spans="1:4" ht="14.25">
      <c r="A848" s="16"/>
      <c r="B848" s="16"/>
      <c r="C848" s="16"/>
      <c r="D848" s="16"/>
    </row>
    <row r="849" spans="1:4" ht="14.25">
      <c r="A849" s="16"/>
      <c r="B849" s="16"/>
      <c r="C849" s="16"/>
      <c r="D849" s="16"/>
    </row>
    <row r="850" spans="1:4" ht="14.25">
      <c r="A850" s="16"/>
      <c r="B850" s="16"/>
      <c r="C850" s="16"/>
      <c r="D850" s="16"/>
    </row>
    <row r="851" spans="1:4" ht="14.25">
      <c r="A851" s="16"/>
      <c r="B851" s="16"/>
      <c r="C851" s="16"/>
      <c r="D851" s="16"/>
    </row>
    <row r="852" spans="1:4" ht="14.25">
      <c r="A852" s="16"/>
      <c r="B852" s="16"/>
      <c r="C852" s="16"/>
      <c r="D852" s="16"/>
    </row>
    <row r="853" spans="1:4" ht="14.25">
      <c r="A853" s="16"/>
      <c r="B853" s="16"/>
      <c r="C853" s="16"/>
      <c r="D853" s="16"/>
    </row>
    <row r="854" spans="1:4" ht="14.25">
      <c r="A854" s="16"/>
      <c r="B854" s="16"/>
      <c r="C854" s="16"/>
      <c r="D854" s="16"/>
    </row>
    <row r="855" spans="1:4" ht="14.25">
      <c r="A855" s="16"/>
      <c r="B855" s="16"/>
      <c r="C855" s="16"/>
      <c r="D855" s="16"/>
    </row>
    <row r="856" spans="1:4" ht="14.25">
      <c r="A856" s="16"/>
      <c r="B856" s="16"/>
      <c r="C856" s="16"/>
      <c r="D856" s="16"/>
    </row>
    <row r="857" spans="1:4" ht="14.25">
      <c r="A857" s="16"/>
      <c r="B857" s="16"/>
      <c r="C857" s="16"/>
      <c r="D857" s="16"/>
    </row>
    <row r="858" spans="1:4" ht="14.25">
      <c r="A858" s="16"/>
      <c r="B858" s="16"/>
      <c r="C858" s="16"/>
      <c r="D858" s="16"/>
    </row>
    <row r="859" spans="1:4" ht="14.25">
      <c r="A859" s="16"/>
      <c r="B859" s="16"/>
      <c r="C859" s="16"/>
      <c r="D859" s="16"/>
    </row>
    <row r="860" spans="1:4" ht="14.25">
      <c r="A860" s="16"/>
      <c r="B860" s="16"/>
      <c r="C860" s="16"/>
      <c r="D860" s="16"/>
    </row>
    <row r="861" spans="1:4" ht="14.25">
      <c r="A861" s="16"/>
      <c r="B861" s="16"/>
      <c r="C861" s="16"/>
      <c r="D861" s="16"/>
    </row>
    <row r="862" spans="1:4" ht="14.25">
      <c r="A862" s="16"/>
      <c r="B862" s="16"/>
      <c r="C862" s="16"/>
      <c r="D862" s="16"/>
    </row>
    <row r="863" spans="1:4" ht="14.25">
      <c r="A863" s="16"/>
      <c r="B863" s="16"/>
      <c r="C863" s="16"/>
      <c r="D863" s="16"/>
    </row>
    <row r="864" spans="1:4" ht="14.25">
      <c r="A864" s="16"/>
      <c r="B864" s="16"/>
      <c r="C864" s="16"/>
      <c r="D864" s="16"/>
    </row>
    <row r="865" spans="1:4" ht="14.25">
      <c r="A865" s="16"/>
      <c r="B865" s="16"/>
      <c r="C865" s="16"/>
      <c r="D865" s="16"/>
    </row>
    <row r="866" spans="1:4" ht="14.25">
      <c r="A866" s="16"/>
      <c r="B866" s="16"/>
      <c r="C866" s="16"/>
      <c r="D866" s="16"/>
    </row>
    <row r="867" spans="1:4" ht="14.25">
      <c r="A867" s="16"/>
      <c r="B867" s="16"/>
      <c r="C867" s="16"/>
      <c r="D867" s="16"/>
    </row>
    <row r="868" spans="1:4" ht="14.25">
      <c r="A868" s="16"/>
      <c r="B868" s="16"/>
      <c r="C868" s="16"/>
      <c r="D868" s="16"/>
    </row>
    <row r="869" spans="1:4" ht="14.25">
      <c r="A869" s="16"/>
      <c r="B869" s="16"/>
      <c r="C869" s="16"/>
      <c r="D869" s="16"/>
    </row>
    <row r="870" spans="1:4" ht="14.25">
      <c r="A870" s="16"/>
      <c r="B870" s="16"/>
      <c r="C870" s="16"/>
      <c r="D870" s="16"/>
    </row>
    <row r="871" spans="1:4" ht="14.25">
      <c r="A871" s="16"/>
      <c r="B871" s="16"/>
      <c r="C871" s="16"/>
      <c r="D871" s="16"/>
    </row>
    <row r="872" spans="1:4" ht="14.25">
      <c r="A872" s="16"/>
      <c r="B872" s="16"/>
      <c r="C872" s="16"/>
      <c r="D872" s="16"/>
    </row>
    <row r="873" spans="1:4" ht="14.25">
      <c r="A873" s="16"/>
      <c r="B873" s="16"/>
      <c r="C873" s="16"/>
      <c r="D873" s="16"/>
    </row>
    <row r="874" spans="1:4" ht="14.25">
      <c r="A874" s="16"/>
      <c r="B874" s="16"/>
      <c r="C874" s="16"/>
      <c r="D874" s="16"/>
    </row>
    <row r="875" spans="1:4" ht="14.25">
      <c r="A875" s="16"/>
      <c r="B875" s="16"/>
      <c r="C875" s="16"/>
      <c r="D875" s="16"/>
    </row>
    <row r="876" spans="1:4" ht="14.25">
      <c r="A876" s="16"/>
      <c r="B876" s="16"/>
      <c r="C876" s="16"/>
      <c r="D876" s="16"/>
    </row>
    <row r="877" spans="1:4" ht="14.25">
      <c r="A877" s="16"/>
      <c r="B877" s="16"/>
      <c r="C877" s="16"/>
      <c r="D877" s="16"/>
    </row>
    <row r="878" spans="1:4" ht="14.25">
      <c r="A878" s="16"/>
      <c r="B878" s="16"/>
      <c r="C878" s="16"/>
      <c r="D878" s="16"/>
    </row>
    <row r="879" spans="1:4" ht="14.25">
      <c r="A879" s="16"/>
      <c r="B879" s="16"/>
      <c r="C879" s="16"/>
      <c r="D879" s="16"/>
    </row>
    <row r="880" spans="1:4" ht="14.25">
      <c r="A880" s="16"/>
      <c r="B880" s="16"/>
      <c r="C880" s="16"/>
      <c r="D880" s="16"/>
    </row>
    <row r="881" spans="1:4" ht="14.25">
      <c r="A881" s="16"/>
      <c r="B881" s="16"/>
      <c r="C881" s="16"/>
      <c r="D881" s="16"/>
    </row>
    <row r="882" spans="1:4" ht="14.25">
      <c r="A882" s="16"/>
      <c r="B882" s="16"/>
      <c r="C882" s="16"/>
      <c r="D882" s="16"/>
    </row>
    <row r="883" spans="1:4" ht="14.25">
      <c r="A883" s="16"/>
      <c r="B883" s="16"/>
      <c r="C883" s="16"/>
      <c r="D883" s="16"/>
    </row>
    <row r="884" spans="1:4" ht="14.25">
      <c r="A884" s="16"/>
      <c r="B884" s="16"/>
      <c r="C884" s="16"/>
      <c r="D884" s="16"/>
    </row>
    <row r="885" spans="1:4" ht="14.25">
      <c r="A885" s="16"/>
      <c r="B885" s="16"/>
      <c r="C885" s="16"/>
      <c r="D885" s="16"/>
    </row>
    <row r="886" spans="1:4" ht="14.25">
      <c r="A886" s="16"/>
      <c r="B886" s="16"/>
      <c r="C886" s="16"/>
      <c r="D886" s="16"/>
    </row>
    <row r="887" spans="1:4" ht="14.25">
      <c r="A887" s="16"/>
      <c r="B887" s="16"/>
      <c r="C887" s="16"/>
      <c r="D887" s="16"/>
    </row>
    <row r="888" spans="1:4" ht="14.25">
      <c r="A888" s="16"/>
      <c r="B888" s="16"/>
      <c r="C888" s="16"/>
      <c r="D888" s="16"/>
    </row>
    <row r="889" spans="1:4" ht="14.25">
      <c r="A889" s="16"/>
      <c r="B889" s="16"/>
      <c r="C889" s="16"/>
      <c r="D889" s="16"/>
    </row>
    <row r="890" spans="1:4" ht="14.25">
      <c r="A890" s="16"/>
      <c r="B890" s="16"/>
      <c r="C890" s="16"/>
      <c r="D890" s="16"/>
    </row>
    <row r="891" spans="1:4" ht="14.25">
      <c r="A891" s="16"/>
      <c r="B891" s="16"/>
      <c r="C891" s="16"/>
      <c r="D891" s="16"/>
    </row>
    <row r="892" spans="1:4" ht="14.25">
      <c r="A892" s="16"/>
      <c r="B892" s="16"/>
      <c r="C892" s="16"/>
      <c r="D892" s="16"/>
    </row>
    <row r="893" spans="1:4" ht="14.25">
      <c r="A893" s="16"/>
      <c r="B893" s="16"/>
      <c r="C893" s="16"/>
      <c r="D893" s="16"/>
    </row>
    <row r="894" spans="1:4" ht="14.25">
      <c r="A894" s="16"/>
      <c r="B894" s="16"/>
      <c r="C894" s="16"/>
      <c r="D894" s="16"/>
    </row>
    <row r="895" spans="1:4" ht="14.25">
      <c r="A895" s="16"/>
      <c r="B895" s="16"/>
      <c r="C895" s="16"/>
      <c r="D895" s="16"/>
    </row>
    <row r="896" spans="1:4" ht="14.25">
      <c r="A896" s="16"/>
      <c r="B896" s="16"/>
      <c r="C896" s="16"/>
      <c r="D896" s="16"/>
    </row>
    <row r="897" spans="1:4" ht="14.25">
      <c r="A897" s="16"/>
      <c r="B897" s="16"/>
      <c r="C897" s="16"/>
      <c r="D897" s="16"/>
    </row>
    <row r="898" spans="1:4" ht="14.25">
      <c r="A898" s="16"/>
      <c r="B898" s="16"/>
      <c r="C898" s="16"/>
      <c r="D898" s="16"/>
    </row>
    <row r="899" spans="1:4" ht="14.25">
      <c r="A899" s="16"/>
      <c r="B899" s="16"/>
      <c r="C899" s="16"/>
      <c r="D899" s="16"/>
    </row>
    <row r="900" spans="1:4" ht="14.25">
      <c r="A900" s="16"/>
      <c r="B900" s="16"/>
      <c r="C900" s="16"/>
      <c r="D900" s="16"/>
    </row>
    <row r="901" spans="1:4" ht="14.25">
      <c r="A901" s="16"/>
      <c r="B901" s="16"/>
      <c r="C901" s="16"/>
      <c r="D901" s="16"/>
    </row>
    <row r="902" spans="1:4" ht="14.25">
      <c r="A902" s="16"/>
      <c r="B902" s="16"/>
      <c r="C902" s="16"/>
      <c r="D902" s="16"/>
    </row>
    <row r="903" spans="1:4" ht="14.25">
      <c r="A903" s="16"/>
      <c r="B903" s="16"/>
      <c r="C903" s="16"/>
      <c r="D903" s="16"/>
    </row>
    <row r="904" spans="1:4" ht="14.25">
      <c r="A904" s="16"/>
      <c r="B904" s="16"/>
      <c r="C904" s="16"/>
      <c r="D904" s="16"/>
    </row>
    <row r="905" spans="1:4" ht="14.25">
      <c r="A905" s="16"/>
      <c r="B905" s="16"/>
      <c r="C905" s="16"/>
      <c r="D905" s="16"/>
    </row>
    <row r="906" spans="1:4" ht="14.25">
      <c r="A906" s="16"/>
      <c r="B906" s="16"/>
      <c r="C906" s="16"/>
      <c r="D906" s="16"/>
    </row>
    <row r="907" spans="1:4" ht="14.25">
      <c r="A907" s="16"/>
      <c r="B907" s="16"/>
      <c r="C907" s="16"/>
      <c r="D907" s="16"/>
    </row>
    <row r="908" spans="1:4" ht="14.25">
      <c r="A908" s="16"/>
      <c r="B908" s="16"/>
      <c r="C908" s="16"/>
      <c r="D908" s="16"/>
    </row>
    <row r="909" spans="1:4" ht="14.25">
      <c r="A909" s="16"/>
      <c r="B909" s="16"/>
      <c r="C909" s="16"/>
      <c r="D909" s="16"/>
    </row>
    <row r="910" spans="1:4" ht="14.25">
      <c r="A910" s="16"/>
      <c r="B910" s="16"/>
      <c r="C910" s="16"/>
      <c r="D910" s="16"/>
    </row>
    <row r="911" spans="1:4" ht="14.25">
      <c r="A911" s="16"/>
      <c r="B911" s="16"/>
      <c r="C911" s="16"/>
      <c r="D911" s="16"/>
    </row>
    <row r="912" spans="1:4" ht="14.25">
      <c r="A912" s="16"/>
      <c r="B912" s="16"/>
      <c r="C912" s="16"/>
      <c r="D912" s="16"/>
    </row>
    <row r="913" spans="1:4" ht="14.25">
      <c r="A913" s="16"/>
      <c r="B913" s="16"/>
      <c r="C913" s="16"/>
      <c r="D913" s="16"/>
    </row>
    <row r="914" spans="1:4" ht="14.25">
      <c r="A914" s="16"/>
      <c r="B914" s="16"/>
      <c r="C914" s="16"/>
      <c r="D914" s="16"/>
    </row>
    <row r="915" spans="1:4" ht="14.25">
      <c r="A915" s="16"/>
      <c r="B915" s="16"/>
      <c r="C915" s="16"/>
      <c r="D915" s="16"/>
    </row>
    <row r="916" spans="1:4" ht="14.25">
      <c r="A916" s="16"/>
      <c r="B916" s="16"/>
      <c r="C916" s="16"/>
      <c r="D916" s="16"/>
    </row>
    <row r="917" spans="1:4" ht="14.25">
      <c r="A917" s="16"/>
      <c r="B917" s="16"/>
      <c r="C917" s="16"/>
      <c r="D917" s="16"/>
    </row>
    <row r="918" spans="1:4" ht="14.25">
      <c r="A918" s="16"/>
      <c r="B918" s="16"/>
      <c r="C918" s="16"/>
      <c r="D918" s="16"/>
    </row>
    <row r="919" spans="1:4" ht="14.25">
      <c r="A919" s="16"/>
      <c r="B919" s="16"/>
      <c r="C919" s="16"/>
      <c r="D919" s="16"/>
    </row>
    <row r="920" spans="1:4" ht="14.25">
      <c r="A920" s="16"/>
      <c r="B920" s="16"/>
      <c r="C920" s="16"/>
      <c r="D920" s="16"/>
    </row>
    <row r="921" spans="1:4" ht="14.25">
      <c r="A921" s="16"/>
      <c r="B921" s="16"/>
      <c r="C921" s="16"/>
      <c r="D921" s="16"/>
    </row>
    <row r="922" spans="1:4" ht="14.25">
      <c r="A922" s="16"/>
      <c r="B922" s="16"/>
      <c r="C922" s="16"/>
      <c r="D922" s="16"/>
    </row>
    <row r="923" spans="1:4" ht="14.25">
      <c r="A923" s="16"/>
      <c r="B923" s="16"/>
      <c r="C923" s="16"/>
      <c r="D923" s="16"/>
    </row>
    <row r="924" spans="1:4" ht="14.25">
      <c r="A924" s="16"/>
      <c r="B924" s="16"/>
      <c r="C924" s="16"/>
      <c r="D924" s="16"/>
    </row>
    <row r="925" spans="1:4" ht="14.25">
      <c r="A925" s="16"/>
      <c r="B925" s="16"/>
      <c r="C925" s="16"/>
      <c r="D925" s="16"/>
    </row>
    <row r="926" spans="1:4" ht="14.25">
      <c r="A926" s="16"/>
      <c r="B926" s="16"/>
      <c r="C926" s="16"/>
      <c r="D926" s="16"/>
    </row>
    <row r="927" spans="1:4" ht="14.25">
      <c r="A927" s="16"/>
      <c r="B927" s="16"/>
      <c r="C927" s="16"/>
      <c r="D927" s="16"/>
    </row>
    <row r="928" spans="1:4" ht="14.25">
      <c r="A928" s="16"/>
      <c r="B928" s="16"/>
      <c r="C928" s="16"/>
      <c r="D928" s="16"/>
    </row>
    <row r="929" spans="1:4" ht="14.25">
      <c r="A929" s="16"/>
      <c r="B929" s="16"/>
      <c r="C929" s="16"/>
      <c r="D929" s="16"/>
    </row>
    <row r="930" spans="1:4" ht="14.25">
      <c r="A930" s="16"/>
      <c r="B930" s="16"/>
      <c r="C930" s="16"/>
      <c r="D930" s="16"/>
    </row>
    <row r="931" spans="1:4" ht="14.25">
      <c r="A931" s="16"/>
      <c r="B931" s="16"/>
      <c r="C931" s="16"/>
      <c r="D931" s="16"/>
    </row>
    <row r="932" spans="1:4" ht="14.25">
      <c r="A932" s="16"/>
      <c r="B932" s="16"/>
      <c r="C932" s="16"/>
      <c r="D932" s="16"/>
    </row>
    <row r="933" spans="1:4" ht="14.25">
      <c r="A933" s="16"/>
      <c r="B933" s="16"/>
      <c r="C933" s="16"/>
      <c r="D933" s="16"/>
    </row>
    <row r="934" spans="1:4" ht="14.25">
      <c r="A934" s="16"/>
      <c r="B934" s="16"/>
      <c r="C934" s="16"/>
      <c r="D934" s="16"/>
    </row>
    <row r="935" spans="1:4" ht="14.25">
      <c r="A935" s="16"/>
      <c r="B935" s="16"/>
      <c r="C935" s="16"/>
      <c r="D935" s="16"/>
    </row>
    <row r="936" spans="1:4" ht="14.25">
      <c r="A936" s="16"/>
      <c r="B936" s="16"/>
      <c r="C936" s="16"/>
      <c r="D936" s="16"/>
    </row>
    <row r="937" spans="1:4" ht="14.25">
      <c r="A937" s="16"/>
      <c r="B937" s="16"/>
      <c r="C937" s="16"/>
      <c r="D937" s="16"/>
    </row>
    <row r="938" spans="1:4" ht="14.25">
      <c r="A938" s="16"/>
      <c r="B938" s="16"/>
      <c r="C938" s="16"/>
      <c r="D938" s="16"/>
    </row>
    <row r="939" spans="1:4" ht="14.25">
      <c r="A939" s="16"/>
      <c r="B939" s="16"/>
      <c r="C939" s="16"/>
      <c r="D939" s="16"/>
    </row>
    <row r="940" spans="1:4" ht="14.25">
      <c r="A940" s="16"/>
      <c r="B940" s="16"/>
      <c r="C940" s="16"/>
      <c r="D940" s="16"/>
    </row>
    <row r="941" spans="1:4" ht="14.25">
      <c r="A941" s="16"/>
      <c r="B941" s="16"/>
      <c r="C941" s="16"/>
      <c r="D941" s="16"/>
    </row>
    <row r="942" spans="1:4" ht="14.25">
      <c r="A942" s="16"/>
      <c r="B942" s="16"/>
      <c r="C942" s="16"/>
      <c r="D942" s="16"/>
    </row>
    <row r="943" spans="1:4" ht="14.25">
      <c r="A943" s="16"/>
      <c r="B943" s="16"/>
      <c r="C943" s="16"/>
      <c r="D943" s="16"/>
    </row>
    <row r="944" spans="1:4" ht="14.25">
      <c r="A944" s="16"/>
      <c r="B944" s="16"/>
      <c r="C944" s="16"/>
      <c r="D944" s="16"/>
    </row>
    <row r="945" spans="1:4" ht="14.25">
      <c r="A945" s="16"/>
      <c r="B945" s="16"/>
      <c r="C945" s="16"/>
      <c r="D945" s="16"/>
    </row>
    <row r="946" spans="1:4" ht="14.25">
      <c r="A946" s="16"/>
      <c r="B946" s="16"/>
      <c r="C946" s="16"/>
      <c r="D946" s="16"/>
    </row>
    <row r="947" spans="1:4" ht="14.25">
      <c r="A947" s="16"/>
      <c r="B947" s="16"/>
      <c r="C947" s="16"/>
      <c r="D947" s="16"/>
    </row>
    <row r="948" spans="1:4" ht="14.25">
      <c r="A948" s="16"/>
      <c r="B948" s="16"/>
      <c r="C948" s="16"/>
      <c r="D948" s="16"/>
    </row>
    <row r="949" spans="1:4" ht="14.25">
      <c r="A949" s="16"/>
      <c r="B949" s="16"/>
      <c r="C949" s="16"/>
      <c r="D949" s="16"/>
    </row>
    <row r="950" spans="1:4" ht="14.25">
      <c r="A950" s="16"/>
      <c r="B950" s="16"/>
      <c r="C950" s="16"/>
      <c r="D950" s="16"/>
    </row>
    <row r="951" spans="1:4" ht="14.25">
      <c r="A951" s="16"/>
      <c r="B951" s="16"/>
      <c r="C951" s="16"/>
      <c r="D951" s="16"/>
    </row>
    <row r="952" spans="1:4" ht="14.25">
      <c r="A952" s="16"/>
      <c r="B952" s="16"/>
      <c r="C952" s="16"/>
      <c r="D952" s="16"/>
    </row>
    <row r="953" spans="1:4" ht="14.25">
      <c r="A953" s="16"/>
      <c r="B953" s="16"/>
      <c r="C953" s="16"/>
      <c r="D953" s="16"/>
    </row>
    <row r="954" spans="1:4" ht="14.25">
      <c r="A954" s="16"/>
      <c r="B954" s="16"/>
      <c r="C954" s="16"/>
      <c r="D954" s="16"/>
    </row>
    <row r="955" spans="1:4" ht="14.25">
      <c r="A955" s="16"/>
      <c r="B955" s="16"/>
      <c r="C955" s="16"/>
      <c r="D955" s="16"/>
    </row>
    <row r="956" spans="1:4" ht="14.25">
      <c r="A956" s="16"/>
      <c r="B956" s="16"/>
      <c r="C956" s="16"/>
      <c r="D956" s="16"/>
    </row>
    <row r="957" spans="1:4" ht="14.25">
      <c r="A957" s="16"/>
      <c r="B957" s="16"/>
      <c r="C957" s="16"/>
      <c r="D957" s="16"/>
    </row>
    <row r="958" spans="1:4" ht="14.25">
      <c r="A958" s="16"/>
      <c r="B958" s="16"/>
      <c r="C958" s="16"/>
      <c r="D958" s="16"/>
    </row>
    <row r="959" spans="1:4" ht="14.25">
      <c r="A959" s="16"/>
      <c r="B959" s="16"/>
      <c r="C959" s="16"/>
      <c r="D959" s="16"/>
    </row>
    <row r="960" spans="1:4" ht="14.25">
      <c r="A960" s="16"/>
      <c r="B960" s="16"/>
      <c r="C960" s="16"/>
      <c r="D960" s="16"/>
    </row>
    <row r="961" spans="1:4" ht="14.25">
      <c r="A961" s="16"/>
      <c r="B961" s="16"/>
      <c r="C961" s="16"/>
      <c r="D961" s="16"/>
    </row>
    <row r="962" spans="1:4" ht="14.25">
      <c r="A962" s="16"/>
      <c r="B962" s="16"/>
      <c r="C962" s="16"/>
      <c r="D962" s="16"/>
    </row>
    <row r="963" spans="1:4" ht="14.25">
      <c r="A963" s="16"/>
      <c r="B963" s="16"/>
      <c r="C963" s="16"/>
      <c r="D963" s="16"/>
    </row>
    <row r="964" spans="1:4" ht="14.25">
      <c r="A964" s="16"/>
      <c r="B964" s="16"/>
      <c r="C964" s="16"/>
      <c r="D964" s="16"/>
    </row>
    <row r="965" spans="1:4" ht="14.25">
      <c r="A965" s="16"/>
      <c r="B965" s="16"/>
      <c r="C965" s="16"/>
      <c r="D965" s="16"/>
    </row>
    <row r="966" spans="1:4" ht="14.25">
      <c r="A966" s="16"/>
      <c r="B966" s="16"/>
      <c r="C966" s="16"/>
      <c r="D966" s="16"/>
    </row>
    <row r="967" spans="1:4" ht="14.25">
      <c r="A967" s="16"/>
      <c r="B967" s="16"/>
      <c r="C967" s="16"/>
      <c r="D967" s="16"/>
    </row>
    <row r="968" spans="1:4" ht="14.25">
      <c r="A968" s="16"/>
      <c r="B968" s="16"/>
      <c r="C968" s="16"/>
      <c r="D968" s="16"/>
    </row>
    <row r="969" spans="1:4" ht="14.25">
      <c r="A969" s="16"/>
      <c r="B969" s="16"/>
      <c r="C969" s="16"/>
      <c r="D969" s="16"/>
    </row>
    <row r="970" spans="1:4" ht="14.25">
      <c r="A970" s="16"/>
      <c r="B970" s="16"/>
      <c r="C970" s="16"/>
      <c r="D970" s="16"/>
    </row>
    <row r="971" spans="1:4" ht="14.25">
      <c r="A971" s="16"/>
      <c r="B971" s="16"/>
      <c r="C971" s="16"/>
      <c r="D971" s="16"/>
    </row>
    <row r="972" spans="1:4" ht="14.25">
      <c r="A972" s="16"/>
      <c r="B972" s="16"/>
      <c r="C972" s="16"/>
      <c r="D972" s="16"/>
    </row>
    <row r="973" spans="1:4" ht="14.25">
      <c r="A973" s="16"/>
      <c r="B973" s="16"/>
      <c r="C973" s="16"/>
      <c r="D973" s="16"/>
    </row>
    <row r="974" spans="1:4" ht="14.25">
      <c r="A974" s="16"/>
      <c r="B974" s="16"/>
      <c r="C974" s="16"/>
      <c r="D974" s="16"/>
    </row>
    <row r="975" spans="1:4" ht="14.25">
      <c r="A975" s="16"/>
      <c r="B975" s="16"/>
      <c r="C975" s="16"/>
      <c r="D975" s="16"/>
    </row>
    <row r="976" spans="1:4" ht="14.25">
      <c r="A976" s="16"/>
      <c r="B976" s="16"/>
      <c r="C976" s="16"/>
      <c r="D976" s="16"/>
    </row>
    <row r="977" spans="1:4" ht="14.25">
      <c r="A977" s="16"/>
      <c r="B977" s="16"/>
      <c r="C977" s="16"/>
      <c r="D977" s="16"/>
    </row>
    <row r="978" spans="1:4" ht="14.25">
      <c r="A978" s="16"/>
      <c r="B978" s="16"/>
      <c r="C978" s="16"/>
      <c r="D978" s="16"/>
    </row>
    <row r="979" spans="1:4" ht="14.25">
      <c r="A979" s="16"/>
      <c r="B979" s="16"/>
      <c r="C979" s="16"/>
      <c r="D979" s="16"/>
    </row>
    <row r="980" spans="1:4" ht="14.25">
      <c r="A980" s="16"/>
      <c r="B980" s="16"/>
      <c r="C980" s="16"/>
      <c r="D980" s="16"/>
    </row>
    <row r="981" spans="1:4" ht="14.25">
      <c r="A981" s="16"/>
      <c r="B981" s="16"/>
      <c r="C981" s="16"/>
      <c r="D981" s="16"/>
    </row>
    <row r="982" spans="1:4" ht="14.25">
      <c r="A982" s="16"/>
      <c r="B982" s="16"/>
      <c r="C982" s="16"/>
      <c r="D982" s="16"/>
    </row>
    <row r="983" spans="1:4" ht="14.25">
      <c r="A983" s="16"/>
      <c r="B983" s="16"/>
      <c r="C983" s="16"/>
      <c r="D983" s="16"/>
    </row>
    <row r="984" spans="1:4" ht="14.25">
      <c r="A984" s="16"/>
      <c r="B984" s="16"/>
      <c r="C984" s="16"/>
      <c r="D984" s="16"/>
    </row>
    <row r="985" spans="1:4" ht="14.25">
      <c r="A985" s="16"/>
      <c r="B985" s="16"/>
      <c r="C985" s="16"/>
      <c r="D985" s="16"/>
    </row>
    <row r="986" spans="1:4" ht="14.25">
      <c r="A986" s="16"/>
      <c r="B986" s="16"/>
      <c r="C986" s="16"/>
      <c r="D986" s="16"/>
    </row>
    <row r="987" spans="1:4" ht="14.25">
      <c r="A987" s="16"/>
      <c r="B987" s="16"/>
      <c r="C987" s="16"/>
      <c r="D987" s="16"/>
    </row>
    <row r="988" spans="1:4" ht="14.25">
      <c r="A988" s="16"/>
      <c r="B988" s="16"/>
      <c r="C988" s="16"/>
      <c r="D988" s="16"/>
    </row>
    <row r="989" spans="1:4" ht="14.25">
      <c r="A989" s="16"/>
      <c r="B989" s="16"/>
      <c r="C989" s="16"/>
      <c r="D989" s="16"/>
    </row>
    <row r="990" spans="1:4" ht="14.25">
      <c r="A990" s="16"/>
      <c r="B990" s="16"/>
      <c r="C990" s="16"/>
      <c r="D990" s="16"/>
    </row>
    <row r="991" spans="1:4" ht="14.25">
      <c r="A991" s="16"/>
      <c r="B991" s="16"/>
      <c r="C991" s="16"/>
      <c r="D991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FF9A-A7D4-4E79-B0E4-D5C863C424CE}">
  <dimension ref="A16:AJ515"/>
  <sheetViews>
    <sheetView showGridLines="0" workbookViewId="0">
      <selection activeCell="A20" sqref="A20:AJ20"/>
    </sheetView>
  </sheetViews>
  <sheetFormatPr defaultColWidth="9" defaultRowHeight="14.25"/>
  <cols>
    <col min="2" max="3" width="28.75" customWidth="1"/>
    <col min="4" max="5" width="9.375" bestFit="1" customWidth="1"/>
    <col min="6" max="6" width="20.5" hidden="1" customWidth="1"/>
    <col min="7" max="8" width="14" customWidth="1"/>
    <col min="9" max="9" width="21.875" hidden="1" customWidth="1"/>
    <col min="10" max="10" width="10.5" hidden="1" customWidth="1"/>
    <col min="11" max="11" width="13.75" customWidth="1"/>
    <col min="12" max="12" width="27.5" customWidth="1"/>
    <col min="16" max="16" width="8.25" customWidth="1"/>
    <col min="17" max="17" width="13" customWidth="1"/>
    <col min="19" max="19" width="14.25" customWidth="1"/>
  </cols>
  <sheetData>
    <row r="16" spans="2:8">
      <c r="B16" s="153" t="s">
        <v>441</v>
      </c>
      <c r="C16" s="71"/>
      <c r="D16" s="72" t="s">
        <v>442</v>
      </c>
      <c r="E16" s="73">
        <v>160</v>
      </c>
      <c r="G16" s="74" t="s">
        <v>443</v>
      </c>
      <c r="H16" s="75">
        <v>20</v>
      </c>
    </row>
    <row r="17" spans="1:36" ht="18">
      <c r="B17" s="153"/>
      <c r="C17" s="71"/>
      <c r="D17" s="72">
        <v>12</v>
      </c>
      <c r="E17" s="73">
        <v>200</v>
      </c>
      <c r="G17" s="76" t="s">
        <v>444</v>
      </c>
      <c r="H17" s="77">
        <v>0</v>
      </c>
    </row>
    <row r="18" spans="1:36" ht="18">
      <c r="B18" s="153"/>
      <c r="C18" s="71"/>
      <c r="D18" s="72" t="s">
        <v>445</v>
      </c>
      <c r="E18" s="73">
        <v>200</v>
      </c>
      <c r="G18" s="76" t="s">
        <v>446</v>
      </c>
      <c r="H18" s="77">
        <v>0</v>
      </c>
    </row>
    <row r="20" spans="1:36" ht="57.75" customHeight="1">
      <c r="B20" s="78" t="s">
        <v>447</v>
      </c>
      <c r="C20" s="78" t="s">
        <v>448</v>
      </c>
      <c r="D20" s="78" t="s">
        <v>449</v>
      </c>
      <c r="E20" s="78" t="s">
        <v>450</v>
      </c>
      <c r="F20" s="78"/>
      <c r="G20" s="78" t="s">
        <v>451</v>
      </c>
      <c r="H20" s="78" t="s">
        <v>452</v>
      </c>
      <c r="I20" s="79" t="s">
        <v>453</v>
      </c>
      <c r="J20" s="78"/>
      <c r="K20" s="78" t="s">
        <v>454</v>
      </c>
      <c r="L20" s="32" t="s">
        <v>455</v>
      </c>
      <c r="M20" s="90" t="s">
        <v>456</v>
      </c>
      <c r="N20" s="91" t="s">
        <v>457</v>
      </c>
      <c r="O20" s="90" t="s">
        <v>458</v>
      </c>
      <c r="P20" s="91" t="s">
        <v>459</v>
      </c>
      <c r="Q20" s="91" t="s">
        <v>454</v>
      </c>
      <c r="R20" s="91" t="s">
        <v>460</v>
      </c>
      <c r="S20" s="90" t="s">
        <v>461</v>
      </c>
      <c r="T20" s="91" t="s">
        <v>462</v>
      </c>
      <c r="U20" s="91" t="s">
        <v>463</v>
      </c>
      <c r="V20" s="91" t="s">
        <v>464</v>
      </c>
      <c r="W20" s="91" t="s">
        <v>454</v>
      </c>
      <c r="X20" s="91" t="s">
        <v>460</v>
      </c>
      <c r="Y20" s="90" t="s">
        <v>465</v>
      </c>
      <c r="Z20" s="91" t="s">
        <v>466</v>
      </c>
      <c r="AA20" s="91" t="s">
        <v>467</v>
      </c>
      <c r="AB20" s="91" t="s">
        <v>468</v>
      </c>
      <c r="AC20" s="91" t="s">
        <v>454</v>
      </c>
      <c r="AD20" s="91" t="s">
        <v>460</v>
      </c>
      <c r="AE20" s="90" t="s">
        <v>469</v>
      </c>
      <c r="AF20" s="91" t="s">
        <v>470</v>
      </c>
      <c r="AG20" s="91" t="s">
        <v>471</v>
      </c>
      <c r="AH20" s="91" t="s">
        <v>472</v>
      </c>
      <c r="AI20" s="91" t="s">
        <v>454</v>
      </c>
      <c r="AJ20" s="92" t="s">
        <v>460</v>
      </c>
    </row>
    <row r="21" spans="1:36" ht="15">
      <c r="A21" s="80" t="s">
        <v>473</v>
      </c>
      <c r="B21" s="81" t="s">
        <v>100</v>
      </c>
      <c r="C21" s="82">
        <f>VLOOKUP(B21,'DATOS ASIGNACIÓN'!B:I,4,0)</f>
        <v>40213993831</v>
      </c>
      <c r="D21" s="82">
        <f>COUNTIFS('LISTADOS TFM'!D:D,Pagos!B21,'LISTADOS TFM'!S:S,"SÍ")</f>
        <v>0</v>
      </c>
      <c r="E21" s="82">
        <f>COUNTIF('LISTADOS TFM'!J:L,Pagos!B21)</f>
        <v>0</v>
      </c>
      <c r="F21" s="82"/>
      <c r="G21" s="83">
        <f t="shared" ref="G21:G52" si="0">IF($H$17&lt;9,$E$16,IF($H$17=$D$17,$E$17,$E$18))*D21</f>
        <v>0</v>
      </c>
      <c r="H21" s="83">
        <f t="shared" ref="H21:H52" si="1">+E21*$H$16</f>
        <v>0</v>
      </c>
      <c r="I21" s="84"/>
      <c r="J21" s="82">
        <f>IF(I21="SÍ",H21*-1,0)</f>
        <v>0</v>
      </c>
      <c r="K21" s="85">
        <f>+G21+H21</f>
        <v>0</v>
      </c>
      <c r="L21" s="86"/>
      <c r="M21" s="105">
        <f>+D21</f>
        <v>0</v>
      </c>
      <c r="N21" s="105">
        <f>+E21</f>
        <v>0</v>
      </c>
      <c r="O21" s="83">
        <f>IF($H$17&lt;9,$E$16,IF($H$17=$D$17,$E$17,$E$18))*M21</f>
        <v>0</v>
      </c>
      <c r="P21" s="94">
        <f>+N21*$H$16</f>
        <v>0</v>
      </c>
      <c r="Q21" s="106">
        <f>+O21+P21</f>
        <v>0</v>
      </c>
      <c r="R21" s="93"/>
      <c r="S21" s="105">
        <f>+D21-M21</f>
        <v>0</v>
      </c>
      <c r="T21" s="105">
        <f>+E21-N21</f>
        <v>0</v>
      </c>
      <c r="U21" s="83">
        <f>IF($H$17&lt;9,$E$16,IF($H$17=$D$17,$E$17,$E$18))*S21</f>
        <v>0</v>
      </c>
      <c r="V21" s="94">
        <f>+T21*$H$16</f>
        <v>0</v>
      </c>
      <c r="W21" s="106">
        <f>+U21+V21</f>
        <v>0</v>
      </c>
      <c r="X21" s="93"/>
      <c r="Y21" s="105">
        <f>+D21-M21-S21</f>
        <v>0</v>
      </c>
      <c r="Z21" s="105">
        <f t="shared" ref="Z21:Z84" si="2">+E21-N21-T21</f>
        <v>0</v>
      </c>
      <c r="AA21" s="83">
        <f>IF($H$17&lt;9,$E$16,IF($H$17=$D$17,$E$17,$E$18))*Y21</f>
        <v>0</v>
      </c>
      <c r="AB21" s="94">
        <f>+Z21*$H$16</f>
        <v>0</v>
      </c>
      <c r="AC21" s="106">
        <f>+AA21+AB21</f>
        <v>0</v>
      </c>
      <c r="AD21" s="93"/>
      <c r="AE21" s="105">
        <f>+D21-M21-S21-Y21</f>
        <v>0</v>
      </c>
      <c r="AF21" s="105">
        <f t="shared" ref="AF21:AF84" si="3">+E21-N21-T21-Z21</f>
        <v>0</v>
      </c>
      <c r="AG21" s="83">
        <f>IF($H$17&lt;9,$E$16,IF($H$17=$D$17,$E$17,$E$18))*AE21</f>
        <v>0</v>
      </c>
      <c r="AH21" s="94">
        <f>+AF21*$H$16</f>
        <v>0</v>
      </c>
      <c r="AI21" s="106">
        <f>+AG21+AH21</f>
        <v>0</v>
      </c>
      <c r="AJ21" s="93"/>
    </row>
    <row r="22" spans="1:36" ht="15">
      <c r="A22" s="80" t="s">
        <v>473</v>
      </c>
      <c r="B22" s="81" t="s">
        <v>153</v>
      </c>
      <c r="C22" s="82" t="str">
        <f>VLOOKUP(B22,'DATOS ASIGNACIÓN'!B:I,4,0)</f>
        <v>ECBNZCLN81D64L219F</v>
      </c>
      <c r="D22" s="82">
        <f>COUNTIFS('LISTADOS TFM'!D:D,Pagos!B22,'LISTADOS TFM'!S:S,"SÍ")</f>
        <v>0</v>
      </c>
      <c r="E22" s="82">
        <f>COUNTIF('LISTADOS TFM'!J:L,Pagos!B22)</f>
        <v>0</v>
      </c>
      <c r="F22" s="82" t="str">
        <f>IF(D22*3=E22,"OK",IF(D22*3&lt;E22,"EXTRA","VALORAR"))</f>
        <v>OK</v>
      </c>
      <c r="G22" s="83">
        <f t="shared" si="0"/>
        <v>0</v>
      </c>
      <c r="H22" s="83">
        <f t="shared" si="1"/>
        <v>0</v>
      </c>
      <c r="I22" s="84"/>
      <c r="J22" s="82">
        <f t="shared" ref="J22:J85" si="4">IF(I22="SÍ",H22*-1,0)</f>
        <v>0</v>
      </c>
      <c r="K22" s="85">
        <f t="shared" ref="K22:K85" si="5">+G22+H22</f>
        <v>0</v>
      </c>
      <c r="L22" s="87"/>
      <c r="M22" s="105">
        <f t="shared" ref="M22:N85" si="6">+D22</f>
        <v>0</v>
      </c>
      <c r="N22" s="105">
        <f t="shared" si="6"/>
        <v>0</v>
      </c>
      <c r="O22" s="83">
        <f t="shared" ref="O22:O85" si="7">IF($H$17&lt;9,$E$16,IF($H$17=$D$17,$E$17,$E$18))*M22</f>
        <v>0</v>
      </c>
      <c r="P22" s="94">
        <f t="shared" ref="P22:P85" si="8">+N22*$H$16</f>
        <v>0</v>
      </c>
      <c r="Q22" s="106">
        <f t="shared" ref="Q22:Q85" si="9">+O22+P22</f>
        <v>0</v>
      </c>
      <c r="R22" s="93"/>
      <c r="S22" s="105">
        <f t="shared" ref="S22:T85" si="10">+D22-M22</f>
        <v>0</v>
      </c>
      <c r="T22" s="105">
        <f t="shared" si="10"/>
        <v>0</v>
      </c>
      <c r="U22" s="83">
        <f t="shared" ref="U22:U85" si="11">IF($H$17&lt;9,$E$16,IF($H$17=$D$17,$E$17,$E$18))*S22</f>
        <v>0</v>
      </c>
      <c r="V22" s="94">
        <f t="shared" ref="V22:V85" si="12">+T22*$H$16</f>
        <v>0</v>
      </c>
      <c r="W22" s="106">
        <f t="shared" ref="W22:W85" si="13">+U22+V22</f>
        <v>0</v>
      </c>
      <c r="X22" s="93"/>
      <c r="Y22" s="105">
        <f t="shared" ref="Y22:Z85" si="14">+D22-M22-S22</f>
        <v>0</v>
      </c>
      <c r="Z22" s="105">
        <f t="shared" si="2"/>
        <v>0</v>
      </c>
      <c r="AA22" s="83">
        <f t="shared" ref="AA22:AA85" si="15">IF($H$17&lt;9,$E$16,IF($H$17=$D$17,$E$17,$E$18))*Y22</f>
        <v>0</v>
      </c>
      <c r="AB22" s="94">
        <f t="shared" ref="AB22:AB85" si="16">+Z22*$H$16</f>
        <v>0</v>
      </c>
      <c r="AC22" s="106">
        <f t="shared" ref="AC22:AC85" si="17">+AA22+AB22</f>
        <v>0</v>
      </c>
      <c r="AD22" s="93"/>
      <c r="AE22" s="105">
        <f t="shared" ref="AE22:AF85" si="18">+D22-M22-S22-Y22</f>
        <v>0</v>
      </c>
      <c r="AF22" s="105">
        <f t="shared" si="3"/>
        <v>0</v>
      </c>
      <c r="AG22" s="83">
        <f t="shared" ref="AG22:AG85" si="19">IF($H$17&lt;9,$E$16,IF($H$17=$D$17,$E$17,$E$18))*AE22</f>
        <v>0</v>
      </c>
      <c r="AH22" s="94">
        <f t="shared" ref="AH22:AH85" si="20">+AF22*$H$16</f>
        <v>0</v>
      </c>
      <c r="AI22" s="106">
        <f t="shared" ref="AI22:AI85" si="21">+AG22+AH22</f>
        <v>0</v>
      </c>
      <c r="AJ22" s="93"/>
    </row>
    <row r="23" spans="1:36" ht="15">
      <c r="A23" s="80" t="s">
        <v>473</v>
      </c>
      <c r="B23" s="81" t="s">
        <v>247</v>
      </c>
      <c r="C23" s="82" t="str">
        <f>VLOOKUP(B23,'DATOS ASIGNACIÓN'!B:I,4,0)</f>
        <v>26500888N</v>
      </c>
      <c r="D23" s="82">
        <f>COUNTIFS('LISTADOS TFM'!D:D,Pagos!B23,'LISTADOS TFM'!S:S,"SÍ")</f>
        <v>0</v>
      </c>
      <c r="E23" s="82">
        <f>COUNTIF('LISTADOS TFM'!J:L,Pagos!B23)</f>
        <v>0</v>
      </c>
      <c r="F23" s="82"/>
      <c r="G23" s="83">
        <f t="shared" si="0"/>
        <v>0</v>
      </c>
      <c r="H23" s="83">
        <f t="shared" si="1"/>
        <v>0</v>
      </c>
      <c r="I23" s="84"/>
      <c r="J23" s="82">
        <f t="shared" si="4"/>
        <v>0</v>
      </c>
      <c r="K23" s="85">
        <f t="shared" si="5"/>
        <v>0</v>
      </c>
      <c r="L23" s="86"/>
      <c r="M23" s="105">
        <f t="shared" si="6"/>
        <v>0</v>
      </c>
      <c r="N23" s="105">
        <f t="shared" si="6"/>
        <v>0</v>
      </c>
      <c r="O23" s="83">
        <f t="shared" si="7"/>
        <v>0</v>
      </c>
      <c r="P23" s="94">
        <f t="shared" si="8"/>
        <v>0</v>
      </c>
      <c r="Q23" s="106">
        <f t="shared" si="9"/>
        <v>0</v>
      </c>
      <c r="R23" s="93"/>
      <c r="S23" s="105">
        <f t="shared" si="10"/>
        <v>0</v>
      </c>
      <c r="T23" s="105">
        <f t="shared" si="10"/>
        <v>0</v>
      </c>
      <c r="U23" s="83">
        <f t="shared" si="11"/>
        <v>0</v>
      </c>
      <c r="V23" s="94">
        <f t="shared" si="12"/>
        <v>0</v>
      </c>
      <c r="W23" s="106">
        <f t="shared" si="13"/>
        <v>0</v>
      </c>
      <c r="X23" s="93"/>
      <c r="Y23" s="105">
        <f t="shared" si="14"/>
        <v>0</v>
      </c>
      <c r="Z23" s="105">
        <f t="shared" si="2"/>
        <v>0</v>
      </c>
      <c r="AA23" s="83">
        <f t="shared" si="15"/>
        <v>0</v>
      </c>
      <c r="AB23" s="94">
        <f t="shared" si="16"/>
        <v>0</v>
      </c>
      <c r="AC23" s="106">
        <f t="shared" si="17"/>
        <v>0</v>
      </c>
      <c r="AD23" s="93"/>
      <c r="AE23" s="105">
        <f t="shared" si="18"/>
        <v>0</v>
      </c>
      <c r="AF23" s="105">
        <f t="shared" si="3"/>
        <v>0</v>
      </c>
      <c r="AG23" s="83">
        <f t="shared" si="19"/>
        <v>0</v>
      </c>
      <c r="AH23" s="94">
        <f t="shared" si="20"/>
        <v>0</v>
      </c>
      <c r="AI23" s="106">
        <f t="shared" si="21"/>
        <v>0</v>
      </c>
      <c r="AJ23" s="93"/>
    </row>
    <row r="24" spans="1:36" ht="15">
      <c r="A24" s="80" t="s">
        <v>473</v>
      </c>
      <c r="B24" s="81" t="s">
        <v>65</v>
      </c>
      <c r="C24" s="82" t="str">
        <f>VLOOKUP(B24,'DATOS ASIGNACIÓN'!B:I,4,0)</f>
        <v>47361323E</v>
      </c>
      <c r="D24" s="82">
        <f>COUNTIFS('LISTADOS TFM'!D:D,Pagos!B24,'LISTADOS TFM'!S:S,"SÍ")</f>
        <v>0</v>
      </c>
      <c r="E24" s="82">
        <f>COUNTIF('LISTADOS TFM'!J:L,Pagos!B24)</f>
        <v>0</v>
      </c>
      <c r="F24" s="82"/>
      <c r="G24" s="83">
        <f t="shared" si="0"/>
        <v>0</v>
      </c>
      <c r="H24" s="83">
        <f t="shared" si="1"/>
        <v>0</v>
      </c>
      <c r="I24" s="84"/>
      <c r="J24" s="82">
        <f t="shared" si="4"/>
        <v>0</v>
      </c>
      <c r="K24" s="85">
        <f t="shared" si="5"/>
        <v>0</v>
      </c>
      <c r="L24" s="86"/>
      <c r="M24" s="105">
        <f t="shared" si="6"/>
        <v>0</v>
      </c>
      <c r="N24" s="105">
        <f t="shared" si="6"/>
        <v>0</v>
      </c>
      <c r="O24" s="83">
        <f t="shared" si="7"/>
        <v>0</v>
      </c>
      <c r="P24" s="94">
        <f t="shared" si="8"/>
        <v>0</v>
      </c>
      <c r="Q24" s="106">
        <f t="shared" si="9"/>
        <v>0</v>
      </c>
      <c r="R24" s="93"/>
      <c r="S24" s="105">
        <f t="shared" si="10"/>
        <v>0</v>
      </c>
      <c r="T24" s="105">
        <f t="shared" si="10"/>
        <v>0</v>
      </c>
      <c r="U24" s="83">
        <f t="shared" si="11"/>
        <v>0</v>
      </c>
      <c r="V24" s="94">
        <f t="shared" si="12"/>
        <v>0</v>
      </c>
      <c r="W24" s="106">
        <f t="shared" si="13"/>
        <v>0</v>
      </c>
      <c r="X24" s="93"/>
      <c r="Y24" s="105">
        <f t="shared" si="14"/>
        <v>0</v>
      </c>
      <c r="Z24" s="105">
        <f t="shared" si="2"/>
        <v>0</v>
      </c>
      <c r="AA24" s="83">
        <f t="shared" si="15"/>
        <v>0</v>
      </c>
      <c r="AB24" s="94">
        <f t="shared" si="16"/>
        <v>0</v>
      </c>
      <c r="AC24" s="106">
        <f t="shared" si="17"/>
        <v>0</v>
      </c>
      <c r="AD24" s="93"/>
      <c r="AE24" s="105">
        <f t="shared" si="18"/>
        <v>0</v>
      </c>
      <c r="AF24" s="105">
        <f t="shared" si="3"/>
        <v>0</v>
      </c>
      <c r="AG24" s="83">
        <f t="shared" si="19"/>
        <v>0</v>
      </c>
      <c r="AH24" s="94">
        <f t="shared" si="20"/>
        <v>0</v>
      </c>
      <c r="AI24" s="106">
        <f t="shared" si="21"/>
        <v>0</v>
      </c>
      <c r="AJ24" s="93"/>
    </row>
    <row r="25" spans="1:36" ht="15">
      <c r="A25" s="80" t="s">
        <v>473</v>
      </c>
      <c r="B25" s="81" t="s">
        <v>122</v>
      </c>
      <c r="C25" s="82" t="str">
        <f>VLOOKUP(B25,'DATOS ASIGNACIÓN'!B:I,4,0)</f>
        <v>45752839C</v>
      </c>
      <c r="D25" s="82">
        <f>COUNTIFS('LISTADOS TFM'!D:D,Pagos!B25,'LISTADOS TFM'!S:S,"SÍ")</f>
        <v>0</v>
      </c>
      <c r="E25" s="82">
        <f>COUNTIF('LISTADOS TFM'!J:L,Pagos!B25)</f>
        <v>0</v>
      </c>
      <c r="F25" s="82"/>
      <c r="G25" s="83">
        <f t="shared" si="0"/>
        <v>0</v>
      </c>
      <c r="H25" s="83">
        <f t="shared" si="1"/>
        <v>0</v>
      </c>
      <c r="I25" s="84"/>
      <c r="J25" s="82">
        <f t="shared" si="4"/>
        <v>0</v>
      </c>
      <c r="K25" s="85">
        <f t="shared" si="5"/>
        <v>0</v>
      </c>
      <c r="L25" s="86"/>
      <c r="M25" s="105">
        <f t="shared" si="6"/>
        <v>0</v>
      </c>
      <c r="N25" s="105">
        <f t="shared" si="6"/>
        <v>0</v>
      </c>
      <c r="O25" s="83">
        <f t="shared" si="7"/>
        <v>0</v>
      </c>
      <c r="P25" s="94">
        <f t="shared" si="8"/>
        <v>0</v>
      </c>
      <c r="Q25" s="106">
        <f t="shared" si="9"/>
        <v>0</v>
      </c>
      <c r="R25" s="93"/>
      <c r="S25" s="105">
        <f t="shared" si="10"/>
        <v>0</v>
      </c>
      <c r="T25" s="105">
        <f t="shared" si="10"/>
        <v>0</v>
      </c>
      <c r="U25" s="83">
        <f t="shared" si="11"/>
        <v>0</v>
      </c>
      <c r="V25" s="94">
        <f t="shared" si="12"/>
        <v>0</v>
      </c>
      <c r="W25" s="106">
        <f t="shared" si="13"/>
        <v>0</v>
      </c>
      <c r="X25" s="93"/>
      <c r="Y25" s="105">
        <f t="shared" si="14"/>
        <v>0</v>
      </c>
      <c r="Z25" s="105">
        <f t="shared" si="2"/>
        <v>0</v>
      </c>
      <c r="AA25" s="83">
        <f t="shared" si="15"/>
        <v>0</v>
      </c>
      <c r="AB25" s="94">
        <f t="shared" si="16"/>
        <v>0</v>
      </c>
      <c r="AC25" s="106">
        <f t="shared" si="17"/>
        <v>0</v>
      </c>
      <c r="AD25" s="93"/>
      <c r="AE25" s="105">
        <f t="shared" si="18"/>
        <v>0</v>
      </c>
      <c r="AF25" s="105">
        <f t="shared" si="3"/>
        <v>0</v>
      </c>
      <c r="AG25" s="83">
        <f t="shared" si="19"/>
        <v>0</v>
      </c>
      <c r="AH25" s="94">
        <f t="shared" si="20"/>
        <v>0</v>
      </c>
      <c r="AI25" s="106">
        <f t="shared" si="21"/>
        <v>0</v>
      </c>
      <c r="AJ25" s="93"/>
    </row>
    <row r="26" spans="1:36" ht="15">
      <c r="A26" s="80" t="s">
        <v>473</v>
      </c>
      <c r="B26" s="81" t="s">
        <v>126</v>
      </c>
      <c r="C26" s="82" t="str">
        <f>VLOOKUP(B26,'DATOS ASIGNACIÓN'!B:I,4,0)</f>
        <v>21011903T</v>
      </c>
      <c r="D26" s="82">
        <f>COUNTIFS('LISTADOS TFM'!D:D,Pagos!B26,'LISTADOS TFM'!S:S,"SÍ")</f>
        <v>0</v>
      </c>
      <c r="E26" s="82">
        <f>COUNTIF('LISTADOS TFM'!J:L,Pagos!B26)</f>
        <v>0</v>
      </c>
      <c r="F26" s="82"/>
      <c r="G26" s="83">
        <f t="shared" si="0"/>
        <v>0</v>
      </c>
      <c r="H26" s="83">
        <f t="shared" si="1"/>
        <v>0</v>
      </c>
      <c r="I26" s="84"/>
      <c r="J26" s="82">
        <f t="shared" si="4"/>
        <v>0</v>
      </c>
      <c r="K26" s="85">
        <f t="shared" si="5"/>
        <v>0</v>
      </c>
      <c r="L26" s="86"/>
      <c r="M26" s="105">
        <f t="shared" si="6"/>
        <v>0</v>
      </c>
      <c r="N26" s="105">
        <f t="shared" si="6"/>
        <v>0</v>
      </c>
      <c r="O26" s="83">
        <f t="shared" si="7"/>
        <v>0</v>
      </c>
      <c r="P26" s="94">
        <f t="shared" si="8"/>
        <v>0</v>
      </c>
      <c r="Q26" s="106">
        <f t="shared" si="9"/>
        <v>0</v>
      </c>
      <c r="R26" s="93"/>
      <c r="S26" s="105">
        <f t="shared" si="10"/>
        <v>0</v>
      </c>
      <c r="T26" s="105">
        <f t="shared" si="10"/>
        <v>0</v>
      </c>
      <c r="U26" s="83">
        <f t="shared" si="11"/>
        <v>0</v>
      </c>
      <c r="V26" s="94">
        <f t="shared" si="12"/>
        <v>0</v>
      </c>
      <c r="W26" s="106">
        <f t="shared" si="13"/>
        <v>0</v>
      </c>
      <c r="X26" s="93"/>
      <c r="Y26" s="105">
        <f t="shared" si="14"/>
        <v>0</v>
      </c>
      <c r="Z26" s="105">
        <f t="shared" si="2"/>
        <v>0</v>
      </c>
      <c r="AA26" s="83">
        <f t="shared" si="15"/>
        <v>0</v>
      </c>
      <c r="AB26" s="94">
        <f t="shared" si="16"/>
        <v>0</v>
      </c>
      <c r="AC26" s="106">
        <f t="shared" si="17"/>
        <v>0</v>
      </c>
      <c r="AD26" s="93"/>
      <c r="AE26" s="105">
        <f t="shared" si="18"/>
        <v>0</v>
      </c>
      <c r="AF26" s="105">
        <f t="shared" si="3"/>
        <v>0</v>
      </c>
      <c r="AG26" s="83">
        <f t="shared" si="19"/>
        <v>0</v>
      </c>
      <c r="AH26" s="94">
        <f t="shared" si="20"/>
        <v>0</v>
      </c>
      <c r="AI26" s="106">
        <f t="shared" si="21"/>
        <v>0</v>
      </c>
      <c r="AJ26" s="93"/>
    </row>
    <row r="27" spans="1:36" ht="15">
      <c r="A27" s="80" t="s">
        <v>473</v>
      </c>
      <c r="B27" s="81" t="s">
        <v>474</v>
      </c>
      <c r="C27" s="82" t="str">
        <f>VLOOKUP(B27,'DATOS ASIGNACIÓN'!B:I,4,0)</f>
        <v>18459003P</v>
      </c>
      <c r="D27" s="82">
        <f>COUNTIFS('LISTADOS TFM'!D:D,Pagos!B27,'LISTADOS TFM'!S:S,"SÍ")</f>
        <v>0</v>
      </c>
      <c r="E27" s="82">
        <f>COUNTIF('LISTADOS TFM'!J:L,Pagos!B27)</f>
        <v>0</v>
      </c>
      <c r="F27" s="82"/>
      <c r="G27" s="83">
        <f t="shared" si="0"/>
        <v>0</v>
      </c>
      <c r="H27" s="83">
        <f t="shared" si="1"/>
        <v>0</v>
      </c>
      <c r="I27" s="84"/>
      <c r="J27" s="82">
        <f t="shared" si="4"/>
        <v>0</v>
      </c>
      <c r="K27" s="85">
        <f t="shared" si="5"/>
        <v>0</v>
      </c>
      <c r="L27" s="86"/>
      <c r="M27" s="105">
        <f t="shared" si="6"/>
        <v>0</v>
      </c>
      <c r="N27" s="105">
        <f t="shared" si="6"/>
        <v>0</v>
      </c>
      <c r="O27" s="83">
        <f t="shared" si="7"/>
        <v>0</v>
      </c>
      <c r="P27" s="94">
        <f t="shared" si="8"/>
        <v>0</v>
      </c>
      <c r="Q27" s="106">
        <f t="shared" si="9"/>
        <v>0</v>
      </c>
      <c r="R27" s="93"/>
      <c r="S27" s="105">
        <f t="shared" si="10"/>
        <v>0</v>
      </c>
      <c r="T27" s="105">
        <f t="shared" si="10"/>
        <v>0</v>
      </c>
      <c r="U27" s="83">
        <f t="shared" si="11"/>
        <v>0</v>
      </c>
      <c r="V27" s="94">
        <f t="shared" si="12"/>
        <v>0</v>
      </c>
      <c r="W27" s="106">
        <f t="shared" si="13"/>
        <v>0</v>
      </c>
      <c r="X27" s="93"/>
      <c r="Y27" s="105">
        <f t="shared" si="14"/>
        <v>0</v>
      </c>
      <c r="Z27" s="105">
        <f t="shared" si="2"/>
        <v>0</v>
      </c>
      <c r="AA27" s="83">
        <f t="shared" si="15"/>
        <v>0</v>
      </c>
      <c r="AB27" s="94">
        <f t="shared" si="16"/>
        <v>0</v>
      </c>
      <c r="AC27" s="106">
        <f t="shared" si="17"/>
        <v>0</v>
      </c>
      <c r="AD27" s="93"/>
      <c r="AE27" s="105">
        <f t="shared" si="18"/>
        <v>0</v>
      </c>
      <c r="AF27" s="105">
        <f t="shared" si="3"/>
        <v>0</v>
      </c>
      <c r="AG27" s="83">
        <f t="shared" si="19"/>
        <v>0</v>
      </c>
      <c r="AH27" s="94">
        <f t="shared" si="20"/>
        <v>0</v>
      </c>
      <c r="AI27" s="106">
        <f t="shared" si="21"/>
        <v>0</v>
      </c>
      <c r="AJ27" s="93"/>
    </row>
    <row r="28" spans="1:36" ht="15">
      <c r="A28" s="80" t="s">
        <v>473</v>
      </c>
      <c r="B28" s="81" t="s">
        <v>88</v>
      </c>
      <c r="C28" s="82" t="str">
        <f>VLOOKUP(B28,'DATOS ASIGNACIÓN'!B:I,4,0)</f>
        <v>07981414T</v>
      </c>
      <c r="D28" s="82">
        <f>COUNTIFS('LISTADOS TFM'!D:D,Pagos!B28,'LISTADOS TFM'!S:S,"SÍ")</f>
        <v>0</v>
      </c>
      <c r="E28" s="82">
        <f>COUNTIF('LISTADOS TFM'!J:L,Pagos!B28)</f>
        <v>0</v>
      </c>
      <c r="F28" s="82"/>
      <c r="G28" s="83">
        <f t="shared" si="0"/>
        <v>0</v>
      </c>
      <c r="H28" s="83">
        <f t="shared" si="1"/>
        <v>0</v>
      </c>
      <c r="I28" s="84"/>
      <c r="J28" s="82">
        <f t="shared" si="4"/>
        <v>0</v>
      </c>
      <c r="K28" s="85">
        <f t="shared" si="5"/>
        <v>0</v>
      </c>
      <c r="L28" s="86"/>
      <c r="M28" s="105">
        <f t="shared" si="6"/>
        <v>0</v>
      </c>
      <c r="N28" s="105">
        <f t="shared" si="6"/>
        <v>0</v>
      </c>
      <c r="O28" s="83">
        <f t="shared" si="7"/>
        <v>0</v>
      </c>
      <c r="P28" s="94">
        <f t="shared" si="8"/>
        <v>0</v>
      </c>
      <c r="Q28" s="106">
        <f t="shared" si="9"/>
        <v>0</v>
      </c>
      <c r="R28" s="93"/>
      <c r="S28" s="105">
        <f t="shared" si="10"/>
        <v>0</v>
      </c>
      <c r="T28" s="105">
        <f t="shared" si="10"/>
        <v>0</v>
      </c>
      <c r="U28" s="83">
        <f t="shared" si="11"/>
        <v>0</v>
      </c>
      <c r="V28" s="94">
        <f t="shared" si="12"/>
        <v>0</v>
      </c>
      <c r="W28" s="106">
        <f t="shared" si="13"/>
        <v>0</v>
      </c>
      <c r="X28" s="93"/>
      <c r="Y28" s="105">
        <f t="shared" si="14"/>
        <v>0</v>
      </c>
      <c r="Z28" s="105">
        <f t="shared" si="2"/>
        <v>0</v>
      </c>
      <c r="AA28" s="83">
        <f t="shared" si="15"/>
        <v>0</v>
      </c>
      <c r="AB28" s="94">
        <f t="shared" si="16"/>
        <v>0</v>
      </c>
      <c r="AC28" s="106">
        <f t="shared" si="17"/>
        <v>0</v>
      </c>
      <c r="AD28" s="93"/>
      <c r="AE28" s="105">
        <f t="shared" si="18"/>
        <v>0</v>
      </c>
      <c r="AF28" s="105">
        <f t="shared" si="3"/>
        <v>0</v>
      </c>
      <c r="AG28" s="83">
        <f t="shared" si="19"/>
        <v>0</v>
      </c>
      <c r="AH28" s="94">
        <f t="shared" si="20"/>
        <v>0</v>
      </c>
      <c r="AI28" s="106">
        <f t="shared" si="21"/>
        <v>0</v>
      </c>
      <c r="AJ28" s="93"/>
    </row>
    <row r="29" spans="1:36" ht="15">
      <c r="A29" s="80" t="s">
        <v>473</v>
      </c>
      <c r="B29" s="81" t="s">
        <v>265</v>
      </c>
      <c r="C29" s="82" t="str">
        <f>VLOOKUP(B29,'DATOS ASIGNACIÓN'!B:I,4,0)</f>
        <v>23300658W</v>
      </c>
      <c r="D29" s="82">
        <f>COUNTIFS('LISTADOS TFM'!D:D,Pagos!B29,'LISTADOS TFM'!S:S,"SÍ")</f>
        <v>0</v>
      </c>
      <c r="E29" s="82">
        <f>COUNTIF('LISTADOS TFM'!J:L,Pagos!B29)</f>
        <v>0</v>
      </c>
      <c r="F29" s="82"/>
      <c r="G29" s="83">
        <f t="shared" si="0"/>
        <v>0</v>
      </c>
      <c r="H29" s="83">
        <f t="shared" si="1"/>
        <v>0</v>
      </c>
      <c r="I29" s="84"/>
      <c r="J29" s="82">
        <f t="shared" si="4"/>
        <v>0</v>
      </c>
      <c r="K29" s="85">
        <f t="shared" si="5"/>
        <v>0</v>
      </c>
      <c r="L29" s="86"/>
      <c r="M29" s="105">
        <f t="shared" si="6"/>
        <v>0</v>
      </c>
      <c r="N29" s="105">
        <f t="shared" si="6"/>
        <v>0</v>
      </c>
      <c r="O29" s="83">
        <f t="shared" si="7"/>
        <v>0</v>
      </c>
      <c r="P29" s="94">
        <f t="shared" si="8"/>
        <v>0</v>
      </c>
      <c r="Q29" s="106">
        <f t="shared" si="9"/>
        <v>0</v>
      </c>
      <c r="R29" s="93"/>
      <c r="S29" s="105">
        <f t="shared" si="10"/>
        <v>0</v>
      </c>
      <c r="T29" s="105">
        <f t="shared" si="10"/>
        <v>0</v>
      </c>
      <c r="U29" s="83">
        <f t="shared" si="11"/>
        <v>0</v>
      </c>
      <c r="V29" s="94">
        <f t="shared" si="12"/>
        <v>0</v>
      </c>
      <c r="W29" s="106">
        <f t="shared" si="13"/>
        <v>0</v>
      </c>
      <c r="X29" s="93"/>
      <c r="Y29" s="105">
        <f t="shared" si="14"/>
        <v>0</v>
      </c>
      <c r="Z29" s="105">
        <f t="shared" si="2"/>
        <v>0</v>
      </c>
      <c r="AA29" s="83">
        <f t="shared" si="15"/>
        <v>0</v>
      </c>
      <c r="AB29" s="94">
        <f t="shared" si="16"/>
        <v>0</v>
      </c>
      <c r="AC29" s="106">
        <f t="shared" si="17"/>
        <v>0</v>
      </c>
      <c r="AD29" s="93"/>
      <c r="AE29" s="105">
        <f t="shared" si="18"/>
        <v>0</v>
      </c>
      <c r="AF29" s="105">
        <f t="shared" si="3"/>
        <v>0</v>
      </c>
      <c r="AG29" s="83">
        <f t="shared" si="19"/>
        <v>0</v>
      </c>
      <c r="AH29" s="94">
        <f t="shared" si="20"/>
        <v>0</v>
      </c>
      <c r="AI29" s="106">
        <f t="shared" si="21"/>
        <v>0</v>
      </c>
      <c r="AJ29" s="93"/>
    </row>
    <row r="30" spans="1:36" ht="15">
      <c r="A30" s="80" t="s">
        <v>473</v>
      </c>
      <c r="B30" s="81" t="s">
        <v>104</v>
      </c>
      <c r="C30" s="82" t="str">
        <f>VLOOKUP(B30,'DATOS ASIGNACIÓN'!B:I,4,0)</f>
        <v>52653545J</v>
      </c>
      <c r="D30" s="82">
        <f>COUNTIFS('LISTADOS TFM'!D:D,Pagos!B30,'LISTADOS TFM'!S:S,"SÍ")</f>
        <v>0</v>
      </c>
      <c r="E30" s="82">
        <f>COUNTIF('LISTADOS TFM'!J:L,Pagos!B30)</f>
        <v>0</v>
      </c>
      <c r="F30" s="82"/>
      <c r="G30" s="83">
        <f t="shared" si="0"/>
        <v>0</v>
      </c>
      <c r="H30" s="83">
        <f t="shared" si="1"/>
        <v>0</v>
      </c>
      <c r="I30" s="84"/>
      <c r="J30" s="82">
        <f t="shared" si="4"/>
        <v>0</v>
      </c>
      <c r="K30" s="85">
        <f t="shared" si="5"/>
        <v>0</v>
      </c>
      <c r="L30" s="86"/>
      <c r="M30" s="105">
        <f t="shared" si="6"/>
        <v>0</v>
      </c>
      <c r="N30" s="105">
        <f t="shared" si="6"/>
        <v>0</v>
      </c>
      <c r="O30" s="83">
        <f t="shared" si="7"/>
        <v>0</v>
      </c>
      <c r="P30" s="94">
        <f t="shared" si="8"/>
        <v>0</v>
      </c>
      <c r="Q30" s="106">
        <f t="shared" si="9"/>
        <v>0</v>
      </c>
      <c r="R30" s="93"/>
      <c r="S30" s="105">
        <f t="shared" si="10"/>
        <v>0</v>
      </c>
      <c r="T30" s="105">
        <f t="shared" si="10"/>
        <v>0</v>
      </c>
      <c r="U30" s="83">
        <f t="shared" si="11"/>
        <v>0</v>
      </c>
      <c r="V30" s="94">
        <f t="shared" si="12"/>
        <v>0</v>
      </c>
      <c r="W30" s="106">
        <f t="shared" si="13"/>
        <v>0</v>
      </c>
      <c r="X30" s="93"/>
      <c r="Y30" s="105">
        <f t="shared" si="14"/>
        <v>0</v>
      </c>
      <c r="Z30" s="105">
        <f t="shared" si="2"/>
        <v>0</v>
      </c>
      <c r="AA30" s="83">
        <f t="shared" si="15"/>
        <v>0</v>
      </c>
      <c r="AB30" s="94">
        <f t="shared" si="16"/>
        <v>0</v>
      </c>
      <c r="AC30" s="106">
        <f t="shared" si="17"/>
        <v>0</v>
      </c>
      <c r="AD30" s="93"/>
      <c r="AE30" s="105">
        <f t="shared" si="18"/>
        <v>0</v>
      </c>
      <c r="AF30" s="105">
        <f t="shared" si="3"/>
        <v>0</v>
      </c>
      <c r="AG30" s="83">
        <f t="shared" si="19"/>
        <v>0</v>
      </c>
      <c r="AH30" s="94">
        <f t="shared" si="20"/>
        <v>0</v>
      </c>
      <c r="AI30" s="106">
        <f t="shared" si="21"/>
        <v>0</v>
      </c>
      <c r="AJ30" s="93"/>
    </row>
    <row r="31" spans="1:36" ht="15">
      <c r="A31" s="80" t="s">
        <v>473</v>
      </c>
      <c r="B31" s="81" t="s">
        <v>84</v>
      </c>
      <c r="C31" s="82" t="str">
        <f>VLOOKUP(B31,'DATOS ASIGNACIÓN'!B:I,4,0)</f>
        <v>44863903B</v>
      </c>
      <c r="D31" s="82">
        <f>COUNTIFS('LISTADOS TFM'!D:D,Pagos!B31,'LISTADOS TFM'!S:S,"SÍ")</f>
        <v>0</v>
      </c>
      <c r="E31" s="82">
        <f>COUNTIF('LISTADOS TFM'!J:L,Pagos!B31)</f>
        <v>0</v>
      </c>
      <c r="F31" s="82"/>
      <c r="G31" s="83">
        <f t="shared" si="0"/>
        <v>0</v>
      </c>
      <c r="H31" s="83">
        <f t="shared" si="1"/>
        <v>0</v>
      </c>
      <c r="I31" s="84"/>
      <c r="J31" s="82">
        <f t="shared" si="4"/>
        <v>0</v>
      </c>
      <c r="K31" s="85">
        <f t="shared" si="5"/>
        <v>0</v>
      </c>
      <c r="L31" s="86"/>
      <c r="M31" s="105">
        <f t="shared" si="6"/>
        <v>0</v>
      </c>
      <c r="N31" s="105">
        <f t="shared" si="6"/>
        <v>0</v>
      </c>
      <c r="O31" s="83">
        <f t="shared" si="7"/>
        <v>0</v>
      </c>
      <c r="P31" s="94">
        <f t="shared" si="8"/>
        <v>0</v>
      </c>
      <c r="Q31" s="106">
        <f t="shared" si="9"/>
        <v>0</v>
      </c>
      <c r="R31" s="93"/>
      <c r="S31" s="105">
        <f t="shared" si="10"/>
        <v>0</v>
      </c>
      <c r="T31" s="105">
        <f t="shared" si="10"/>
        <v>0</v>
      </c>
      <c r="U31" s="83">
        <f t="shared" si="11"/>
        <v>0</v>
      </c>
      <c r="V31" s="94">
        <f t="shared" si="12"/>
        <v>0</v>
      </c>
      <c r="W31" s="106">
        <f t="shared" si="13"/>
        <v>0</v>
      </c>
      <c r="X31" s="93"/>
      <c r="Y31" s="105">
        <f t="shared" si="14"/>
        <v>0</v>
      </c>
      <c r="Z31" s="105">
        <f t="shared" si="2"/>
        <v>0</v>
      </c>
      <c r="AA31" s="83">
        <f t="shared" si="15"/>
        <v>0</v>
      </c>
      <c r="AB31" s="94">
        <f t="shared" si="16"/>
        <v>0</v>
      </c>
      <c r="AC31" s="106">
        <f t="shared" si="17"/>
        <v>0</v>
      </c>
      <c r="AD31" s="93"/>
      <c r="AE31" s="105">
        <f t="shared" si="18"/>
        <v>0</v>
      </c>
      <c r="AF31" s="105">
        <f t="shared" si="3"/>
        <v>0</v>
      </c>
      <c r="AG31" s="83">
        <f t="shared" si="19"/>
        <v>0</v>
      </c>
      <c r="AH31" s="94">
        <f t="shared" si="20"/>
        <v>0</v>
      </c>
      <c r="AI31" s="106">
        <f t="shared" si="21"/>
        <v>0</v>
      </c>
      <c r="AJ31" s="93"/>
    </row>
    <row r="32" spans="1:36" ht="15">
      <c r="A32" s="80" t="s">
        <v>473</v>
      </c>
      <c r="B32" s="81" t="s">
        <v>146</v>
      </c>
      <c r="C32" s="82" t="str">
        <f>VLOOKUP(B32,'DATOS ASIGNACIÓN'!B:I,4,0)</f>
        <v>06339169R</v>
      </c>
      <c r="D32" s="82">
        <f>COUNTIFS('LISTADOS TFM'!D:D,Pagos!B32,'LISTADOS TFM'!S:S,"SÍ")</f>
        <v>0</v>
      </c>
      <c r="E32" s="82">
        <f>COUNTIF('LISTADOS TFM'!J:L,Pagos!B32)</f>
        <v>0</v>
      </c>
      <c r="F32" s="82"/>
      <c r="G32" s="83">
        <f t="shared" si="0"/>
        <v>0</v>
      </c>
      <c r="H32" s="83">
        <f t="shared" si="1"/>
        <v>0</v>
      </c>
      <c r="I32" s="84"/>
      <c r="J32" s="82">
        <f t="shared" si="4"/>
        <v>0</v>
      </c>
      <c r="K32" s="85">
        <f t="shared" si="5"/>
        <v>0</v>
      </c>
      <c r="L32" s="86"/>
      <c r="M32" s="105">
        <f t="shared" si="6"/>
        <v>0</v>
      </c>
      <c r="N32" s="105">
        <f t="shared" si="6"/>
        <v>0</v>
      </c>
      <c r="O32" s="83">
        <f t="shared" si="7"/>
        <v>0</v>
      </c>
      <c r="P32" s="94">
        <f t="shared" si="8"/>
        <v>0</v>
      </c>
      <c r="Q32" s="106">
        <f t="shared" si="9"/>
        <v>0</v>
      </c>
      <c r="R32" s="93"/>
      <c r="S32" s="105">
        <f t="shared" si="10"/>
        <v>0</v>
      </c>
      <c r="T32" s="105">
        <f t="shared" si="10"/>
        <v>0</v>
      </c>
      <c r="U32" s="83">
        <f t="shared" si="11"/>
        <v>0</v>
      </c>
      <c r="V32" s="94">
        <f t="shared" si="12"/>
        <v>0</v>
      </c>
      <c r="W32" s="106">
        <f t="shared" si="13"/>
        <v>0</v>
      </c>
      <c r="X32" s="93"/>
      <c r="Y32" s="105">
        <f t="shared" si="14"/>
        <v>0</v>
      </c>
      <c r="Z32" s="105">
        <f t="shared" si="2"/>
        <v>0</v>
      </c>
      <c r="AA32" s="83">
        <f t="shared" si="15"/>
        <v>0</v>
      </c>
      <c r="AB32" s="94">
        <f t="shared" si="16"/>
        <v>0</v>
      </c>
      <c r="AC32" s="106">
        <f t="shared" si="17"/>
        <v>0</v>
      </c>
      <c r="AD32" s="93"/>
      <c r="AE32" s="105">
        <f t="shared" si="18"/>
        <v>0</v>
      </c>
      <c r="AF32" s="105">
        <f t="shared" si="3"/>
        <v>0</v>
      </c>
      <c r="AG32" s="83">
        <f t="shared" si="19"/>
        <v>0</v>
      </c>
      <c r="AH32" s="94">
        <f t="shared" si="20"/>
        <v>0</v>
      </c>
      <c r="AI32" s="106">
        <f t="shared" si="21"/>
        <v>0</v>
      </c>
      <c r="AJ32" s="93"/>
    </row>
    <row r="33" spans="1:36" ht="15">
      <c r="A33" s="80" t="s">
        <v>473</v>
      </c>
      <c r="B33" s="81" t="s">
        <v>140</v>
      </c>
      <c r="C33" s="82" t="str">
        <f>VLOOKUP(B33,'DATOS ASIGNACIÓN'!B:I,4,0)</f>
        <v>44891300S</v>
      </c>
      <c r="D33" s="82">
        <f>COUNTIFS('LISTADOS TFM'!D:D,Pagos!B33,'LISTADOS TFM'!S:S,"SÍ")</f>
        <v>0</v>
      </c>
      <c r="E33" s="82">
        <f>COUNTIF('LISTADOS TFM'!J:L,Pagos!B33)</f>
        <v>0</v>
      </c>
      <c r="F33" s="82"/>
      <c r="G33" s="83">
        <f t="shared" si="0"/>
        <v>0</v>
      </c>
      <c r="H33" s="83">
        <f t="shared" si="1"/>
        <v>0</v>
      </c>
      <c r="I33" s="84"/>
      <c r="J33" s="82">
        <f t="shared" si="4"/>
        <v>0</v>
      </c>
      <c r="K33" s="85">
        <f t="shared" si="5"/>
        <v>0</v>
      </c>
      <c r="L33" s="86"/>
      <c r="M33" s="105">
        <f t="shared" si="6"/>
        <v>0</v>
      </c>
      <c r="N33" s="105">
        <f t="shared" si="6"/>
        <v>0</v>
      </c>
      <c r="O33" s="83">
        <f t="shared" si="7"/>
        <v>0</v>
      </c>
      <c r="P33" s="94">
        <f t="shared" si="8"/>
        <v>0</v>
      </c>
      <c r="Q33" s="106">
        <f t="shared" si="9"/>
        <v>0</v>
      </c>
      <c r="R33" s="93"/>
      <c r="S33" s="105">
        <f t="shared" si="10"/>
        <v>0</v>
      </c>
      <c r="T33" s="105">
        <f t="shared" si="10"/>
        <v>0</v>
      </c>
      <c r="U33" s="83">
        <f t="shared" si="11"/>
        <v>0</v>
      </c>
      <c r="V33" s="94">
        <f t="shared" si="12"/>
        <v>0</v>
      </c>
      <c r="W33" s="106">
        <f t="shared" si="13"/>
        <v>0</v>
      </c>
      <c r="X33" s="93"/>
      <c r="Y33" s="105">
        <f t="shared" si="14"/>
        <v>0</v>
      </c>
      <c r="Z33" s="105">
        <f t="shared" si="2"/>
        <v>0</v>
      </c>
      <c r="AA33" s="83">
        <f t="shared" si="15"/>
        <v>0</v>
      </c>
      <c r="AB33" s="94">
        <f t="shared" si="16"/>
        <v>0</v>
      </c>
      <c r="AC33" s="106">
        <f t="shared" si="17"/>
        <v>0</v>
      </c>
      <c r="AD33" s="93"/>
      <c r="AE33" s="105">
        <f t="shared" si="18"/>
        <v>0</v>
      </c>
      <c r="AF33" s="105">
        <f t="shared" si="3"/>
        <v>0</v>
      </c>
      <c r="AG33" s="83">
        <f t="shared" si="19"/>
        <v>0</v>
      </c>
      <c r="AH33" s="94">
        <f t="shared" si="20"/>
        <v>0</v>
      </c>
      <c r="AI33" s="106">
        <f t="shared" si="21"/>
        <v>0</v>
      </c>
      <c r="AJ33" s="93"/>
    </row>
    <row r="34" spans="1:36" ht="15">
      <c r="A34" s="80" t="s">
        <v>473</v>
      </c>
      <c r="B34" s="81" t="s">
        <v>165</v>
      </c>
      <c r="C34" s="82" t="str">
        <f>VLOOKUP(B34,'DATOS ASIGNACIÓN'!B:I,4,0)</f>
        <v>X5510546E</v>
      </c>
      <c r="D34" s="82">
        <f>COUNTIFS('LISTADOS TFM'!D:D,Pagos!B34,'LISTADOS TFM'!S:S,"SÍ")</f>
        <v>0</v>
      </c>
      <c r="E34" s="82">
        <f>COUNTIF('LISTADOS TFM'!J:L,Pagos!B34)</f>
        <v>0</v>
      </c>
      <c r="F34" s="82"/>
      <c r="G34" s="83">
        <f t="shared" si="0"/>
        <v>0</v>
      </c>
      <c r="H34" s="83">
        <f t="shared" si="1"/>
        <v>0</v>
      </c>
      <c r="I34" s="84"/>
      <c r="J34" s="82">
        <f t="shared" si="4"/>
        <v>0</v>
      </c>
      <c r="K34" s="85">
        <f t="shared" si="5"/>
        <v>0</v>
      </c>
      <c r="L34" s="86"/>
      <c r="M34" s="105">
        <f t="shared" si="6"/>
        <v>0</v>
      </c>
      <c r="N34" s="105">
        <f t="shared" si="6"/>
        <v>0</v>
      </c>
      <c r="O34" s="83">
        <f t="shared" si="7"/>
        <v>0</v>
      </c>
      <c r="P34" s="94">
        <f t="shared" si="8"/>
        <v>0</v>
      </c>
      <c r="Q34" s="106">
        <f t="shared" si="9"/>
        <v>0</v>
      </c>
      <c r="R34" s="93"/>
      <c r="S34" s="105">
        <f t="shared" si="10"/>
        <v>0</v>
      </c>
      <c r="T34" s="105">
        <f t="shared" si="10"/>
        <v>0</v>
      </c>
      <c r="U34" s="83">
        <f t="shared" si="11"/>
        <v>0</v>
      </c>
      <c r="V34" s="94">
        <f t="shared" si="12"/>
        <v>0</v>
      </c>
      <c r="W34" s="106">
        <f t="shared" si="13"/>
        <v>0</v>
      </c>
      <c r="X34" s="93"/>
      <c r="Y34" s="105">
        <f t="shared" si="14"/>
        <v>0</v>
      </c>
      <c r="Z34" s="105">
        <f t="shared" si="2"/>
        <v>0</v>
      </c>
      <c r="AA34" s="83">
        <f t="shared" si="15"/>
        <v>0</v>
      </c>
      <c r="AB34" s="94">
        <f t="shared" si="16"/>
        <v>0</v>
      </c>
      <c r="AC34" s="106">
        <f t="shared" si="17"/>
        <v>0</v>
      </c>
      <c r="AD34" s="93"/>
      <c r="AE34" s="105">
        <f t="shared" si="18"/>
        <v>0</v>
      </c>
      <c r="AF34" s="105">
        <f t="shared" si="3"/>
        <v>0</v>
      </c>
      <c r="AG34" s="83">
        <f t="shared" si="19"/>
        <v>0</v>
      </c>
      <c r="AH34" s="94">
        <f t="shared" si="20"/>
        <v>0</v>
      </c>
      <c r="AI34" s="106">
        <f t="shared" si="21"/>
        <v>0</v>
      </c>
      <c r="AJ34" s="93"/>
    </row>
    <row r="35" spans="1:36" ht="15">
      <c r="A35" s="80" t="s">
        <v>473</v>
      </c>
      <c r="B35" s="81" t="s">
        <v>475</v>
      </c>
      <c r="C35" s="82" t="str">
        <f>VLOOKUP(B35,'DATOS ASIGNACIÓN'!B:I,4,0)</f>
        <v>71902373A</v>
      </c>
      <c r="D35" s="82">
        <f>COUNTIFS('LISTADOS TFM'!D:D,Pagos!B35,'LISTADOS TFM'!S:S,"SÍ")</f>
        <v>0</v>
      </c>
      <c r="E35" s="82">
        <f>COUNTIF('LISTADOS TFM'!J:L,Pagos!B35)</f>
        <v>0</v>
      </c>
      <c r="F35" s="82"/>
      <c r="G35" s="83">
        <f t="shared" si="0"/>
        <v>0</v>
      </c>
      <c r="H35" s="83">
        <f t="shared" si="1"/>
        <v>0</v>
      </c>
      <c r="I35" s="84"/>
      <c r="J35" s="82">
        <f t="shared" si="4"/>
        <v>0</v>
      </c>
      <c r="K35" s="85">
        <f t="shared" si="5"/>
        <v>0</v>
      </c>
      <c r="L35" s="86"/>
      <c r="M35" s="105">
        <f t="shared" si="6"/>
        <v>0</v>
      </c>
      <c r="N35" s="105">
        <f t="shared" si="6"/>
        <v>0</v>
      </c>
      <c r="O35" s="83">
        <f t="shared" si="7"/>
        <v>0</v>
      </c>
      <c r="P35" s="94">
        <f t="shared" si="8"/>
        <v>0</v>
      </c>
      <c r="Q35" s="106">
        <f t="shared" si="9"/>
        <v>0</v>
      </c>
      <c r="R35" s="93"/>
      <c r="S35" s="105">
        <f t="shared" si="10"/>
        <v>0</v>
      </c>
      <c r="T35" s="105">
        <f t="shared" si="10"/>
        <v>0</v>
      </c>
      <c r="U35" s="83">
        <f t="shared" si="11"/>
        <v>0</v>
      </c>
      <c r="V35" s="94">
        <f t="shared" si="12"/>
        <v>0</v>
      </c>
      <c r="W35" s="106">
        <f t="shared" si="13"/>
        <v>0</v>
      </c>
      <c r="X35" s="93"/>
      <c r="Y35" s="105">
        <f t="shared" si="14"/>
        <v>0</v>
      </c>
      <c r="Z35" s="105">
        <f t="shared" si="2"/>
        <v>0</v>
      </c>
      <c r="AA35" s="83">
        <f t="shared" si="15"/>
        <v>0</v>
      </c>
      <c r="AB35" s="94">
        <f t="shared" si="16"/>
        <v>0</v>
      </c>
      <c r="AC35" s="106">
        <f t="shared" si="17"/>
        <v>0</v>
      </c>
      <c r="AD35" s="93"/>
      <c r="AE35" s="105">
        <f t="shared" si="18"/>
        <v>0</v>
      </c>
      <c r="AF35" s="105">
        <f t="shared" si="3"/>
        <v>0</v>
      </c>
      <c r="AG35" s="83">
        <f t="shared" si="19"/>
        <v>0</v>
      </c>
      <c r="AH35" s="94">
        <f t="shared" si="20"/>
        <v>0</v>
      </c>
      <c r="AI35" s="106">
        <f t="shared" si="21"/>
        <v>0</v>
      </c>
      <c r="AJ35" s="93"/>
    </row>
    <row r="36" spans="1:36" ht="15">
      <c r="A36" s="80" t="s">
        <v>473</v>
      </c>
      <c r="B36" s="81" t="s">
        <v>235</v>
      </c>
      <c r="C36" s="82" t="str">
        <f>VLOOKUP(B36,'DATOS ASIGNACIÓN'!B:I,4,0)</f>
        <v>53059391R</v>
      </c>
      <c r="D36" s="82">
        <f>COUNTIFS('LISTADOS TFM'!D:D,Pagos!B36,'LISTADOS TFM'!S:S,"SÍ")</f>
        <v>0</v>
      </c>
      <c r="E36" s="82">
        <f>COUNTIF('LISTADOS TFM'!J:L,Pagos!B36)</f>
        <v>0</v>
      </c>
      <c r="F36" s="82"/>
      <c r="G36" s="83">
        <f t="shared" si="0"/>
        <v>0</v>
      </c>
      <c r="H36" s="83">
        <f t="shared" si="1"/>
        <v>0</v>
      </c>
      <c r="I36" s="84"/>
      <c r="J36" s="82">
        <f t="shared" si="4"/>
        <v>0</v>
      </c>
      <c r="K36" s="85">
        <f t="shared" si="5"/>
        <v>0</v>
      </c>
      <c r="L36" s="86"/>
      <c r="M36" s="105">
        <f t="shared" si="6"/>
        <v>0</v>
      </c>
      <c r="N36" s="105">
        <f t="shared" si="6"/>
        <v>0</v>
      </c>
      <c r="O36" s="83">
        <f t="shared" si="7"/>
        <v>0</v>
      </c>
      <c r="P36" s="94">
        <f t="shared" si="8"/>
        <v>0</v>
      </c>
      <c r="Q36" s="106">
        <f t="shared" si="9"/>
        <v>0</v>
      </c>
      <c r="R36" s="93"/>
      <c r="S36" s="105">
        <f t="shared" si="10"/>
        <v>0</v>
      </c>
      <c r="T36" s="105">
        <f t="shared" si="10"/>
        <v>0</v>
      </c>
      <c r="U36" s="83">
        <f t="shared" si="11"/>
        <v>0</v>
      </c>
      <c r="V36" s="94">
        <f t="shared" si="12"/>
        <v>0</v>
      </c>
      <c r="W36" s="106">
        <f t="shared" si="13"/>
        <v>0</v>
      </c>
      <c r="X36" s="93"/>
      <c r="Y36" s="105">
        <f t="shared" si="14"/>
        <v>0</v>
      </c>
      <c r="Z36" s="105">
        <f t="shared" si="2"/>
        <v>0</v>
      </c>
      <c r="AA36" s="83">
        <f t="shared" si="15"/>
        <v>0</v>
      </c>
      <c r="AB36" s="94">
        <f t="shared" si="16"/>
        <v>0</v>
      </c>
      <c r="AC36" s="106">
        <f t="shared" si="17"/>
        <v>0</v>
      </c>
      <c r="AD36" s="93"/>
      <c r="AE36" s="105">
        <f t="shared" si="18"/>
        <v>0</v>
      </c>
      <c r="AF36" s="105">
        <f t="shared" si="3"/>
        <v>0</v>
      </c>
      <c r="AG36" s="83">
        <f t="shared" si="19"/>
        <v>0</v>
      </c>
      <c r="AH36" s="94">
        <f t="shared" si="20"/>
        <v>0</v>
      </c>
      <c r="AI36" s="106">
        <f t="shared" si="21"/>
        <v>0</v>
      </c>
      <c r="AJ36" s="93"/>
    </row>
    <row r="37" spans="1:36" ht="15">
      <c r="A37" s="80" t="s">
        <v>473</v>
      </c>
      <c r="B37" s="81" t="s">
        <v>476</v>
      </c>
      <c r="C37" s="82" t="e">
        <f>VLOOKUP(B37,'DATOS ASIGNACIÓN'!B:I,4,0)</f>
        <v>#N/A</v>
      </c>
      <c r="D37" s="82">
        <f>COUNTIFS('LISTADOS TFM'!D:D,Pagos!B37,'LISTADOS TFM'!S:S,"SÍ")</f>
        <v>0</v>
      </c>
      <c r="E37" s="82">
        <f>COUNTIF('LISTADOS TFM'!J:L,Pagos!B37)</f>
        <v>0</v>
      </c>
      <c r="F37" s="82"/>
      <c r="G37" s="83">
        <f t="shared" si="0"/>
        <v>0</v>
      </c>
      <c r="H37" s="83">
        <f t="shared" si="1"/>
        <v>0</v>
      </c>
      <c r="I37" s="84"/>
      <c r="J37" s="82">
        <f t="shared" si="4"/>
        <v>0</v>
      </c>
      <c r="K37" s="85">
        <f t="shared" si="5"/>
        <v>0</v>
      </c>
      <c r="L37" s="86"/>
      <c r="M37" s="105">
        <f t="shared" si="6"/>
        <v>0</v>
      </c>
      <c r="N37" s="105">
        <f t="shared" si="6"/>
        <v>0</v>
      </c>
      <c r="O37" s="83">
        <f t="shared" si="7"/>
        <v>0</v>
      </c>
      <c r="P37" s="94">
        <f t="shared" si="8"/>
        <v>0</v>
      </c>
      <c r="Q37" s="106">
        <f t="shared" si="9"/>
        <v>0</v>
      </c>
      <c r="R37" s="93"/>
      <c r="S37" s="105">
        <f t="shared" si="10"/>
        <v>0</v>
      </c>
      <c r="T37" s="105">
        <f t="shared" si="10"/>
        <v>0</v>
      </c>
      <c r="U37" s="83">
        <f t="shared" si="11"/>
        <v>0</v>
      </c>
      <c r="V37" s="94">
        <f t="shared" si="12"/>
        <v>0</v>
      </c>
      <c r="W37" s="106">
        <f t="shared" si="13"/>
        <v>0</v>
      </c>
      <c r="X37" s="93"/>
      <c r="Y37" s="105">
        <f t="shared" si="14"/>
        <v>0</v>
      </c>
      <c r="Z37" s="105">
        <f t="shared" si="2"/>
        <v>0</v>
      </c>
      <c r="AA37" s="83">
        <f t="shared" si="15"/>
        <v>0</v>
      </c>
      <c r="AB37" s="94">
        <f t="shared" si="16"/>
        <v>0</v>
      </c>
      <c r="AC37" s="106">
        <f t="shared" si="17"/>
        <v>0</v>
      </c>
      <c r="AD37" s="93"/>
      <c r="AE37" s="105">
        <f t="shared" si="18"/>
        <v>0</v>
      </c>
      <c r="AF37" s="105">
        <f t="shared" si="3"/>
        <v>0</v>
      </c>
      <c r="AG37" s="83">
        <f t="shared" si="19"/>
        <v>0</v>
      </c>
      <c r="AH37" s="94">
        <f t="shared" si="20"/>
        <v>0</v>
      </c>
      <c r="AI37" s="106">
        <f t="shared" si="21"/>
        <v>0</v>
      </c>
      <c r="AJ37" s="93"/>
    </row>
    <row r="38" spans="1:36" ht="15">
      <c r="A38" s="80" t="s">
        <v>473</v>
      </c>
      <c r="B38" s="81" t="s">
        <v>92</v>
      </c>
      <c r="C38" s="82" t="str">
        <f>VLOOKUP(B38,'DATOS ASIGNACIÓN'!B:I,4,0)</f>
        <v>CO10298955-4</v>
      </c>
      <c r="D38" s="82">
        <f>COUNTIFS('LISTADOS TFM'!D:D,Pagos!B38,'LISTADOS TFM'!S:S,"SÍ")</f>
        <v>0</v>
      </c>
      <c r="E38" s="82">
        <f>COUNTIF('LISTADOS TFM'!J:L,Pagos!B38)</f>
        <v>0</v>
      </c>
      <c r="F38" s="82"/>
      <c r="G38" s="83">
        <f t="shared" si="0"/>
        <v>0</v>
      </c>
      <c r="H38" s="83">
        <f t="shared" si="1"/>
        <v>0</v>
      </c>
      <c r="I38" s="84"/>
      <c r="J38" s="82">
        <f t="shared" si="4"/>
        <v>0</v>
      </c>
      <c r="K38" s="85">
        <f t="shared" si="5"/>
        <v>0</v>
      </c>
      <c r="L38" s="86"/>
      <c r="M38" s="105">
        <f t="shared" si="6"/>
        <v>0</v>
      </c>
      <c r="N38" s="105">
        <f t="shared" si="6"/>
        <v>0</v>
      </c>
      <c r="O38" s="83">
        <f t="shared" si="7"/>
        <v>0</v>
      </c>
      <c r="P38" s="94">
        <f t="shared" si="8"/>
        <v>0</v>
      </c>
      <c r="Q38" s="106">
        <f t="shared" si="9"/>
        <v>0</v>
      </c>
      <c r="R38" s="93"/>
      <c r="S38" s="105">
        <f t="shared" si="10"/>
        <v>0</v>
      </c>
      <c r="T38" s="105">
        <f t="shared" si="10"/>
        <v>0</v>
      </c>
      <c r="U38" s="83">
        <f t="shared" si="11"/>
        <v>0</v>
      </c>
      <c r="V38" s="94">
        <f t="shared" si="12"/>
        <v>0</v>
      </c>
      <c r="W38" s="106">
        <f t="shared" si="13"/>
        <v>0</v>
      </c>
      <c r="X38" s="93"/>
      <c r="Y38" s="105">
        <f t="shared" si="14"/>
        <v>0</v>
      </c>
      <c r="Z38" s="105">
        <f t="shared" si="2"/>
        <v>0</v>
      </c>
      <c r="AA38" s="83">
        <f t="shared" si="15"/>
        <v>0</v>
      </c>
      <c r="AB38" s="94">
        <f t="shared" si="16"/>
        <v>0</v>
      </c>
      <c r="AC38" s="106">
        <f t="shared" si="17"/>
        <v>0</v>
      </c>
      <c r="AD38" s="93"/>
      <c r="AE38" s="105">
        <f t="shared" si="18"/>
        <v>0</v>
      </c>
      <c r="AF38" s="105">
        <f t="shared" si="3"/>
        <v>0</v>
      </c>
      <c r="AG38" s="83">
        <f t="shared" si="19"/>
        <v>0</v>
      </c>
      <c r="AH38" s="94">
        <f t="shared" si="20"/>
        <v>0</v>
      </c>
      <c r="AI38" s="106">
        <f t="shared" si="21"/>
        <v>0</v>
      </c>
      <c r="AJ38" s="93"/>
    </row>
    <row r="39" spans="1:36" ht="15">
      <c r="A39" s="80" t="s">
        <v>473</v>
      </c>
      <c r="B39" s="81" t="s">
        <v>136</v>
      </c>
      <c r="C39" s="82" t="str">
        <f>VLOOKUP(B39,'DATOS ASIGNACIÓN'!B:I,4,0)</f>
        <v>47095124W</v>
      </c>
      <c r="D39" s="82">
        <f>COUNTIFS('LISTADOS TFM'!D:D,Pagos!B39,'LISTADOS TFM'!S:S,"SÍ")</f>
        <v>0</v>
      </c>
      <c r="E39" s="82">
        <f>COUNTIF('LISTADOS TFM'!J:L,Pagos!B39)</f>
        <v>0</v>
      </c>
      <c r="F39" s="82"/>
      <c r="G39" s="83">
        <f t="shared" si="0"/>
        <v>0</v>
      </c>
      <c r="H39" s="83">
        <f t="shared" si="1"/>
        <v>0</v>
      </c>
      <c r="I39" s="84"/>
      <c r="J39" s="82">
        <f t="shared" si="4"/>
        <v>0</v>
      </c>
      <c r="K39" s="85">
        <f t="shared" si="5"/>
        <v>0</v>
      </c>
      <c r="L39" s="86"/>
      <c r="M39" s="105">
        <f t="shared" si="6"/>
        <v>0</v>
      </c>
      <c r="N39" s="105">
        <f t="shared" si="6"/>
        <v>0</v>
      </c>
      <c r="O39" s="83">
        <f t="shared" si="7"/>
        <v>0</v>
      </c>
      <c r="P39" s="94">
        <f t="shared" si="8"/>
        <v>0</v>
      </c>
      <c r="Q39" s="106">
        <f t="shared" si="9"/>
        <v>0</v>
      </c>
      <c r="R39" s="93"/>
      <c r="S39" s="105">
        <f t="shared" si="10"/>
        <v>0</v>
      </c>
      <c r="T39" s="105">
        <f t="shared" si="10"/>
        <v>0</v>
      </c>
      <c r="U39" s="83">
        <f t="shared" si="11"/>
        <v>0</v>
      </c>
      <c r="V39" s="94">
        <f t="shared" si="12"/>
        <v>0</v>
      </c>
      <c r="W39" s="106">
        <f t="shared" si="13"/>
        <v>0</v>
      </c>
      <c r="X39" s="93"/>
      <c r="Y39" s="105">
        <f t="shared" si="14"/>
        <v>0</v>
      </c>
      <c r="Z39" s="105">
        <f t="shared" si="2"/>
        <v>0</v>
      </c>
      <c r="AA39" s="83">
        <f t="shared" si="15"/>
        <v>0</v>
      </c>
      <c r="AB39" s="94">
        <f t="shared" si="16"/>
        <v>0</v>
      </c>
      <c r="AC39" s="106">
        <f t="shared" si="17"/>
        <v>0</v>
      </c>
      <c r="AD39" s="93"/>
      <c r="AE39" s="105">
        <f t="shared" si="18"/>
        <v>0</v>
      </c>
      <c r="AF39" s="105">
        <f t="shared" si="3"/>
        <v>0</v>
      </c>
      <c r="AG39" s="83">
        <f t="shared" si="19"/>
        <v>0</v>
      </c>
      <c r="AH39" s="94">
        <f t="shared" si="20"/>
        <v>0</v>
      </c>
      <c r="AI39" s="106">
        <f t="shared" si="21"/>
        <v>0</v>
      </c>
      <c r="AJ39" s="93"/>
    </row>
    <row r="40" spans="1:36" ht="15">
      <c r="A40" s="80" t="s">
        <v>473</v>
      </c>
      <c r="B40" s="81" t="s">
        <v>112</v>
      </c>
      <c r="C40" s="82" t="str">
        <f>VLOOKUP(B40,'DATOS ASIGNACIÓN'!B:I,4,0)</f>
        <v>36162051W</v>
      </c>
      <c r="D40" s="82">
        <f>COUNTIFS('LISTADOS TFM'!D:D,Pagos!B40,'LISTADOS TFM'!S:S,"SÍ")</f>
        <v>0</v>
      </c>
      <c r="E40" s="82">
        <f>COUNTIF('LISTADOS TFM'!J:L,Pagos!B40)</f>
        <v>0</v>
      </c>
      <c r="F40" s="82"/>
      <c r="G40" s="83">
        <f t="shared" si="0"/>
        <v>0</v>
      </c>
      <c r="H40" s="83">
        <f t="shared" si="1"/>
        <v>0</v>
      </c>
      <c r="I40" s="84"/>
      <c r="J40" s="82">
        <f t="shared" si="4"/>
        <v>0</v>
      </c>
      <c r="K40" s="85">
        <f t="shared" si="5"/>
        <v>0</v>
      </c>
      <c r="L40" s="86"/>
      <c r="M40" s="105">
        <f t="shared" si="6"/>
        <v>0</v>
      </c>
      <c r="N40" s="105">
        <f t="shared" si="6"/>
        <v>0</v>
      </c>
      <c r="O40" s="83">
        <f t="shared" si="7"/>
        <v>0</v>
      </c>
      <c r="P40" s="94">
        <f t="shared" si="8"/>
        <v>0</v>
      </c>
      <c r="Q40" s="106">
        <f t="shared" si="9"/>
        <v>0</v>
      </c>
      <c r="R40" s="93"/>
      <c r="S40" s="105">
        <f t="shared" si="10"/>
        <v>0</v>
      </c>
      <c r="T40" s="105">
        <f t="shared" si="10"/>
        <v>0</v>
      </c>
      <c r="U40" s="83">
        <f t="shared" si="11"/>
        <v>0</v>
      </c>
      <c r="V40" s="94">
        <f t="shared" si="12"/>
        <v>0</v>
      </c>
      <c r="W40" s="106">
        <f t="shared" si="13"/>
        <v>0</v>
      </c>
      <c r="X40" s="93"/>
      <c r="Y40" s="105">
        <f t="shared" si="14"/>
        <v>0</v>
      </c>
      <c r="Z40" s="105">
        <f t="shared" si="2"/>
        <v>0</v>
      </c>
      <c r="AA40" s="83">
        <f t="shared" si="15"/>
        <v>0</v>
      </c>
      <c r="AB40" s="94">
        <f t="shared" si="16"/>
        <v>0</v>
      </c>
      <c r="AC40" s="106">
        <f t="shared" si="17"/>
        <v>0</v>
      </c>
      <c r="AD40" s="93"/>
      <c r="AE40" s="105">
        <f t="shared" si="18"/>
        <v>0</v>
      </c>
      <c r="AF40" s="105">
        <f t="shared" si="3"/>
        <v>0</v>
      </c>
      <c r="AG40" s="83">
        <f t="shared" si="19"/>
        <v>0</v>
      </c>
      <c r="AH40" s="94">
        <f t="shared" si="20"/>
        <v>0</v>
      </c>
      <c r="AI40" s="106">
        <f t="shared" si="21"/>
        <v>0</v>
      </c>
      <c r="AJ40" s="93"/>
    </row>
    <row r="41" spans="1:36" ht="15">
      <c r="A41" s="80" t="s">
        <v>473</v>
      </c>
      <c r="B41" s="81" t="s">
        <v>311</v>
      </c>
      <c r="C41" s="82" t="str">
        <f>VLOOKUP(B41,'DATOS ASIGNACIÓN'!B:I,4,0)</f>
        <v>70874038K</v>
      </c>
      <c r="D41" s="82">
        <f>COUNTIFS('LISTADOS TFM'!D:D,Pagos!B41,'LISTADOS TFM'!S:S,"SÍ")</f>
        <v>0</v>
      </c>
      <c r="E41" s="82">
        <f>COUNTIF('LISTADOS TFM'!J:L,Pagos!B41)</f>
        <v>0</v>
      </c>
      <c r="F41" s="82"/>
      <c r="G41" s="83">
        <f t="shared" si="0"/>
        <v>0</v>
      </c>
      <c r="H41" s="83">
        <f t="shared" si="1"/>
        <v>0</v>
      </c>
      <c r="I41" s="84"/>
      <c r="J41" s="82">
        <f t="shared" si="4"/>
        <v>0</v>
      </c>
      <c r="K41" s="85">
        <f t="shared" si="5"/>
        <v>0</v>
      </c>
      <c r="L41" s="86"/>
      <c r="M41" s="105">
        <f t="shared" si="6"/>
        <v>0</v>
      </c>
      <c r="N41" s="105">
        <f t="shared" si="6"/>
        <v>0</v>
      </c>
      <c r="O41" s="83">
        <f t="shared" si="7"/>
        <v>0</v>
      </c>
      <c r="P41" s="94">
        <f t="shared" si="8"/>
        <v>0</v>
      </c>
      <c r="Q41" s="106">
        <f t="shared" si="9"/>
        <v>0</v>
      </c>
      <c r="R41" s="93"/>
      <c r="S41" s="105">
        <f t="shared" si="10"/>
        <v>0</v>
      </c>
      <c r="T41" s="105">
        <f t="shared" si="10"/>
        <v>0</v>
      </c>
      <c r="U41" s="83">
        <f t="shared" si="11"/>
        <v>0</v>
      </c>
      <c r="V41" s="94">
        <f t="shared" si="12"/>
        <v>0</v>
      </c>
      <c r="W41" s="106">
        <f t="shared" si="13"/>
        <v>0</v>
      </c>
      <c r="X41" s="93"/>
      <c r="Y41" s="105">
        <f t="shared" si="14"/>
        <v>0</v>
      </c>
      <c r="Z41" s="105">
        <f t="shared" si="2"/>
        <v>0</v>
      </c>
      <c r="AA41" s="83">
        <f t="shared" si="15"/>
        <v>0</v>
      </c>
      <c r="AB41" s="94">
        <f t="shared" si="16"/>
        <v>0</v>
      </c>
      <c r="AC41" s="106">
        <f t="shared" si="17"/>
        <v>0</v>
      </c>
      <c r="AD41" s="93"/>
      <c r="AE41" s="105">
        <f t="shared" si="18"/>
        <v>0</v>
      </c>
      <c r="AF41" s="105">
        <f t="shared" si="3"/>
        <v>0</v>
      </c>
      <c r="AG41" s="83">
        <f t="shared" si="19"/>
        <v>0</v>
      </c>
      <c r="AH41" s="94">
        <f t="shared" si="20"/>
        <v>0</v>
      </c>
      <c r="AI41" s="106">
        <f t="shared" si="21"/>
        <v>0</v>
      </c>
      <c r="AJ41" s="93"/>
    </row>
    <row r="42" spans="1:36" ht="15">
      <c r="A42" s="80" t="s">
        <v>473</v>
      </c>
      <c r="B42" s="81"/>
      <c r="C42" s="82" t="e">
        <f>VLOOKUP(B42,'DATOS ASIGNACIÓN'!B:I,4,0)</f>
        <v>#N/A</v>
      </c>
      <c r="D42" s="82">
        <f>COUNTIFS('LISTADOS TFM'!D:D,Pagos!B42,'LISTADOS TFM'!S:S,"SÍ")</f>
        <v>0</v>
      </c>
      <c r="E42" s="82">
        <f>COUNTIF('LISTADOS TFM'!J:L,Pagos!B42)</f>
        <v>0</v>
      </c>
      <c r="F42" s="82"/>
      <c r="G42" s="83">
        <f t="shared" si="0"/>
        <v>0</v>
      </c>
      <c r="H42" s="83">
        <f t="shared" si="1"/>
        <v>0</v>
      </c>
      <c r="I42" s="84"/>
      <c r="J42" s="82">
        <f t="shared" si="4"/>
        <v>0</v>
      </c>
      <c r="K42" s="85">
        <f t="shared" si="5"/>
        <v>0</v>
      </c>
      <c r="L42" s="86"/>
      <c r="M42" s="105">
        <f t="shared" si="6"/>
        <v>0</v>
      </c>
      <c r="N42" s="105">
        <f t="shared" si="6"/>
        <v>0</v>
      </c>
      <c r="O42" s="83">
        <f t="shared" si="7"/>
        <v>0</v>
      </c>
      <c r="P42" s="94">
        <f t="shared" si="8"/>
        <v>0</v>
      </c>
      <c r="Q42" s="106">
        <f t="shared" si="9"/>
        <v>0</v>
      </c>
      <c r="R42" s="93"/>
      <c r="S42" s="105">
        <f t="shared" si="10"/>
        <v>0</v>
      </c>
      <c r="T42" s="105">
        <f t="shared" si="10"/>
        <v>0</v>
      </c>
      <c r="U42" s="83">
        <f t="shared" si="11"/>
        <v>0</v>
      </c>
      <c r="V42" s="94">
        <f t="shared" si="12"/>
        <v>0</v>
      </c>
      <c r="W42" s="106">
        <f t="shared" si="13"/>
        <v>0</v>
      </c>
      <c r="X42" s="93"/>
      <c r="Y42" s="105">
        <f t="shared" si="14"/>
        <v>0</v>
      </c>
      <c r="Z42" s="105">
        <f t="shared" si="2"/>
        <v>0</v>
      </c>
      <c r="AA42" s="83">
        <f t="shared" si="15"/>
        <v>0</v>
      </c>
      <c r="AB42" s="94">
        <f t="shared" si="16"/>
        <v>0</v>
      </c>
      <c r="AC42" s="106">
        <f t="shared" si="17"/>
        <v>0</v>
      </c>
      <c r="AD42" s="93"/>
      <c r="AE42" s="105">
        <f t="shared" si="18"/>
        <v>0</v>
      </c>
      <c r="AF42" s="105">
        <f t="shared" si="3"/>
        <v>0</v>
      </c>
      <c r="AG42" s="83">
        <f t="shared" si="19"/>
        <v>0</v>
      </c>
      <c r="AH42" s="94">
        <f t="shared" si="20"/>
        <v>0</v>
      </c>
      <c r="AI42" s="106">
        <f t="shared" si="21"/>
        <v>0</v>
      </c>
      <c r="AJ42" s="93"/>
    </row>
    <row r="43" spans="1:36" ht="15">
      <c r="A43" s="80" t="s">
        <v>473</v>
      </c>
      <c r="B43" s="81"/>
      <c r="C43" s="82" t="e">
        <f>VLOOKUP(B43,'DATOS ASIGNACIÓN'!B:I,4,0)</f>
        <v>#N/A</v>
      </c>
      <c r="D43" s="82">
        <f>COUNTIFS('LISTADOS TFM'!D:D,Pagos!B43,'LISTADOS TFM'!S:S,"SÍ")</f>
        <v>0</v>
      </c>
      <c r="E43" s="82">
        <f>COUNTIF('LISTADOS TFM'!J:L,Pagos!B43)</f>
        <v>0</v>
      </c>
      <c r="F43" s="82"/>
      <c r="G43" s="83">
        <f t="shared" si="0"/>
        <v>0</v>
      </c>
      <c r="H43" s="83">
        <f t="shared" si="1"/>
        <v>0</v>
      </c>
      <c r="I43" s="84"/>
      <c r="J43" s="82">
        <f t="shared" si="4"/>
        <v>0</v>
      </c>
      <c r="K43" s="85">
        <f t="shared" si="5"/>
        <v>0</v>
      </c>
      <c r="L43" s="86"/>
      <c r="M43" s="105">
        <f t="shared" si="6"/>
        <v>0</v>
      </c>
      <c r="N43" s="105">
        <f t="shared" si="6"/>
        <v>0</v>
      </c>
      <c r="O43" s="83">
        <f t="shared" si="7"/>
        <v>0</v>
      </c>
      <c r="P43" s="94">
        <f t="shared" si="8"/>
        <v>0</v>
      </c>
      <c r="Q43" s="106">
        <f t="shared" si="9"/>
        <v>0</v>
      </c>
      <c r="R43" s="93"/>
      <c r="S43" s="105">
        <f t="shared" si="10"/>
        <v>0</v>
      </c>
      <c r="T43" s="105">
        <f t="shared" si="10"/>
        <v>0</v>
      </c>
      <c r="U43" s="83">
        <f t="shared" si="11"/>
        <v>0</v>
      </c>
      <c r="V43" s="94">
        <f t="shared" si="12"/>
        <v>0</v>
      </c>
      <c r="W43" s="106">
        <f t="shared" si="13"/>
        <v>0</v>
      </c>
      <c r="X43" s="93"/>
      <c r="Y43" s="105">
        <f t="shared" si="14"/>
        <v>0</v>
      </c>
      <c r="Z43" s="105">
        <f t="shared" si="2"/>
        <v>0</v>
      </c>
      <c r="AA43" s="83">
        <f t="shared" si="15"/>
        <v>0</v>
      </c>
      <c r="AB43" s="94">
        <f t="shared" si="16"/>
        <v>0</v>
      </c>
      <c r="AC43" s="106">
        <f t="shared" si="17"/>
        <v>0</v>
      </c>
      <c r="AD43" s="93"/>
      <c r="AE43" s="105">
        <f t="shared" si="18"/>
        <v>0</v>
      </c>
      <c r="AF43" s="105">
        <f t="shared" si="3"/>
        <v>0</v>
      </c>
      <c r="AG43" s="83">
        <f t="shared" si="19"/>
        <v>0</v>
      </c>
      <c r="AH43" s="94">
        <f t="shared" si="20"/>
        <v>0</v>
      </c>
      <c r="AI43" s="106">
        <f t="shared" si="21"/>
        <v>0</v>
      </c>
      <c r="AJ43" s="93"/>
    </row>
    <row r="44" spans="1:36" ht="15">
      <c r="A44" s="80" t="s">
        <v>473</v>
      </c>
      <c r="B44" s="81"/>
      <c r="C44" s="82" t="e">
        <f>VLOOKUP(B44,'DATOS ASIGNACIÓN'!B:I,4,0)</f>
        <v>#N/A</v>
      </c>
      <c r="D44" s="82">
        <f>COUNTIFS('LISTADOS TFM'!D:D,Pagos!B44,'LISTADOS TFM'!S:S,"SÍ")</f>
        <v>0</v>
      </c>
      <c r="E44" s="82">
        <f>COUNTIF('LISTADOS TFM'!J:L,Pagos!B44)</f>
        <v>0</v>
      </c>
      <c r="F44" s="82"/>
      <c r="G44" s="83">
        <f t="shared" si="0"/>
        <v>0</v>
      </c>
      <c r="H44" s="83">
        <f t="shared" si="1"/>
        <v>0</v>
      </c>
      <c r="I44" s="84"/>
      <c r="J44" s="82">
        <f t="shared" si="4"/>
        <v>0</v>
      </c>
      <c r="K44" s="85">
        <f t="shared" si="5"/>
        <v>0</v>
      </c>
      <c r="L44" s="86"/>
      <c r="M44" s="105">
        <f t="shared" si="6"/>
        <v>0</v>
      </c>
      <c r="N44" s="105">
        <f t="shared" si="6"/>
        <v>0</v>
      </c>
      <c r="O44" s="83">
        <f t="shared" si="7"/>
        <v>0</v>
      </c>
      <c r="P44" s="94">
        <f t="shared" si="8"/>
        <v>0</v>
      </c>
      <c r="Q44" s="106">
        <f t="shared" si="9"/>
        <v>0</v>
      </c>
      <c r="R44" s="93"/>
      <c r="S44" s="105">
        <f t="shared" si="10"/>
        <v>0</v>
      </c>
      <c r="T44" s="105">
        <f t="shared" si="10"/>
        <v>0</v>
      </c>
      <c r="U44" s="83">
        <f t="shared" si="11"/>
        <v>0</v>
      </c>
      <c r="V44" s="94">
        <f t="shared" si="12"/>
        <v>0</v>
      </c>
      <c r="W44" s="106">
        <f t="shared" si="13"/>
        <v>0</v>
      </c>
      <c r="X44" s="93"/>
      <c r="Y44" s="105">
        <f t="shared" si="14"/>
        <v>0</v>
      </c>
      <c r="Z44" s="105">
        <f t="shared" si="2"/>
        <v>0</v>
      </c>
      <c r="AA44" s="83">
        <f t="shared" si="15"/>
        <v>0</v>
      </c>
      <c r="AB44" s="94">
        <f t="shared" si="16"/>
        <v>0</v>
      </c>
      <c r="AC44" s="106">
        <f t="shared" si="17"/>
        <v>0</v>
      </c>
      <c r="AD44" s="93"/>
      <c r="AE44" s="105">
        <f t="shared" si="18"/>
        <v>0</v>
      </c>
      <c r="AF44" s="105">
        <f t="shared" si="3"/>
        <v>0</v>
      </c>
      <c r="AG44" s="83">
        <f t="shared" si="19"/>
        <v>0</v>
      </c>
      <c r="AH44" s="94">
        <f t="shared" si="20"/>
        <v>0</v>
      </c>
      <c r="AI44" s="106">
        <f t="shared" si="21"/>
        <v>0</v>
      </c>
      <c r="AJ44" s="93"/>
    </row>
    <row r="45" spans="1:36" ht="15">
      <c r="A45" s="80" t="s">
        <v>473</v>
      </c>
      <c r="B45" s="81"/>
      <c r="C45" s="82" t="e">
        <f>VLOOKUP(B45,'DATOS ASIGNACIÓN'!B:I,4,0)</f>
        <v>#N/A</v>
      </c>
      <c r="D45" s="82">
        <f>COUNTIFS('LISTADOS TFM'!D:D,Pagos!B45,'LISTADOS TFM'!S:S,"SÍ")</f>
        <v>0</v>
      </c>
      <c r="E45" s="82">
        <f>COUNTIF('LISTADOS TFM'!J:L,Pagos!B45)</f>
        <v>0</v>
      </c>
      <c r="F45" s="82"/>
      <c r="G45" s="83">
        <f t="shared" si="0"/>
        <v>0</v>
      </c>
      <c r="H45" s="83">
        <f t="shared" si="1"/>
        <v>0</v>
      </c>
      <c r="I45" s="84"/>
      <c r="J45" s="82">
        <f t="shared" si="4"/>
        <v>0</v>
      </c>
      <c r="K45" s="85">
        <f t="shared" si="5"/>
        <v>0</v>
      </c>
      <c r="L45" s="86"/>
      <c r="M45" s="105">
        <f t="shared" si="6"/>
        <v>0</v>
      </c>
      <c r="N45" s="105">
        <f t="shared" si="6"/>
        <v>0</v>
      </c>
      <c r="O45" s="83">
        <f t="shared" si="7"/>
        <v>0</v>
      </c>
      <c r="P45" s="94">
        <f t="shared" si="8"/>
        <v>0</v>
      </c>
      <c r="Q45" s="106">
        <f t="shared" si="9"/>
        <v>0</v>
      </c>
      <c r="R45" s="93"/>
      <c r="S45" s="105">
        <f t="shared" si="10"/>
        <v>0</v>
      </c>
      <c r="T45" s="105">
        <f t="shared" si="10"/>
        <v>0</v>
      </c>
      <c r="U45" s="83">
        <f t="shared" si="11"/>
        <v>0</v>
      </c>
      <c r="V45" s="94">
        <f t="shared" si="12"/>
        <v>0</v>
      </c>
      <c r="W45" s="106">
        <f t="shared" si="13"/>
        <v>0</v>
      </c>
      <c r="X45" s="93"/>
      <c r="Y45" s="105">
        <f t="shared" si="14"/>
        <v>0</v>
      </c>
      <c r="Z45" s="105">
        <f t="shared" si="2"/>
        <v>0</v>
      </c>
      <c r="AA45" s="83">
        <f t="shared" si="15"/>
        <v>0</v>
      </c>
      <c r="AB45" s="94">
        <f t="shared" si="16"/>
        <v>0</v>
      </c>
      <c r="AC45" s="106">
        <f t="shared" si="17"/>
        <v>0</v>
      </c>
      <c r="AD45" s="93"/>
      <c r="AE45" s="105">
        <f t="shared" si="18"/>
        <v>0</v>
      </c>
      <c r="AF45" s="105">
        <f t="shared" si="3"/>
        <v>0</v>
      </c>
      <c r="AG45" s="83">
        <f t="shared" si="19"/>
        <v>0</v>
      </c>
      <c r="AH45" s="94">
        <f t="shared" si="20"/>
        <v>0</v>
      </c>
      <c r="AI45" s="106">
        <f t="shared" si="21"/>
        <v>0</v>
      </c>
      <c r="AJ45" s="93"/>
    </row>
    <row r="46" spans="1:36" ht="15">
      <c r="A46" s="80" t="s">
        <v>473</v>
      </c>
      <c r="B46" s="81"/>
      <c r="C46" s="82" t="e">
        <f>VLOOKUP(B46,'DATOS ASIGNACIÓN'!B:I,4,0)</f>
        <v>#N/A</v>
      </c>
      <c r="D46" s="82">
        <f>COUNTIFS('LISTADOS TFM'!D:D,Pagos!B46,'LISTADOS TFM'!S:S,"SÍ")</f>
        <v>0</v>
      </c>
      <c r="E46" s="82">
        <f>COUNTIF('LISTADOS TFM'!J:L,Pagos!B46)</f>
        <v>0</v>
      </c>
      <c r="F46" s="82"/>
      <c r="G46" s="83">
        <f t="shared" si="0"/>
        <v>0</v>
      </c>
      <c r="H46" s="83">
        <f t="shared" si="1"/>
        <v>0</v>
      </c>
      <c r="I46" s="84"/>
      <c r="J46" s="82">
        <f t="shared" si="4"/>
        <v>0</v>
      </c>
      <c r="K46" s="85">
        <f t="shared" si="5"/>
        <v>0</v>
      </c>
      <c r="L46" s="86"/>
      <c r="M46" s="105">
        <f t="shared" si="6"/>
        <v>0</v>
      </c>
      <c r="N46" s="105">
        <f t="shared" si="6"/>
        <v>0</v>
      </c>
      <c r="O46" s="83">
        <f t="shared" si="7"/>
        <v>0</v>
      </c>
      <c r="P46" s="94">
        <f t="shared" si="8"/>
        <v>0</v>
      </c>
      <c r="Q46" s="106">
        <f t="shared" si="9"/>
        <v>0</v>
      </c>
      <c r="R46" s="93"/>
      <c r="S46" s="105">
        <f t="shared" si="10"/>
        <v>0</v>
      </c>
      <c r="T46" s="105">
        <f t="shared" si="10"/>
        <v>0</v>
      </c>
      <c r="U46" s="83">
        <f t="shared" si="11"/>
        <v>0</v>
      </c>
      <c r="V46" s="94">
        <f t="shared" si="12"/>
        <v>0</v>
      </c>
      <c r="W46" s="106">
        <f t="shared" si="13"/>
        <v>0</v>
      </c>
      <c r="X46" s="93"/>
      <c r="Y46" s="105">
        <f t="shared" si="14"/>
        <v>0</v>
      </c>
      <c r="Z46" s="105">
        <f t="shared" si="2"/>
        <v>0</v>
      </c>
      <c r="AA46" s="83">
        <f t="shared" si="15"/>
        <v>0</v>
      </c>
      <c r="AB46" s="94">
        <f t="shared" si="16"/>
        <v>0</v>
      </c>
      <c r="AC46" s="106">
        <f t="shared" si="17"/>
        <v>0</v>
      </c>
      <c r="AD46" s="93"/>
      <c r="AE46" s="105">
        <f t="shared" si="18"/>
        <v>0</v>
      </c>
      <c r="AF46" s="105">
        <f t="shared" si="3"/>
        <v>0</v>
      </c>
      <c r="AG46" s="83">
        <f t="shared" si="19"/>
        <v>0</v>
      </c>
      <c r="AH46" s="94">
        <f t="shared" si="20"/>
        <v>0</v>
      </c>
      <c r="AI46" s="106">
        <f t="shared" si="21"/>
        <v>0</v>
      </c>
      <c r="AJ46" s="93"/>
    </row>
    <row r="47" spans="1:36" ht="15">
      <c r="A47" s="80" t="s">
        <v>473</v>
      </c>
      <c r="B47" s="81"/>
      <c r="C47" s="82" t="e">
        <f>VLOOKUP(B47,'DATOS ASIGNACIÓN'!B:I,4,0)</f>
        <v>#N/A</v>
      </c>
      <c r="D47" s="82">
        <f>COUNTIFS('LISTADOS TFM'!D:D,Pagos!B47,'LISTADOS TFM'!S:S,"SÍ")</f>
        <v>0</v>
      </c>
      <c r="E47" s="82">
        <f>COUNTIF('LISTADOS TFM'!J:L,Pagos!B47)</f>
        <v>0</v>
      </c>
      <c r="F47" s="82"/>
      <c r="G47" s="83">
        <f t="shared" si="0"/>
        <v>0</v>
      </c>
      <c r="H47" s="83">
        <f t="shared" si="1"/>
        <v>0</v>
      </c>
      <c r="I47" s="84"/>
      <c r="J47" s="82">
        <f t="shared" si="4"/>
        <v>0</v>
      </c>
      <c r="K47" s="85">
        <f t="shared" si="5"/>
        <v>0</v>
      </c>
      <c r="L47" s="86"/>
      <c r="M47" s="105">
        <f t="shared" si="6"/>
        <v>0</v>
      </c>
      <c r="N47" s="105">
        <f t="shared" si="6"/>
        <v>0</v>
      </c>
      <c r="O47" s="83">
        <f t="shared" si="7"/>
        <v>0</v>
      </c>
      <c r="P47" s="94">
        <f t="shared" si="8"/>
        <v>0</v>
      </c>
      <c r="Q47" s="106">
        <f t="shared" si="9"/>
        <v>0</v>
      </c>
      <c r="R47" s="93"/>
      <c r="S47" s="105">
        <f t="shared" si="10"/>
        <v>0</v>
      </c>
      <c r="T47" s="105">
        <f t="shared" si="10"/>
        <v>0</v>
      </c>
      <c r="U47" s="83">
        <f t="shared" si="11"/>
        <v>0</v>
      </c>
      <c r="V47" s="94">
        <f t="shared" si="12"/>
        <v>0</v>
      </c>
      <c r="W47" s="106">
        <f t="shared" si="13"/>
        <v>0</v>
      </c>
      <c r="X47" s="93"/>
      <c r="Y47" s="105">
        <f t="shared" si="14"/>
        <v>0</v>
      </c>
      <c r="Z47" s="105">
        <f t="shared" si="2"/>
        <v>0</v>
      </c>
      <c r="AA47" s="83">
        <f t="shared" si="15"/>
        <v>0</v>
      </c>
      <c r="AB47" s="94">
        <f t="shared" si="16"/>
        <v>0</v>
      </c>
      <c r="AC47" s="106">
        <f t="shared" si="17"/>
        <v>0</v>
      </c>
      <c r="AD47" s="93"/>
      <c r="AE47" s="105">
        <f t="shared" si="18"/>
        <v>0</v>
      </c>
      <c r="AF47" s="105">
        <f t="shared" si="3"/>
        <v>0</v>
      </c>
      <c r="AG47" s="83">
        <f t="shared" si="19"/>
        <v>0</v>
      </c>
      <c r="AH47" s="94">
        <f t="shared" si="20"/>
        <v>0</v>
      </c>
      <c r="AI47" s="106">
        <f t="shared" si="21"/>
        <v>0</v>
      </c>
      <c r="AJ47" s="93"/>
    </row>
    <row r="48" spans="1:36" ht="15">
      <c r="A48" s="80" t="s">
        <v>473</v>
      </c>
      <c r="B48" s="81"/>
      <c r="C48" s="82" t="e">
        <f>VLOOKUP(B48,'DATOS ASIGNACIÓN'!B:I,4,0)</f>
        <v>#N/A</v>
      </c>
      <c r="D48" s="82">
        <f>COUNTIFS('LISTADOS TFM'!D:D,Pagos!B48,'LISTADOS TFM'!S:S,"SÍ")</f>
        <v>0</v>
      </c>
      <c r="E48" s="82">
        <f>COUNTIF('LISTADOS TFM'!J:L,Pagos!B48)</f>
        <v>0</v>
      </c>
      <c r="F48" s="82"/>
      <c r="G48" s="83">
        <f t="shared" si="0"/>
        <v>0</v>
      </c>
      <c r="H48" s="83">
        <f t="shared" si="1"/>
        <v>0</v>
      </c>
      <c r="I48" s="84"/>
      <c r="J48" s="82">
        <f t="shared" si="4"/>
        <v>0</v>
      </c>
      <c r="K48" s="85">
        <f t="shared" si="5"/>
        <v>0</v>
      </c>
      <c r="L48" s="86"/>
      <c r="M48" s="105">
        <f t="shared" si="6"/>
        <v>0</v>
      </c>
      <c r="N48" s="105">
        <f t="shared" si="6"/>
        <v>0</v>
      </c>
      <c r="O48" s="83">
        <f t="shared" si="7"/>
        <v>0</v>
      </c>
      <c r="P48" s="94">
        <f t="shared" si="8"/>
        <v>0</v>
      </c>
      <c r="Q48" s="106">
        <f t="shared" si="9"/>
        <v>0</v>
      </c>
      <c r="R48" s="93"/>
      <c r="S48" s="105">
        <f t="shared" si="10"/>
        <v>0</v>
      </c>
      <c r="T48" s="105">
        <f t="shared" si="10"/>
        <v>0</v>
      </c>
      <c r="U48" s="83">
        <f t="shared" si="11"/>
        <v>0</v>
      </c>
      <c r="V48" s="94">
        <f t="shared" si="12"/>
        <v>0</v>
      </c>
      <c r="W48" s="106">
        <f t="shared" si="13"/>
        <v>0</v>
      </c>
      <c r="X48" s="93"/>
      <c r="Y48" s="105">
        <f t="shared" si="14"/>
        <v>0</v>
      </c>
      <c r="Z48" s="105">
        <f t="shared" si="2"/>
        <v>0</v>
      </c>
      <c r="AA48" s="83">
        <f t="shared" si="15"/>
        <v>0</v>
      </c>
      <c r="AB48" s="94">
        <f t="shared" si="16"/>
        <v>0</v>
      </c>
      <c r="AC48" s="106">
        <f t="shared" si="17"/>
        <v>0</v>
      </c>
      <c r="AD48" s="93"/>
      <c r="AE48" s="105">
        <f t="shared" si="18"/>
        <v>0</v>
      </c>
      <c r="AF48" s="105">
        <f t="shared" si="3"/>
        <v>0</v>
      </c>
      <c r="AG48" s="83">
        <f t="shared" si="19"/>
        <v>0</v>
      </c>
      <c r="AH48" s="94">
        <f t="shared" si="20"/>
        <v>0</v>
      </c>
      <c r="AI48" s="106">
        <f t="shared" si="21"/>
        <v>0</v>
      </c>
      <c r="AJ48" s="93"/>
    </row>
    <row r="49" spans="1:36" ht="15">
      <c r="A49" s="80" t="s">
        <v>473</v>
      </c>
      <c r="B49" s="81"/>
      <c r="C49" s="82" t="e">
        <f>VLOOKUP(B49,'DATOS ASIGNACIÓN'!B:I,4,0)</f>
        <v>#N/A</v>
      </c>
      <c r="D49" s="82">
        <f>COUNTIFS('LISTADOS TFM'!D:D,Pagos!B49,'LISTADOS TFM'!S:S,"SÍ")</f>
        <v>0</v>
      </c>
      <c r="E49" s="82">
        <f>COUNTIF('LISTADOS TFM'!J:L,Pagos!B49)</f>
        <v>0</v>
      </c>
      <c r="F49" s="82"/>
      <c r="G49" s="83">
        <f t="shared" si="0"/>
        <v>0</v>
      </c>
      <c r="H49" s="83">
        <f t="shared" si="1"/>
        <v>0</v>
      </c>
      <c r="I49" s="84"/>
      <c r="J49" s="82">
        <f t="shared" si="4"/>
        <v>0</v>
      </c>
      <c r="K49" s="85">
        <f t="shared" si="5"/>
        <v>0</v>
      </c>
      <c r="L49" s="86"/>
      <c r="M49" s="105">
        <f t="shared" si="6"/>
        <v>0</v>
      </c>
      <c r="N49" s="105">
        <f t="shared" si="6"/>
        <v>0</v>
      </c>
      <c r="O49" s="83">
        <f t="shared" si="7"/>
        <v>0</v>
      </c>
      <c r="P49" s="94">
        <f t="shared" si="8"/>
        <v>0</v>
      </c>
      <c r="Q49" s="106">
        <f t="shared" si="9"/>
        <v>0</v>
      </c>
      <c r="R49" s="93"/>
      <c r="S49" s="105">
        <f t="shared" si="10"/>
        <v>0</v>
      </c>
      <c r="T49" s="105">
        <f t="shared" si="10"/>
        <v>0</v>
      </c>
      <c r="U49" s="83">
        <f t="shared" si="11"/>
        <v>0</v>
      </c>
      <c r="V49" s="94">
        <f t="shared" si="12"/>
        <v>0</v>
      </c>
      <c r="W49" s="106">
        <f t="shared" si="13"/>
        <v>0</v>
      </c>
      <c r="X49" s="93"/>
      <c r="Y49" s="105">
        <f t="shared" si="14"/>
        <v>0</v>
      </c>
      <c r="Z49" s="105">
        <f t="shared" si="2"/>
        <v>0</v>
      </c>
      <c r="AA49" s="83">
        <f t="shared" si="15"/>
        <v>0</v>
      </c>
      <c r="AB49" s="94">
        <f t="shared" si="16"/>
        <v>0</v>
      </c>
      <c r="AC49" s="106">
        <f t="shared" si="17"/>
        <v>0</v>
      </c>
      <c r="AD49" s="93"/>
      <c r="AE49" s="105">
        <f t="shared" si="18"/>
        <v>0</v>
      </c>
      <c r="AF49" s="105">
        <f t="shared" si="3"/>
        <v>0</v>
      </c>
      <c r="AG49" s="83">
        <f t="shared" si="19"/>
        <v>0</v>
      </c>
      <c r="AH49" s="94">
        <f t="shared" si="20"/>
        <v>0</v>
      </c>
      <c r="AI49" s="106">
        <f t="shared" si="21"/>
        <v>0</v>
      </c>
      <c r="AJ49" s="93"/>
    </row>
    <row r="50" spans="1:36" ht="15">
      <c r="A50" s="80" t="s">
        <v>473</v>
      </c>
      <c r="B50" s="81"/>
      <c r="C50" s="82" t="e">
        <f>VLOOKUP(B50,'DATOS ASIGNACIÓN'!B:I,4,0)</f>
        <v>#N/A</v>
      </c>
      <c r="D50" s="82">
        <f>COUNTIFS('LISTADOS TFM'!D:D,Pagos!B50,'LISTADOS TFM'!S:S,"SÍ")</f>
        <v>0</v>
      </c>
      <c r="E50" s="82">
        <f>COUNTIF('LISTADOS TFM'!J:L,Pagos!B50)</f>
        <v>0</v>
      </c>
      <c r="F50" s="82"/>
      <c r="G50" s="83">
        <f t="shared" si="0"/>
        <v>0</v>
      </c>
      <c r="H50" s="83">
        <f t="shared" si="1"/>
        <v>0</v>
      </c>
      <c r="I50" s="84"/>
      <c r="J50" s="82">
        <f t="shared" si="4"/>
        <v>0</v>
      </c>
      <c r="K50" s="85">
        <f t="shared" si="5"/>
        <v>0</v>
      </c>
      <c r="L50" s="86"/>
      <c r="M50" s="105">
        <f t="shared" si="6"/>
        <v>0</v>
      </c>
      <c r="N50" s="105">
        <f t="shared" si="6"/>
        <v>0</v>
      </c>
      <c r="O50" s="83">
        <f t="shared" si="7"/>
        <v>0</v>
      </c>
      <c r="P50" s="94">
        <f t="shared" si="8"/>
        <v>0</v>
      </c>
      <c r="Q50" s="106">
        <f t="shared" si="9"/>
        <v>0</v>
      </c>
      <c r="R50" s="93"/>
      <c r="S50" s="105">
        <f t="shared" si="10"/>
        <v>0</v>
      </c>
      <c r="T50" s="105">
        <f t="shared" si="10"/>
        <v>0</v>
      </c>
      <c r="U50" s="83">
        <f t="shared" si="11"/>
        <v>0</v>
      </c>
      <c r="V50" s="94">
        <f t="shared" si="12"/>
        <v>0</v>
      </c>
      <c r="W50" s="106">
        <f t="shared" si="13"/>
        <v>0</v>
      </c>
      <c r="X50" s="93"/>
      <c r="Y50" s="105">
        <f t="shared" si="14"/>
        <v>0</v>
      </c>
      <c r="Z50" s="105">
        <f t="shared" si="2"/>
        <v>0</v>
      </c>
      <c r="AA50" s="83">
        <f t="shared" si="15"/>
        <v>0</v>
      </c>
      <c r="AB50" s="94">
        <f t="shared" si="16"/>
        <v>0</v>
      </c>
      <c r="AC50" s="106">
        <f t="shared" si="17"/>
        <v>0</v>
      </c>
      <c r="AD50" s="93"/>
      <c r="AE50" s="105">
        <f t="shared" si="18"/>
        <v>0</v>
      </c>
      <c r="AF50" s="105">
        <f t="shared" si="3"/>
        <v>0</v>
      </c>
      <c r="AG50" s="83">
        <f t="shared" si="19"/>
        <v>0</v>
      </c>
      <c r="AH50" s="94">
        <f t="shared" si="20"/>
        <v>0</v>
      </c>
      <c r="AI50" s="106">
        <f t="shared" si="21"/>
        <v>0</v>
      </c>
      <c r="AJ50" s="93"/>
    </row>
    <row r="51" spans="1:36" ht="15">
      <c r="A51" s="80" t="s">
        <v>473</v>
      </c>
      <c r="B51" s="81"/>
      <c r="C51" s="82" t="e">
        <f>VLOOKUP(B51,'DATOS ASIGNACIÓN'!B:I,4,0)</f>
        <v>#N/A</v>
      </c>
      <c r="D51" s="82">
        <f>COUNTIFS('LISTADOS TFM'!D:D,Pagos!B51,'LISTADOS TFM'!S:S,"SÍ")</f>
        <v>0</v>
      </c>
      <c r="E51" s="82">
        <f>COUNTIF('LISTADOS TFM'!J:L,Pagos!B51)</f>
        <v>0</v>
      </c>
      <c r="F51" s="82"/>
      <c r="G51" s="83">
        <f t="shared" si="0"/>
        <v>0</v>
      </c>
      <c r="H51" s="83">
        <f t="shared" si="1"/>
        <v>0</v>
      </c>
      <c r="I51" s="84"/>
      <c r="J51" s="82">
        <f t="shared" si="4"/>
        <v>0</v>
      </c>
      <c r="K51" s="85">
        <f t="shared" si="5"/>
        <v>0</v>
      </c>
      <c r="L51" s="86"/>
      <c r="M51" s="105">
        <f t="shared" si="6"/>
        <v>0</v>
      </c>
      <c r="N51" s="105">
        <f t="shared" si="6"/>
        <v>0</v>
      </c>
      <c r="O51" s="83">
        <f t="shared" si="7"/>
        <v>0</v>
      </c>
      <c r="P51" s="94">
        <f t="shared" si="8"/>
        <v>0</v>
      </c>
      <c r="Q51" s="106">
        <f t="shared" si="9"/>
        <v>0</v>
      </c>
      <c r="R51" s="93"/>
      <c r="S51" s="105">
        <f t="shared" si="10"/>
        <v>0</v>
      </c>
      <c r="T51" s="105">
        <f t="shared" si="10"/>
        <v>0</v>
      </c>
      <c r="U51" s="83">
        <f t="shared" si="11"/>
        <v>0</v>
      </c>
      <c r="V51" s="94">
        <f t="shared" si="12"/>
        <v>0</v>
      </c>
      <c r="W51" s="106">
        <f t="shared" si="13"/>
        <v>0</v>
      </c>
      <c r="X51" s="93"/>
      <c r="Y51" s="105">
        <f t="shared" si="14"/>
        <v>0</v>
      </c>
      <c r="Z51" s="105">
        <f t="shared" si="2"/>
        <v>0</v>
      </c>
      <c r="AA51" s="83">
        <f t="shared" si="15"/>
        <v>0</v>
      </c>
      <c r="AB51" s="94">
        <f t="shared" si="16"/>
        <v>0</v>
      </c>
      <c r="AC51" s="106">
        <f t="shared" si="17"/>
        <v>0</v>
      </c>
      <c r="AD51" s="93"/>
      <c r="AE51" s="105">
        <f t="shared" si="18"/>
        <v>0</v>
      </c>
      <c r="AF51" s="105">
        <f t="shared" si="3"/>
        <v>0</v>
      </c>
      <c r="AG51" s="83">
        <f t="shared" si="19"/>
        <v>0</v>
      </c>
      <c r="AH51" s="94">
        <f t="shared" si="20"/>
        <v>0</v>
      </c>
      <c r="AI51" s="106">
        <f t="shared" si="21"/>
        <v>0</v>
      </c>
      <c r="AJ51" s="93"/>
    </row>
    <row r="52" spans="1:36" ht="15">
      <c r="A52" s="80" t="s">
        <v>473</v>
      </c>
      <c r="B52" s="81"/>
      <c r="C52" s="82" t="e">
        <f>VLOOKUP(B52,'DATOS ASIGNACIÓN'!B:I,4,0)</f>
        <v>#N/A</v>
      </c>
      <c r="D52" s="82">
        <f>COUNTIFS('LISTADOS TFM'!D:D,Pagos!B52,'LISTADOS TFM'!S:S,"SÍ")</f>
        <v>0</v>
      </c>
      <c r="E52" s="82">
        <f>COUNTIF('LISTADOS TFM'!J:L,Pagos!B52)</f>
        <v>0</v>
      </c>
      <c r="F52" s="82"/>
      <c r="G52" s="83">
        <f t="shared" si="0"/>
        <v>0</v>
      </c>
      <c r="H52" s="83">
        <f t="shared" si="1"/>
        <v>0</v>
      </c>
      <c r="I52" s="84"/>
      <c r="J52" s="82">
        <f t="shared" si="4"/>
        <v>0</v>
      </c>
      <c r="K52" s="85">
        <f t="shared" si="5"/>
        <v>0</v>
      </c>
      <c r="L52" s="86"/>
      <c r="M52" s="105">
        <f t="shared" si="6"/>
        <v>0</v>
      </c>
      <c r="N52" s="105">
        <f t="shared" si="6"/>
        <v>0</v>
      </c>
      <c r="O52" s="83">
        <f t="shared" si="7"/>
        <v>0</v>
      </c>
      <c r="P52" s="94">
        <f t="shared" si="8"/>
        <v>0</v>
      </c>
      <c r="Q52" s="106">
        <f t="shared" si="9"/>
        <v>0</v>
      </c>
      <c r="R52" s="93"/>
      <c r="S52" s="105">
        <f t="shared" si="10"/>
        <v>0</v>
      </c>
      <c r="T52" s="105">
        <f t="shared" si="10"/>
        <v>0</v>
      </c>
      <c r="U52" s="83">
        <f t="shared" si="11"/>
        <v>0</v>
      </c>
      <c r="V52" s="94">
        <f t="shared" si="12"/>
        <v>0</v>
      </c>
      <c r="W52" s="106">
        <f t="shared" si="13"/>
        <v>0</v>
      </c>
      <c r="X52" s="93"/>
      <c r="Y52" s="105">
        <f t="shared" si="14"/>
        <v>0</v>
      </c>
      <c r="Z52" s="105">
        <f t="shared" si="2"/>
        <v>0</v>
      </c>
      <c r="AA52" s="83">
        <f t="shared" si="15"/>
        <v>0</v>
      </c>
      <c r="AB52" s="94">
        <f t="shared" si="16"/>
        <v>0</v>
      </c>
      <c r="AC52" s="106">
        <f t="shared" si="17"/>
        <v>0</v>
      </c>
      <c r="AD52" s="93"/>
      <c r="AE52" s="105">
        <f t="shared" si="18"/>
        <v>0</v>
      </c>
      <c r="AF52" s="105">
        <f t="shared" si="3"/>
        <v>0</v>
      </c>
      <c r="AG52" s="83">
        <f t="shared" si="19"/>
        <v>0</v>
      </c>
      <c r="AH52" s="94">
        <f t="shared" si="20"/>
        <v>0</v>
      </c>
      <c r="AI52" s="106">
        <f t="shared" si="21"/>
        <v>0</v>
      </c>
      <c r="AJ52" s="93"/>
    </row>
    <row r="53" spans="1:36" ht="15">
      <c r="A53" s="80" t="s">
        <v>473</v>
      </c>
      <c r="B53" s="81"/>
      <c r="C53" s="82" t="e">
        <f>VLOOKUP(B53,'DATOS ASIGNACIÓN'!B:I,4,0)</f>
        <v>#N/A</v>
      </c>
      <c r="D53" s="82">
        <f>COUNTIFS('LISTADOS TFM'!D:D,Pagos!B53,'LISTADOS TFM'!S:S,"SÍ")</f>
        <v>0</v>
      </c>
      <c r="E53" s="82">
        <f>COUNTIF('LISTADOS TFM'!J:L,Pagos!B53)</f>
        <v>0</v>
      </c>
      <c r="F53" s="82"/>
      <c r="G53" s="83">
        <f t="shared" ref="G53:G84" si="22">IF($H$17&lt;9,$E$16,IF($H$17=$D$17,$E$17,$E$18))*D53</f>
        <v>0</v>
      </c>
      <c r="H53" s="83">
        <f t="shared" ref="H53:H84" si="23">+E53*$H$16</f>
        <v>0</v>
      </c>
      <c r="I53" s="84"/>
      <c r="J53" s="82">
        <f t="shared" si="4"/>
        <v>0</v>
      </c>
      <c r="K53" s="85">
        <f t="shared" si="5"/>
        <v>0</v>
      </c>
      <c r="L53" s="86"/>
      <c r="M53" s="105">
        <f t="shared" si="6"/>
        <v>0</v>
      </c>
      <c r="N53" s="105">
        <f t="shared" si="6"/>
        <v>0</v>
      </c>
      <c r="O53" s="83">
        <f t="shared" si="7"/>
        <v>0</v>
      </c>
      <c r="P53" s="94">
        <f t="shared" si="8"/>
        <v>0</v>
      </c>
      <c r="Q53" s="106">
        <f t="shared" si="9"/>
        <v>0</v>
      </c>
      <c r="R53" s="93"/>
      <c r="S53" s="105">
        <f t="shared" si="10"/>
        <v>0</v>
      </c>
      <c r="T53" s="105">
        <f t="shared" si="10"/>
        <v>0</v>
      </c>
      <c r="U53" s="83">
        <f t="shared" si="11"/>
        <v>0</v>
      </c>
      <c r="V53" s="94">
        <f t="shared" si="12"/>
        <v>0</v>
      </c>
      <c r="W53" s="106">
        <f t="shared" si="13"/>
        <v>0</v>
      </c>
      <c r="X53" s="93"/>
      <c r="Y53" s="105">
        <f t="shared" si="14"/>
        <v>0</v>
      </c>
      <c r="Z53" s="105">
        <f t="shared" si="2"/>
        <v>0</v>
      </c>
      <c r="AA53" s="83">
        <f t="shared" si="15"/>
        <v>0</v>
      </c>
      <c r="AB53" s="94">
        <f t="shared" si="16"/>
        <v>0</v>
      </c>
      <c r="AC53" s="106">
        <f t="shared" si="17"/>
        <v>0</v>
      </c>
      <c r="AD53" s="93"/>
      <c r="AE53" s="105">
        <f t="shared" si="18"/>
        <v>0</v>
      </c>
      <c r="AF53" s="105">
        <f t="shared" si="3"/>
        <v>0</v>
      </c>
      <c r="AG53" s="83">
        <f t="shared" si="19"/>
        <v>0</v>
      </c>
      <c r="AH53" s="94">
        <f t="shared" si="20"/>
        <v>0</v>
      </c>
      <c r="AI53" s="106">
        <f t="shared" si="21"/>
        <v>0</v>
      </c>
      <c r="AJ53" s="93"/>
    </row>
    <row r="54" spans="1:36" ht="15">
      <c r="A54" s="80" t="s">
        <v>473</v>
      </c>
      <c r="B54" s="81"/>
      <c r="C54" s="82" t="e">
        <f>VLOOKUP(B54,'DATOS ASIGNACIÓN'!B:I,4,0)</f>
        <v>#N/A</v>
      </c>
      <c r="D54" s="82">
        <f>COUNTIFS('LISTADOS TFM'!D:D,Pagos!B54,'LISTADOS TFM'!S:S,"SÍ")</f>
        <v>0</v>
      </c>
      <c r="E54" s="82">
        <f>COUNTIF('LISTADOS TFM'!J:L,Pagos!B54)</f>
        <v>0</v>
      </c>
      <c r="F54" s="82"/>
      <c r="G54" s="83">
        <f t="shared" si="22"/>
        <v>0</v>
      </c>
      <c r="H54" s="83">
        <f t="shared" si="23"/>
        <v>0</v>
      </c>
      <c r="I54" s="84"/>
      <c r="J54" s="82">
        <f t="shared" si="4"/>
        <v>0</v>
      </c>
      <c r="K54" s="85">
        <f t="shared" si="5"/>
        <v>0</v>
      </c>
      <c r="L54" s="86"/>
      <c r="M54" s="105">
        <f t="shared" si="6"/>
        <v>0</v>
      </c>
      <c r="N54" s="105">
        <f t="shared" si="6"/>
        <v>0</v>
      </c>
      <c r="O54" s="83">
        <f t="shared" si="7"/>
        <v>0</v>
      </c>
      <c r="P54" s="94">
        <f t="shared" si="8"/>
        <v>0</v>
      </c>
      <c r="Q54" s="106">
        <f t="shared" si="9"/>
        <v>0</v>
      </c>
      <c r="R54" s="93"/>
      <c r="S54" s="105">
        <f t="shared" si="10"/>
        <v>0</v>
      </c>
      <c r="T54" s="105">
        <f t="shared" si="10"/>
        <v>0</v>
      </c>
      <c r="U54" s="83">
        <f t="shared" si="11"/>
        <v>0</v>
      </c>
      <c r="V54" s="94">
        <f t="shared" si="12"/>
        <v>0</v>
      </c>
      <c r="W54" s="106">
        <f t="shared" si="13"/>
        <v>0</v>
      </c>
      <c r="X54" s="93"/>
      <c r="Y54" s="105">
        <f t="shared" si="14"/>
        <v>0</v>
      </c>
      <c r="Z54" s="105">
        <f t="shared" si="2"/>
        <v>0</v>
      </c>
      <c r="AA54" s="83">
        <f t="shared" si="15"/>
        <v>0</v>
      </c>
      <c r="AB54" s="94">
        <f t="shared" si="16"/>
        <v>0</v>
      </c>
      <c r="AC54" s="106">
        <f t="shared" si="17"/>
        <v>0</v>
      </c>
      <c r="AD54" s="93"/>
      <c r="AE54" s="105">
        <f t="shared" si="18"/>
        <v>0</v>
      </c>
      <c r="AF54" s="105">
        <f t="shared" si="3"/>
        <v>0</v>
      </c>
      <c r="AG54" s="83">
        <f t="shared" si="19"/>
        <v>0</v>
      </c>
      <c r="AH54" s="94">
        <f t="shared" si="20"/>
        <v>0</v>
      </c>
      <c r="AI54" s="106">
        <f t="shared" si="21"/>
        <v>0</v>
      </c>
      <c r="AJ54" s="93"/>
    </row>
    <row r="55" spans="1:36" ht="15">
      <c r="A55" s="80" t="s">
        <v>473</v>
      </c>
      <c r="B55" s="81"/>
      <c r="C55" s="82" t="e">
        <f>VLOOKUP(B55,'DATOS ASIGNACIÓN'!B:I,4,0)</f>
        <v>#N/A</v>
      </c>
      <c r="D55" s="82">
        <f>COUNTIFS('LISTADOS TFM'!D:D,Pagos!B55,'LISTADOS TFM'!S:S,"SÍ")</f>
        <v>0</v>
      </c>
      <c r="E55" s="82">
        <f>COUNTIF('LISTADOS TFM'!J:L,Pagos!B55)</f>
        <v>0</v>
      </c>
      <c r="F55" s="82"/>
      <c r="G55" s="83">
        <f t="shared" si="22"/>
        <v>0</v>
      </c>
      <c r="H55" s="83">
        <f t="shared" si="23"/>
        <v>0</v>
      </c>
      <c r="I55" s="84"/>
      <c r="J55" s="82">
        <f t="shared" si="4"/>
        <v>0</v>
      </c>
      <c r="K55" s="85">
        <f t="shared" si="5"/>
        <v>0</v>
      </c>
      <c r="L55" s="86"/>
      <c r="M55" s="105">
        <f t="shared" si="6"/>
        <v>0</v>
      </c>
      <c r="N55" s="105">
        <f t="shared" si="6"/>
        <v>0</v>
      </c>
      <c r="O55" s="83">
        <f t="shared" si="7"/>
        <v>0</v>
      </c>
      <c r="P55" s="94">
        <f t="shared" si="8"/>
        <v>0</v>
      </c>
      <c r="Q55" s="106">
        <f t="shared" si="9"/>
        <v>0</v>
      </c>
      <c r="R55" s="93"/>
      <c r="S55" s="105">
        <f t="shared" si="10"/>
        <v>0</v>
      </c>
      <c r="T55" s="105">
        <f t="shared" si="10"/>
        <v>0</v>
      </c>
      <c r="U55" s="83">
        <f t="shared" si="11"/>
        <v>0</v>
      </c>
      <c r="V55" s="94">
        <f t="shared" si="12"/>
        <v>0</v>
      </c>
      <c r="W55" s="106">
        <f t="shared" si="13"/>
        <v>0</v>
      </c>
      <c r="X55" s="93"/>
      <c r="Y55" s="105">
        <f t="shared" si="14"/>
        <v>0</v>
      </c>
      <c r="Z55" s="105">
        <f t="shared" si="2"/>
        <v>0</v>
      </c>
      <c r="AA55" s="83">
        <f t="shared" si="15"/>
        <v>0</v>
      </c>
      <c r="AB55" s="94">
        <f t="shared" si="16"/>
        <v>0</v>
      </c>
      <c r="AC55" s="106">
        <f t="shared" si="17"/>
        <v>0</v>
      </c>
      <c r="AD55" s="93"/>
      <c r="AE55" s="105">
        <f t="shared" si="18"/>
        <v>0</v>
      </c>
      <c r="AF55" s="105">
        <f t="shared" si="3"/>
        <v>0</v>
      </c>
      <c r="AG55" s="83">
        <f t="shared" si="19"/>
        <v>0</v>
      </c>
      <c r="AH55" s="94">
        <f t="shared" si="20"/>
        <v>0</v>
      </c>
      <c r="AI55" s="106">
        <f t="shared" si="21"/>
        <v>0</v>
      </c>
      <c r="AJ55" s="93"/>
    </row>
    <row r="56" spans="1:36" ht="15">
      <c r="A56" s="80" t="s">
        <v>473</v>
      </c>
      <c r="B56" s="81"/>
      <c r="C56" s="82" t="e">
        <f>VLOOKUP(B56,'DATOS ASIGNACIÓN'!B:I,4,0)</f>
        <v>#N/A</v>
      </c>
      <c r="D56" s="82">
        <f>COUNTIFS('LISTADOS TFM'!D:D,Pagos!B56,'LISTADOS TFM'!S:S,"SÍ")</f>
        <v>0</v>
      </c>
      <c r="E56" s="82">
        <f>COUNTIF('LISTADOS TFM'!J:L,Pagos!B56)</f>
        <v>0</v>
      </c>
      <c r="F56" s="82"/>
      <c r="G56" s="83">
        <f t="shared" si="22"/>
        <v>0</v>
      </c>
      <c r="H56" s="83">
        <f t="shared" si="23"/>
        <v>0</v>
      </c>
      <c r="I56" s="84"/>
      <c r="J56" s="82">
        <f t="shared" si="4"/>
        <v>0</v>
      </c>
      <c r="K56" s="85">
        <f t="shared" si="5"/>
        <v>0</v>
      </c>
      <c r="L56" s="86"/>
      <c r="M56" s="105">
        <f t="shared" si="6"/>
        <v>0</v>
      </c>
      <c r="N56" s="105">
        <f t="shared" si="6"/>
        <v>0</v>
      </c>
      <c r="O56" s="83">
        <f t="shared" si="7"/>
        <v>0</v>
      </c>
      <c r="P56" s="94">
        <f t="shared" si="8"/>
        <v>0</v>
      </c>
      <c r="Q56" s="106">
        <f t="shared" si="9"/>
        <v>0</v>
      </c>
      <c r="R56" s="93"/>
      <c r="S56" s="105">
        <f t="shared" si="10"/>
        <v>0</v>
      </c>
      <c r="T56" s="105">
        <f t="shared" si="10"/>
        <v>0</v>
      </c>
      <c r="U56" s="83">
        <f t="shared" si="11"/>
        <v>0</v>
      </c>
      <c r="V56" s="94">
        <f t="shared" si="12"/>
        <v>0</v>
      </c>
      <c r="W56" s="106">
        <f t="shared" si="13"/>
        <v>0</v>
      </c>
      <c r="X56" s="93"/>
      <c r="Y56" s="105">
        <f t="shared" si="14"/>
        <v>0</v>
      </c>
      <c r="Z56" s="105">
        <f t="shared" si="2"/>
        <v>0</v>
      </c>
      <c r="AA56" s="83">
        <f t="shared" si="15"/>
        <v>0</v>
      </c>
      <c r="AB56" s="94">
        <f t="shared" si="16"/>
        <v>0</v>
      </c>
      <c r="AC56" s="106">
        <f t="shared" si="17"/>
        <v>0</v>
      </c>
      <c r="AD56" s="93"/>
      <c r="AE56" s="105">
        <f t="shared" si="18"/>
        <v>0</v>
      </c>
      <c r="AF56" s="105">
        <f t="shared" si="3"/>
        <v>0</v>
      </c>
      <c r="AG56" s="83">
        <f t="shared" si="19"/>
        <v>0</v>
      </c>
      <c r="AH56" s="94">
        <f t="shared" si="20"/>
        <v>0</v>
      </c>
      <c r="AI56" s="106">
        <f t="shared" si="21"/>
        <v>0</v>
      </c>
      <c r="AJ56" s="93"/>
    </row>
    <row r="57" spans="1:36" ht="15">
      <c r="A57" s="80" t="s">
        <v>473</v>
      </c>
      <c r="B57" s="81"/>
      <c r="C57" s="82" t="e">
        <f>VLOOKUP(B57,'DATOS ASIGNACIÓN'!B:I,4,0)</f>
        <v>#N/A</v>
      </c>
      <c r="D57" s="82">
        <f>COUNTIFS('LISTADOS TFM'!D:D,Pagos!B57,'LISTADOS TFM'!S:S,"SÍ")</f>
        <v>0</v>
      </c>
      <c r="E57" s="82">
        <f>COUNTIF('LISTADOS TFM'!J:L,Pagos!B57)</f>
        <v>0</v>
      </c>
      <c r="F57" s="82"/>
      <c r="G57" s="83">
        <f t="shared" si="22"/>
        <v>0</v>
      </c>
      <c r="H57" s="83">
        <f t="shared" si="23"/>
        <v>0</v>
      </c>
      <c r="I57" s="84"/>
      <c r="J57" s="82">
        <f t="shared" si="4"/>
        <v>0</v>
      </c>
      <c r="K57" s="85">
        <f t="shared" si="5"/>
        <v>0</v>
      </c>
      <c r="L57" s="86"/>
      <c r="M57" s="105">
        <f t="shared" si="6"/>
        <v>0</v>
      </c>
      <c r="N57" s="105">
        <f t="shared" si="6"/>
        <v>0</v>
      </c>
      <c r="O57" s="83">
        <f t="shared" si="7"/>
        <v>0</v>
      </c>
      <c r="P57" s="94">
        <f t="shared" si="8"/>
        <v>0</v>
      </c>
      <c r="Q57" s="106">
        <f t="shared" si="9"/>
        <v>0</v>
      </c>
      <c r="R57" s="93"/>
      <c r="S57" s="105">
        <f t="shared" si="10"/>
        <v>0</v>
      </c>
      <c r="T57" s="105">
        <f t="shared" si="10"/>
        <v>0</v>
      </c>
      <c r="U57" s="83">
        <f t="shared" si="11"/>
        <v>0</v>
      </c>
      <c r="V57" s="94">
        <f t="shared" si="12"/>
        <v>0</v>
      </c>
      <c r="W57" s="106">
        <f t="shared" si="13"/>
        <v>0</v>
      </c>
      <c r="X57" s="93"/>
      <c r="Y57" s="105">
        <f t="shared" si="14"/>
        <v>0</v>
      </c>
      <c r="Z57" s="105">
        <f t="shared" si="2"/>
        <v>0</v>
      </c>
      <c r="AA57" s="83">
        <f t="shared" si="15"/>
        <v>0</v>
      </c>
      <c r="AB57" s="94">
        <f t="shared" si="16"/>
        <v>0</v>
      </c>
      <c r="AC57" s="106">
        <f t="shared" si="17"/>
        <v>0</v>
      </c>
      <c r="AD57" s="93"/>
      <c r="AE57" s="105">
        <f t="shared" si="18"/>
        <v>0</v>
      </c>
      <c r="AF57" s="105">
        <f t="shared" si="3"/>
        <v>0</v>
      </c>
      <c r="AG57" s="83">
        <f t="shared" si="19"/>
        <v>0</v>
      </c>
      <c r="AH57" s="94">
        <f t="shared" si="20"/>
        <v>0</v>
      </c>
      <c r="AI57" s="106">
        <f t="shared" si="21"/>
        <v>0</v>
      </c>
      <c r="AJ57" s="93"/>
    </row>
    <row r="58" spans="1:36" ht="15">
      <c r="A58" s="80" t="s">
        <v>473</v>
      </c>
      <c r="B58" s="81"/>
      <c r="C58" s="82" t="e">
        <f>VLOOKUP(B58,'DATOS ASIGNACIÓN'!B:I,4,0)</f>
        <v>#N/A</v>
      </c>
      <c r="D58" s="82">
        <f>COUNTIFS('LISTADOS TFM'!D:D,Pagos!B58,'LISTADOS TFM'!S:S,"SÍ")</f>
        <v>0</v>
      </c>
      <c r="E58" s="82">
        <f>COUNTIF('LISTADOS TFM'!J:L,Pagos!B58)</f>
        <v>0</v>
      </c>
      <c r="F58" s="82"/>
      <c r="G58" s="83">
        <f t="shared" si="22"/>
        <v>0</v>
      </c>
      <c r="H58" s="83">
        <f t="shared" si="23"/>
        <v>0</v>
      </c>
      <c r="I58" s="84"/>
      <c r="J58" s="82">
        <f t="shared" si="4"/>
        <v>0</v>
      </c>
      <c r="K58" s="85">
        <f t="shared" si="5"/>
        <v>0</v>
      </c>
      <c r="L58" s="86"/>
      <c r="M58" s="105">
        <f t="shared" si="6"/>
        <v>0</v>
      </c>
      <c r="N58" s="105">
        <f t="shared" si="6"/>
        <v>0</v>
      </c>
      <c r="O58" s="83">
        <f t="shared" si="7"/>
        <v>0</v>
      </c>
      <c r="P58" s="94">
        <f t="shared" si="8"/>
        <v>0</v>
      </c>
      <c r="Q58" s="106">
        <f t="shared" si="9"/>
        <v>0</v>
      </c>
      <c r="R58" s="93"/>
      <c r="S58" s="105">
        <f t="shared" si="10"/>
        <v>0</v>
      </c>
      <c r="T58" s="105">
        <f t="shared" si="10"/>
        <v>0</v>
      </c>
      <c r="U58" s="83">
        <f t="shared" si="11"/>
        <v>0</v>
      </c>
      <c r="V58" s="94">
        <f t="shared" si="12"/>
        <v>0</v>
      </c>
      <c r="W58" s="106">
        <f t="shared" si="13"/>
        <v>0</v>
      </c>
      <c r="X58" s="93"/>
      <c r="Y58" s="105">
        <f t="shared" si="14"/>
        <v>0</v>
      </c>
      <c r="Z58" s="105">
        <f t="shared" si="2"/>
        <v>0</v>
      </c>
      <c r="AA58" s="83">
        <f t="shared" si="15"/>
        <v>0</v>
      </c>
      <c r="AB58" s="94">
        <f t="shared" si="16"/>
        <v>0</v>
      </c>
      <c r="AC58" s="106">
        <f t="shared" si="17"/>
        <v>0</v>
      </c>
      <c r="AD58" s="93"/>
      <c r="AE58" s="105">
        <f t="shared" si="18"/>
        <v>0</v>
      </c>
      <c r="AF58" s="105">
        <f t="shared" si="3"/>
        <v>0</v>
      </c>
      <c r="AG58" s="83">
        <f t="shared" si="19"/>
        <v>0</v>
      </c>
      <c r="AH58" s="94">
        <f t="shared" si="20"/>
        <v>0</v>
      </c>
      <c r="AI58" s="106">
        <f t="shared" si="21"/>
        <v>0</v>
      </c>
      <c r="AJ58" s="93"/>
    </row>
    <row r="59" spans="1:36" ht="15">
      <c r="A59" s="80" t="s">
        <v>473</v>
      </c>
      <c r="B59" s="81"/>
      <c r="C59" s="82" t="e">
        <f>VLOOKUP(B59,'DATOS ASIGNACIÓN'!B:I,4,0)</f>
        <v>#N/A</v>
      </c>
      <c r="D59" s="82">
        <f>COUNTIFS('LISTADOS TFM'!D:D,Pagos!B59,'LISTADOS TFM'!S:S,"SÍ")</f>
        <v>0</v>
      </c>
      <c r="E59" s="82">
        <f>COUNTIF('LISTADOS TFM'!J:L,Pagos!B59)</f>
        <v>0</v>
      </c>
      <c r="F59" s="82"/>
      <c r="G59" s="83">
        <f t="shared" si="22"/>
        <v>0</v>
      </c>
      <c r="H59" s="83">
        <f t="shared" si="23"/>
        <v>0</v>
      </c>
      <c r="I59" s="84"/>
      <c r="J59" s="82">
        <f t="shared" si="4"/>
        <v>0</v>
      </c>
      <c r="K59" s="85">
        <f t="shared" si="5"/>
        <v>0</v>
      </c>
      <c r="L59" s="86"/>
      <c r="M59" s="105">
        <f t="shared" si="6"/>
        <v>0</v>
      </c>
      <c r="N59" s="105">
        <f t="shared" si="6"/>
        <v>0</v>
      </c>
      <c r="O59" s="83">
        <f t="shared" si="7"/>
        <v>0</v>
      </c>
      <c r="P59" s="94">
        <f t="shared" si="8"/>
        <v>0</v>
      </c>
      <c r="Q59" s="106">
        <f t="shared" si="9"/>
        <v>0</v>
      </c>
      <c r="R59" s="93"/>
      <c r="S59" s="105">
        <f t="shared" si="10"/>
        <v>0</v>
      </c>
      <c r="T59" s="105">
        <f t="shared" si="10"/>
        <v>0</v>
      </c>
      <c r="U59" s="83">
        <f t="shared" si="11"/>
        <v>0</v>
      </c>
      <c r="V59" s="94">
        <f t="shared" si="12"/>
        <v>0</v>
      </c>
      <c r="W59" s="106">
        <f t="shared" si="13"/>
        <v>0</v>
      </c>
      <c r="X59" s="93"/>
      <c r="Y59" s="105">
        <f t="shared" si="14"/>
        <v>0</v>
      </c>
      <c r="Z59" s="105">
        <f t="shared" si="2"/>
        <v>0</v>
      </c>
      <c r="AA59" s="83">
        <f t="shared" si="15"/>
        <v>0</v>
      </c>
      <c r="AB59" s="94">
        <f t="shared" si="16"/>
        <v>0</v>
      </c>
      <c r="AC59" s="106">
        <f t="shared" si="17"/>
        <v>0</v>
      </c>
      <c r="AD59" s="93"/>
      <c r="AE59" s="105">
        <f t="shared" si="18"/>
        <v>0</v>
      </c>
      <c r="AF59" s="105">
        <f t="shared" si="3"/>
        <v>0</v>
      </c>
      <c r="AG59" s="83">
        <f t="shared" si="19"/>
        <v>0</v>
      </c>
      <c r="AH59" s="94">
        <f t="shared" si="20"/>
        <v>0</v>
      </c>
      <c r="AI59" s="106">
        <f t="shared" si="21"/>
        <v>0</v>
      </c>
      <c r="AJ59" s="93"/>
    </row>
    <row r="60" spans="1:36" ht="15">
      <c r="A60" s="80" t="s">
        <v>473</v>
      </c>
      <c r="B60" s="81"/>
      <c r="C60" s="82" t="e">
        <f>VLOOKUP(B60,'DATOS ASIGNACIÓN'!B:I,4,0)</f>
        <v>#N/A</v>
      </c>
      <c r="D60" s="82">
        <f>COUNTIFS('LISTADOS TFM'!D:D,Pagos!B60,'LISTADOS TFM'!S:S,"SÍ")</f>
        <v>0</v>
      </c>
      <c r="E60" s="82">
        <f>COUNTIF('LISTADOS TFM'!J:L,Pagos!B60)</f>
        <v>0</v>
      </c>
      <c r="F60" s="82"/>
      <c r="G60" s="83">
        <f t="shared" si="22"/>
        <v>0</v>
      </c>
      <c r="H60" s="83">
        <f t="shared" si="23"/>
        <v>0</v>
      </c>
      <c r="I60" s="84"/>
      <c r="J60" s="82">
        <f t="shared" si="4"/>
        <v>0</v>
      </c>
      <c r="K60" s="85">
        <f t="shared" si="5"/>
        <v>0</v>
      </c>
      <c r="L60" s="86"/>
      <c r="M60" s="105">
        <f t="shared" si="6"/>
        <v>0</v>
      </c>
      <c r="N60" s="105">
        <f t="shared" si="6"/>
        <v>0</v>
      </c>
      <c r="O60" s="83">
        <f t="shared" si="7"/>
        <v>0</v>
      </c>
      <c r="P60" s="94">
        <f t="shared" si="8"/>
        <v>0</v>
      </c>
      <c r="Q60" s="106">
        <f t="shared" si="9"/>
        <v>0</v>
      </c>
      <c r="R60" s="93"/>
      <c r="S60" s="105">
        <f t="shared" si="10"/>
        <v>0</v>
      </c>
      <c r="T60" s="105">
        <f t="shared" si="10"/>
        <v>0</v>
      </c>
      <c r="U60" s="83">
        <f t="shared" si="11"/>
        <v>0</v>
      </c>
      <c r="V60" s="94">
        <f t="shared" si="12"/>
        <v>0</v>
      </c>
      <c r="W60" s="106">
        <f t="shared" si="13"/>
        <v>0</v>
      </c>
      <c r="X60" s="93"/>
      <c r="Y60" s="105">
        <f t="shared" si="14"/>
        <v>0</v>
      </c>
      <c r="Z60" s="105">
        <f t="shared" si="2"/>
        <v>0</v>
      </c>
      <c r="AA60" s="83">
        <f t="shared" si="15"/>
        <v>0</v>
      </c>
      <c r="AB60" s="94">
        <f t="shared" si="16"/>
        <v>0</v>
      </c>
      <c r="AC60" s="106">
        <f t="shared" si="17"/>
        <v>0</v>
      </c>
      <c r="AD60" s="93"/>
      <c r="AE60" s="105">
        <f t="shared" si="18"/>
        <v>0</v>
      </c>
      <c r="AF60" s="105">
        <f t="shared" si="3"/>
        <v>0</v>
      </c>
      <c r="AG60" s="83">
        <f t="shared" si="19"/>
        <v>0</v>
      </c>
      <c r="AH60" s="94">
        <f t="shared" si="20"/>
        <v>0</v>
      </c>
      <c r="AI60" s="106">
        <f t="shared" si="21"/>
        <v>0</v>
      </c>
      <c r="AJ60" s="93"/>
    </row>
    <row r="61" spans="1:36" ht="15">
      <c r="A61" s="80" t="s">
        <v>473</v>
      </c>
      <c r="B61" s="81"/>
      <c r="C61" s="82" t="e">
        <f>VLOOKUP(B61,'DATOS ASIGNACIÓN'!B:I,4,0)</f>
        <v>#N/A</v>
      </c>
      <c r="D61" s="82">
        <f>COUNTIFS('LISTADOS TFM'!D:D,Pagos!B61,'LISTADOS TFM'!S:S,"SÍ")</f>
        <v>0</v>
      </c>
      <c r="E61" s="82">
        <f>COUNTIF('LISTADOS TFM'!J:L,Pagos!B61)</f>
        <v>0</v>
      </c>
      <c r="F61" s="82"/>
      <c r="G61" s="83">
        <f t="shared" si="22"/>
        <v>0</v>
      </c>
      <c r="H61" s="83">
        <f t="shared" si="23"/>
        <v>0</v>
      </c>
      <c r="I61" s="84"/>
      <c r="J61" s="82">
        <f t="shared" si="4"/>
        <v>0</v>
      </c>
      <c r="K61" s="85">
        <f t="shared" si="5"/>
        <v>0</v>
      </c>
      <c r="L61" s="86"/>
      <c r="M61" s="105">
        <f t="shared" si="6"/>
        <v>0</v>
      </c>
      <c r="N61" s="105">
        <f t="shared" si="6"/>
        <v>0</v>
      </c>
      <c r="O61" s="83">
        <f t="shared" si="7"/>
        <v>0</v>
      </c>
      <c r="P61" s="94">
        <f t="shared" si="8"/>
        <v>0</v>
      </c>
      <c r="Q61" s="106">
        <f t="shared" si="9"/>
        <v>0</v>
      </c>
      <c r="R61" s="93"/>
      <c r="S61" s="105">
        <f t="shared" si="10"/>
        <v>0</v>
      </c>
      <c r="T61" s="105">
        <f t="shared" si="10"/>
        <v>0</v>
      </c>
      <c r="U61" s="83">
        <f t="shared" si="11"/>
        <v>0</v>
      </c>
      <c r="V61" s="94">
        <f t="shared" si="12"/>
        <v>0</v>
      </c>
      <c r="W61" s="106">
        <f t="shared" si="13"/>
        <v>0</v>
      </c>
      <c r="X61" s="93"/>
      <c r="Y61" s="105">
        <f t="shared" si="14"/>
        <v>0</v>
      </c>
      <c r="Z61" s="105">
        <f t="shared" si="2"/>
        <v>0</v>
      </c>
      <c r="AA61" s="83">
        <f t="shared" si="15"/>
        <v>0</v>
      </c>
      <c r="AB61" s="94">
        <f t="shared" si="16"/>
        <v>0</v>
      </c>
      <c r="AC61" s="106">
        <f t="shared" si="17"/>
        <v>0</v>
      </c>
      <c r="AD61" s="93"/>
      <c r="AE61" s="105">
        <f t="shared" si="18"/>
        <v>0</v>
      </c>
      <c r="AF61" s="105">
        <f t="shared" si="3"/>
        <v>0</v>
      </c>
      <c r="AG61" s="83">
        <f t="shared" si="19"/>
        <v>0</v>
      </c>
      <c r="AH61" s="94">
        <f t="shared" si="20"/>
        <v>0</v>
      </c>
      <c r="AI61" s="106">
        <f t="shared" si="21"/>
        <v>0</v>
      </c>
      <c r="AJ61" s="93"/>
    </row>
    <row r="62" spans="1:36" ht="15">
      <c r="A62" s="80" t="s">
        <v>473</v>
      </c>
      <c r="B62" s="81"/>
      <c r="C62" s="82" t="e">
        <f>VLOOKUP(B62,'DATOS ASIGNACIÓN'!B:I,4,0)</f>
        <v>#N/A</v>
      </c>
      <c r="D62" s="82">
        <f>COUNTIFS('LISTADOS TFM'!D:D,Pagos!B62,'LISTADOS TFM'!S:S,"SÍ")</f>
        <v>0</v>
      </c>
      <c r="E62" s="82">
        <f>COUNTIF('LISTADOS TFM'!J:L,Pagos!B62)</f>
        <v>0</v>
      </c>
      <c r="F62" s="82"/>
      <c r="G62" s="83">
        <f t="shared" si="22"/>
        <v>0</v>
      </c>
      <c r="H62" s="83">
        <f t="shared" si="23"/>
        <v>0</v>
      </c>
      <c r="I62" s="84"/>
      <c r="J62" s="82">
        <f t="shared" si="4"/>
        <v>0</v>
      </c>
      <c r="K62" s="85">
        <f t="shared" si="5"/>
        <v>0</v>
      </c>
      <c r="L62" s="86"/>
      <c r="M62" s="105">
        <f t="shared" si="6"/>
        <v>0</v>
      </c>
      <c r="N62" s="105">
        <f t="shared" si="6"/>
        <v>0</v>
      </c>
      <c r="O62" s="83">
        <f t="shared" si="7"/>
        <v>0</v>
      </c>
      <c r="P62" s="94">
        <f t="shared" si="8"/>
        <v>0</v>
      </c>
      <c r="Q62" s="106">
        <f t="shared" si="9"/>
        <v>0</v>
      </c>
      <c r="R62" s="93"/>
      <c r="S62" s="105">
        <f t="shared" si="10"/>
        <v>0</v>
      </c>
      <c r="T62" s="105">
        <f t="shared" si="10"/>
        <v>0</v>
      </c>
      <c r="U62" s="83">
        <f t="shared" si="11"/>
        <v>0</v>
      </c>
      <c r="V62" s="94">
        <f t="shared" si="12"/>
        <v>0</v>
      </c>
      <c r="W62" s="106">
        <f t="shared" si="13"/>
        <v>0</v>
      </c>
      <c r="X62" s="93"/>
      <c r="Y62" s="105">
        <f t="shared" si="14"/>
        <v>0</v>
      </c>
      <c r="Z62" s="105">
        <f t="shared" si="2"/>
        <v>0</v>
      </c>
      <c r="AA62" s="83">
        <f t="shared" si="15"/>
        <v>0</v>
      </c>
      <c r="AB62" s="94">
        <f t="shared" si="16"/>
        <v>0</v>
      </c>
      <c r="AC62" s="106">
        <f t="shared" si="17"/>
        <v>0</v>
      </c>
      <c r="AD62" s="93"/>
      <c r="AE62" s="105">
        <f t="shared" si="18"/>
        <v>0</v>
      </c>
      <c r="AF62" s="105">
        <f t="shared" si="3"/>
        <v>0</v>
      </c>
      <c r="AG62" s="83">
        <f t="shared" si="19"/>
        <v>0</v>
      </c>
      <c r="AH62" s="94">
        <f t="shared" si="20"/>
        <v>0</v>
      </c>
      <c r="AI62" s="106">
        <f t="shared" si="21"/>
        <v>0</v>
      </c>
      <c r="AJ62" s="93"/>
    </row>
    <row r="63" spans="1:36" ht="15">
      <c r="A63" s="80" t="s">
        <v>473</v>
      </c>
      <c r="B63" s="81"/>
      <c r="C63" s="82" t="e">
        <f>VLOOKUP(B63,'DATOS ASIGNACIÓN'!B:I,4,0)</f>
        <v>#N/A</v>
      </c>
      <c r="D63" s="82">
        <f>COUNTIFS('LISTADOS TFM'!D:D,Pagos!B63,'LISTADOS TFM'!S:S,"SÍ")</f>
        <v>0</v>
      </c>
      <c r="E63" s="82">
        <f>COUNTIF('LISTADOS TFM'!J:L,Pagos!B63)</f>
        <v>0</v>
      </c>
      <c r="F63" s="82"/>
      <c r="G63" s="83">
        <f t="shared" si="22"/>
        <v>0</v>
      </c>
      <c r="H63" s="83">
        <f t="shared" si="23"/>
        <v>0</v>
      </c>
      <c r="I63" s="84"/>
      <c r="J63" s="82">
        <f t="shared" si="4"/>
        <v>0</v>
      </c>
      <c r="K63" s="85">
        <f t="shared" si="5"/>
        <v>0</v>
      </c>
      <c r="L63" s="86"/>
      <c r="M63" s="105">
        <f t="shared" si="6"/>
        <v>0</v>
      </c>
      <c r="N63" s="105">
        <f t="shared" si="6"/>
        <v>0</v>
      </c>
      <c r="O63" s="83">
        <f t="shared" si="7"/>
        <v>0</v>
      </c>
      <c r="P63" s="94">
        <f t="shared" si="8"/>
        <v>0</v>
      </c>
      <c r="Q63" s="106">
        <f t="shared" si="9"/>
        <v>0</v>
      </c>
      <c r="R63" s="93"/>
      <c r="S63" s="105">
        <f t="shared" si="10"/>
        <v>0</v>
      </c>
      <c r="T63" s="105">
        <f t="shared" si="10"/>
        <v>0</v>
      </c>
      <c r="U63" s="83">
        <f t="shared" si="11"/>
        <v>0</v>
      </c>
      <c r="V63" s="94">
        <f t="shared" si="12"/>
        <v>0</v>
      </c>
      <c r="W63" s="106">
        <f t="shared" si="13"/>
        <v>0</v>
      </c>
      <c r="X63" s="93"/>
      <c r="Y63" s="105">
        <f t="shared" si="14"/>
        <v>0</v>
      </c>
      <c r="Z63" s="105">
        <f t="shared" si="2"/>
        <v>0</v>
      </c>
      <c r="AA63" s="83">
        <f t="shared" si="15"/>
        <v>0</v>
      </c>
      <c r="AB63" s="94">
        <f t="shared" si="16"/>
        <v>0</v>
      </c>
      <c r="AC63" s="106">
        <f t="shared" si="17"/>
        <v>0</v>
      </c>
      <c r="AD63" s="93"/>
      <c r="AE63" s="105">
        <f t="shared" si="18"/>
        <v>0</v>
      </c>
      <c r="AF63" s="105">
        <f t="shared" si="3"/>
        <v>0</v>
      </c>
      <c r="AG63" s="83">
        <f t="shared" si="19"/>
        <v>0</v>
      </c>
      <c r="AH63" s="94">
        <f t="shared" si="20"/>
        <v>0</v>
      </c>
      <c r="AI63" s="106">
        <f t="shared" si="21"/>
        <v>0</v>
      </c>
      <c r="AJ63" s="93"/>
    </row>
    <row r="64" spans="1:36" ht="15">
      <c r="A64" s="80" t="s">
        <v>473</v>
      </c>
      <c r="B64" s="81"/>
      <c r="C64" s="82" t="e">
        <f>VLOOKUP(B64,'DATOS ASIGNACIÓN'!B:I,4,0)</f>
        <v>#N/A</v>
      </c>
      <c r="D64" s="82">
        <f>COUNTIFS('LISTADOS TFM'!D:D,Pagos!B64,'LISTADOS TFM'!S:S,"SÍ")</f>
        <v>0</v>
      </c>
      <c r="E64" s="82">
        <f>COUNTIF('LISTADOS TFM'!J:L,Pagos!B64)</f>
        <v>0</v>
      </c>
      <c r="F64" s="82"/>
      <c r="G64" s="83">
        <f t="shared" si="22"/>
        <v>0</v>
      </c>
      <c r="H64" s="83">
        <f t="shared" si="23"/>
        <v>0</v>
      </c>
      <c r="I64" s="84"/>
      <c r="J64" s="82">
        <f t="shared" si="4"/>
        <v>0</v>
      </c>
      <c r="K64" s="85">
        <f t="shared" si="5"/>
        <v>0</v>
      </c>
      <c r="L64" s="86"/>
      <c r="M64" s="105">
        <f t="shared" si="6"/>
        <v>0</v>
      </c>
      <c r="N64" s="105">
        <f t="shared" si="6"/>
        <v>0</v>
      </c>
      <c r="O64" s="83">
        <f t="shared" si="7"/>
        <v>0</v>
      </c>
      <c r="P64" s="94">
        <f t="shared" si="8"/>
        <v>0</v>
      </c>
      <c r="Q64" s="106">
        <f t="shared" si="9"/>
        <v>0</v>
      </c>
      <c r="R64" s="93"/>
      <c r="S64" s="105">
        <f t="shared" si="10"/>
        <v>0</v>
      </c>
      <c r="T64" s="105">
        <f t="shared" si="10"/>
        <v>0</v>
      </c>
      <c r="U64" s="83">
        <f t="shared" si="11"/>
        <v>0</v>
      </c>
      <c r="V64" s="94">
        <f t="shared" si="12"/>
        <v>0</v>
      </c>
      <c r="W64" s="106">
        <f t="shared" si="13"/>
        <v>0</v>
      </c>
      <c r="X64" s="93"/>
      <c r="Y64" s="105">
        <f t="shared" si="14"/>
        <v>0</v>
      </c>
      <c r="Z64" s="105">
        <f t="shared" si="2"/>
        <v>0</v>
      </c>
      <c r="AA64" s="83">
        <f t="shared" si="15"/>
        <v>0</v>
      </c>
      <c r="AB64" s="94">
        <f t="shared" si="16"/>
        <v>0</v>
      </c>
      <c r="AC64" s="106">
        <f t="shared" si="17"/>
        <v>0</v>
      </c>
      <c r="AD64" s="93"/>
      <c r="AE64" s="105">
        <f t="shared" si="18"/>
        <v>0</v>
      </c>
      <c r="AF64" s="105">
        <f t="shared" si="3"/>
        <v>0</v>
      </c>
      <c r="AG64" s="83">
        <f t="shared" si="19"/>
        <v>0</v>
      </c>
      <c r="AH64" s="94">
        <f t="shared" si="20"/>
        <v>0</v>
      </c>
      <c r="AI64" s="106">
        <f t="shared" si="21"/>
        <v>0</v>
      </c>
      <c r="AJ64" s="93"/>
    </row>
    <row r="65" spans="1:36" ht="15">
      <c r="A65" s="80" t="s">
        <v>473</v>
      </c>
      <c r="B65" s="81"/>
      <c r="C65" s="82" t="e">
        <f>VLOOKUP(B65,'DATOS ASIGNACIÓN'!B:I,4,0)</f>
        <v>#N/A</v>
      </c>
      <c r="D65" s="82">
        <f>COUNTIFS('LISTADOS TFM'!D:D,Pagos!B65,'LISTADOS TFM'!S:S,"SÍ")</f>
        <v>0</v>
      </c>
      <c r="E65" s="82">
        <f>COUNTIF('LISTADOS TFM'!J:L,Pagos!B65)</f>
        <v>0</v>
      </c>
      <c r="F65" s="82"/>
      <c r="G65" s="83">
        <f t="shared" si="22"/>
        <v>0</v>
      </c>
      <c r="H65" s="83">
        <f t="shared" si="23"/>
        <v>0</v>
      </c>
      <c r="I65" s="84"/>
      <c r="J65" s="82">
        <f t="shared" si="4"/>
        <v>0</v>
      </c>
      <c r="K65" s="85">
        <f t="shared" si="5"/>
        <v>0</v>
      </c>
      <c r="L65" s="86"/>
      <c r="M65" s="105">
        <f t="shared" si="6"/>
        <v>0</v>
      </c>
      <c r="N65" s="105">
        <f t="shared" si="6"/>
        <v>0</v>
      </c>
      <c r="O65" s="83">
        <f t="shared" si="7"/>
        <v>0</v>
      </c>
      <c r="P65" s="94">
        <f t="shared" si="8"/>
        <v>0</v>
      </c>
      <c r="Q65" s="106">
        <f t="shared" si="9"/>
        <v>0</v>
      </c>
      <c r="R65" s="93"/>
      <c r="S65" s="105">
        <f t="shared" si="10"/>
        <v>0</v>
      </c>
      <c r="T65" s="105">
        <f t="shared" si="10"/>
        <v>0</v>
      </c>
      <c r="U65" s="83">
        <f t="shared" si="11"/>
        <v>0</v>
      </c>
      <c r="V65" s="94">
        <f t="shared" si="12"/>
        <v>0</v>
      </c>
      <c r="W65" s="106">
        <f t="shared" si="13"/>
        <v>0</v>
      </c>
      <c r="X65" s="93"/>
      <c r="Y65" s="105">
        <f t="shared" si="14"/>
        <v>0</v>
      </c>
      <c r="Z65" s="105">
        <f t="shared" si="2"/>
        <v>0</v>
      </c>
      <c r="AA65" s="83">
        <f t="shared" si="15"/>
        <v>0</v>
      </c>
      <c r="AB65" s="94">
        <f t="shared" si="16"/>
        <v>0</v>
      </c>
      <c r="AC65" s="106">
        <f t="shared" si="17"/>
        <v>0</v>
      </c>
      <c r="AD65" s="93"/>
      <c r="AE65" s="105">
        <f t="shared" si="18"/>
        <v>0</v>
      </c>
      <c r="AF65" s="105">
        <f t="shared" si="3"/>
        <v>0</v>
      </c>
      <c r="AG65" s="83">
        <f t="shared" si="19"/>
        <v>0</v>
      </c>
      <c r="AH65" s="94">
        <f t="shared" si="20"/>
        <v>0</v>
      </c>
      <c r="AI65" s="106">
        <f t="shared" si="21"/>
        <v>0</v>
      </c>
      <c r="AJ65" s="93"/>
    </row>
    <row r="66" spans="1:36" ht="15">
      <c r="A66" s="80" t="s">
        <v>473</v>
      </c>
      <c r="B66" s="81"/>
      <c r="C66" s="82" t="e">
        <f>VLOOKUP(B66,'DATOS ASIGNACIÓN'!B:I,4,0)</f>
        <v>#N/A</v>
      </c>
      <c r="D66" s="82">
        <f>COUNTIFS('LISTADOS TFM'!D:D,Pagos!B66,'LISTADOS TFM'!S:S,"SÍ")</f>
        <v>0</v>
      </c>
      <c r="E66" s="82">
        <f>COUNTIF('LISTADOS TFM'!J:L,Pagos!B66)</f>
        <v>0</v>
      </c>
      <c r="F66" s="82"/>
      <c r="G66" s="83">
        <f t="shared" si="22"/>
        <v>0</v>
      </c>
      <c r="H66" s="83">
        <f t="shared" si="23"/>
        <v>0</v>
      </c>
      <c r="I66" s="84"/>
      <c r="J66" s="82">
        <f t="shared" si="4"/>
        <v>0</v>
      </c>
      <c r="K66" s="85">
        <f t="shared" si="5"/>
        <v>0</v>
      </c>
      <c r="L66" s="86"/>
      <c r="M66" s="105">
        <f t="shared" si="6"/>
        <v>0</v>
      </c>
      <c r="N66" s="105">
        <f t="shared" si="6"/>
        <v>0</v>
      </c>
      <c r="O66" s="83">
        <f t="shared" si="7"/>
        <v>0</v>
      </c>
      <c r="P66" s="94">
        <f t="shared" si="8"/>
        <v>0</v>
      </c>
      <c r="Q66" s="106">
        <f t="shared" si="9"/>
        <v>0</v>
      </c>
      <c r="R66" s="93"/>
      <c r="S66" s="105">
        <f t="shared" si="10"/>
        <v>0</v>
      </c>
      <c r="T66" s="105">
        <f t="shared" si="10"/>
        <v>0</v>
      </c>
      <c r="U66" s="83">
        <f t="shared" si="11"/>
        <v>0</v>
      </c>
      <c r="V66" s="94">
        <f t="shared" si="12"/>
        <v>0</v>
      </c>
      <c r="W66" s="106">
        <f t="shared" si="13"/>
        <v>0</v>
      </c>
      <c r="X66" s="93"/>
      <c r="Y66" s="105">
        <f t="shared" si="14"/>
        <v>0</v>
      </c>
      <c r="Z66" s="105">
        <f t="shared" si="2"/>
        <v>0</v>
      </c>
      <c r="AA66" s="83">
        <f t="shared" si="15"/>
        <v>0</v>
      </c>
      <c r="AB66" s="94">
        <f t="shared" si="16"/>
        <v>0</v>
      </c>
      <c r="AC66" s="106">
        <f t="shared" si="17"/>
        <v>0</v>
      </c>
      <c r="AD66" s="93"/>
      <c r="AE66" s="105">
        <f t="shared" si="18"/>
        <v>0</v>
      </c>
      <c r="AF66" s="105">
        <f t="shared" si="3"/>
        <v>0</v>
      </c>
      <c r="AG66" s="83">
        <f t="shared" si="19"/>
        <v>0</v>
      </c>
      <c r="AH66" s="94">
        <f t="shared" si="20"/>
        <v>0</v>
      </c>
      <c r="AI66" s="106">
        <f t="shared" si="21"/>
        <v>0</v>
      </c>
      <c r="AJ66" s="93"/>
    </row>
    <row r="67" spans="1:36" ht="15">
      <c r="A67" s="80" t="s">
        <v>473</v>
      </c>
      <c r="B67" s="81"/>
      <c r="C67" s="82" t="e">
        <f>VLOOKUP(B67,'DATOS ASIGNACIÓN'!B:I,4,0)</f>
        <v>#N/A</v>
      </c>
      <c r="D67" s="82">
        <f>COUNTIFS('LISTADOS TFM'!D:D,Pagos!B67,'LISTADOS TFM'!S:S,"SÍ")</f>
        <v>0</v>
      </c>
      <c r="E67" s="82">
        <f>COUNTIF('LISTADOS TFM'!J:L,Pagos!B67)</f>
        <v>0</v>
      </c>
      <c r="F67" s="82"/>
      <c r="G67" s="83">
        <f t="shared" si="22"/>
        <v>0</v>
      </c>
      <c r="H67" s="83">
        <f t="shared" si="23"/>
        <v>0</v>
      </c>
      <c r="I67" s="84"/>
      <c r="J67" s="82">
        <f t="shared" si="4"/>
        <v>0</v>
      </c>
      <c r="K67" s="85">
        <f t="shared" si="5"/>
        <v>0</v>
      </c>
      <c r="L67" s="86"/>
      <c r="M67" s="105">
        <f t="shared" si="6"/>
        <v>0</v>
      </c>
      <c r="N67" s="105">
        <f t="shared" si="6"/>
        <v>0</v>
      </c>
      <c r="O67" s="83">
        <f t="shared" si="7"/>
        <v>0</v>
      </c>
      <c r="P67" s="94">
        <f t="shared" si="8"/>
        <v>0</v>
      </c>
      <c r="Q67" s="106">
        <f t="shared" si="9"/>
        <v>0</v>
      </c>
      <c r="R67" s="93"/>
      <c r="S67" s="105">
        <f t="shared" si="10"/>
        <v>0</v>
      </c>
      <c r="T67" s="105">
        <f t="shared" si="10"/>
        <v>0</v>
      </c>
      <c r="U67" s="83">
        <f t="shared" si="11"/>
        <v>0</v>
      </c>
      <c r="V67" s="94">
        <f t="shared" si="12"/>
        <v>0</v>
      </c>
      <c r="W67" s="106">
        <f t="shared" si="13"/>
        <v>0</v>
      </c>
      <c r="X67" s="93"/>
      <c r="Y67" s="105">
        <f t="shared" si="14"/>
        <v>0</v>
      </c>
      <c r="Z67" s="105">
        <f t="shared" si="2"/>
        <v>0</v>
      </c>
      <c r="AA67" s="83">
        <f t="shared" si="15"/>
        <v>0</v>
      </c>
      <c r="AB67" s="94">
        <f t="shared" si="16"/>
        <v>0</v>
      </c>
      <c r="AC67" s="106">
        <f t="shared" si="17"/>
        <v>0</v>
      </c>
      <c r="AD67" s="93"/>
      <c r="AE67" s="105">
        <f t="shared" si="18"/>
        <v>0</v>
      </c>
      <c r="AF67" s="105">
        <f t="shared" si="3"/>
        <v>0</v>
      </c>
      <c r="AG67" s="83">
        <f t="shared" si="19"/>
        <v>0</v>
      </c>
      <c r="AH67" s="94">
        <f t="shared" si="20"/>
        <v>0</v>
      </c>
      <c r="AI67" s="106">
        <f t="shared" si="21"/>
        <v>0</v>
      </c>
      <c r="AJ67" s="93"/>
    </row>
    <row r="68" spans="1:36" ht="15">
      <c r="A68" s="80" t="s">
        <v>473</v>
      </c>
      <c r="B68" s="81"/>
      <c r="C68" s="82" t="e">
        <f>VLOOKUP(B68,'DATOS ASIGNACIÓN'!B:I,4,0)</f>
        <v>#N/A</v>
      </c>
      <c r="D68" s="82">
        <f>COUNTIFS('LISTADOS TFM'!D:D,Pagos!B68,'LISTADOS TFM'!S:S,"SÍ")</f>
        <v>0</v>
      </c>
      <c r="E68" s="82">
        <f>COUNTIF('LISTADOS TFM'!J:L,Pagos!B68)</f>
        <v>0</v>
      </c>
      <c r="F68" s="82"/>
      <c r="G68" s="83">
        <f t="shared" si="22"/>
        <v>0</v>
      </c>
      <c r="H68" s="83">
        <f t="shared" si="23"/>
        <v>0</v>
      </c>
      <c r="I68" s="84"/>
      <c r="J68" s="82">
        <f t="shared" si="4"/>
        <v>0</v>
      </c>
      <c r="K68" s="85">
        <f t="shared" si="5"/>
        <v>0</v>
      </c>
      <c r="L68" s="86"/>
      <c r="M68" s="105">
        <f t="shared" si="6"/>
        <v>0</v>
      </c>
      <c r="N68" s="105">
        <f t="shared" si="6"/>
        <v>0</v>
      </c>
      <c r="O68" s="83">
        <f t="shared" si="7"/>
        <v>0</v>
      </c>
      <c r="P68" s="94">
        <f t="shared" si="8"/>
        <v>0</v>
      </c>
      <c r="Q68" s="106">
        <f t="shared" si="9"/>
        <v>0</v>
      </c>
      <c r="R68" s="93"/>
      <c r="S68" s="105">
        <f t="shared" si="10"/>
        <v>0</v>
      </c>
      <c r="T68" s="105">
        <f t="shared" si="10"/>
        <v>0</v>
      </c>
      <c r="U68" s="83">
        <f t="shared" si="11"/>
        <v>0</v>
      </c>
      <c r="V68" s="94">
        <f t="shared" si="12"/>
        <v>0</v>
      </c>
      <c r="W68" s="106">
        <f t="shared" si="13"/>
        <v>0</v>
      </c>
      <c r="X68" s="93"/>
      <c r="Y68" s="105">
        <f t="shared" si="14"/>
        <v>0</v>
      </c>
      <c r="Z68" s="105">
        <f t="shared" si="2"/>
        <v>0</v>
      </c>
      <c r="AA68" s="83">
        <f t="shared" si="15"/>
        <v>0</v>
      </c>
      <c r="AB68" s="94">
        <f t="shared" si="16"/>
        <v>0</v>
      </c>
      <c r="AC68" s="106">
        <f t="shared" si="17"/>
        <v>0</v>
      </c>
      <c r="AD68" s="93"/>
      <c r="AE68" s="105">
        <f t="shared" si="18"/>
        <v>0</v>
      </c>
      <c r="AF68" s="105">
        <f t="shared" si="3"/>
        <v>0</v>
      </c>
      <c r="AG68" s="83">
        <f t="shared" si="19"/>
        <v>0</v>
      </c>
      <c r="AH68" s="94">
        <f t="shared" si="20"/>
        <v>0</v>
      </c>
      <c r="AI68" s="106">
        <f t="shared" si="21"/>
        <v>0</v>
      </c>
      <c r="AJ68" s="93"/>
    </row>
    <row r="69" spans="1:36" ht="15">
      <c r="A69" s="80" t="s">
        <v>473</v>
      </c>
      <c r="B69" s="81"/>
      <c r="C69" s="82" t="e">
        <f>VLOOKUP(B69,'DATOS ASIGNACIÓN'!B:I,4,0)</f>
        <v>#N/A</v>
      </c>
      <c r="D69" s="82">
        <f>COUNTIFS('LISTADOS TFM'!D:D,Pagos!B69,'LISTADOS TFM'!S:S,"SÍ")</f>
        <v>0</v>
      </c>
      <c r="E69" s="82">
        <f>COUNTIF('LISTADOS TFM'!J:L,Pagos!B69)</f>
        <v>0</v>
      </c>
      <c r="F69" s="82"/>
      <c r="G69" s="83">
        <f t="shared" si="22"/>
        <v>0</v>
      </c>
      <c r="H69" s="83">
        <f t="shared" si="23"/>
        <v>0</v>
      </c>
      <c r="I69" s="84"/>
      <c r="J69" s="82">
        <f t="shared" si="4"/>
        <v>0</v>
      </c>
      <c r="K69" s="85">
        <f t="shared" si="5"/>
        <v>0</v>
      </c>
      <c r="L69" s="86"/>
      <c r="M69" s="105">
        <f t="shared" si="6"/>
        <v>0</v>
      </c>
      <c r="N69" s="105">
        <f t="shared" si="6"/>
        <v>0</v>
      </c>
      <c r="O69" s="83">
        <f t="shared" si="7"/>
        <v>0</v>
      </c>
      <c r="P69" s="94">
        <f t="shared" si="8"/>
        <v>0</v>
      </c>
      <c r="Q69" s="106">
        <f t="shared" si="9"/>
        <v>0</v>
      </c>
      <c r="R69" s="93"/>
      <c r="S69" s="105">
        <f t="shared" si="10"/>
        <v>0</v>
      </c>
      <c r="T69" s="105">
        <f t="shared" si="10"/>
        <v>0</v>
      </c>
      <c r="U69" s="83">
        <f t="shared" si="11"/>
        <v>0</v>
      </c>
      <c r="V69" s="94">
        <f t="shared" si="12"/>
        <v>0</v>
      </c>
      <c r="W69" s="106">
        <f t="shared" si="13"/>
        <v>0</v>
      </c>
      <c r="X69" s="93"/>
      <c r="Y69" s="105">
        <f t="shared" si="14"/>
        <v>0</v>
      </c>
      <c r="Z69" s="105">
        <f t="shared" si="2"/>
        <v>0</v>
      </c>
      <c r="AA69" s="83">
        <f t="shared" si="15"/>
        <v>0</v>
      </c>
      <c r="AB69" s="94">
        <f t="shared" si="16"/>
        <v>0</v>
      </c>
      <c r="AC69" s="106">
        <f t="shared" si="17"/>
        <v>0</v>
      </c>
      <c r="AD69" s="93"/>
      <c r="AE69" s="105">
        <f t="shared" si="18"/>
        <v>0</v>
      </c>
      <c r="AF69" s="105">
        <f t="shared" si="3"/>
        <v>0</v>
      </c>
      <c r="AG69" s="83">
        <f t="shared" si="19"/>
        <v>0</v>
      </c>
      <c r="AH69" s="94">
        <f t="shared" si="20"/>
        <v>0</v>
      </c>
      <c r="AI69" s="106">
        <f t="shared" si="21"/>
        <v>0</v>
      </c>
      <c r="AJ69" s="93"/>
    </row>
    <row r="70" spans="1:36" ht="15">
      <c r="A70" s="80" t="s">
        <v>473</v>
      </c>
      <c r="B70" s="81"/>
      <c r="C70" s="82" t="e">
        <f>VLOOKUP(B70,'DATOS ASIGNACIÓN'!B:I,4,0)</f>
        <v>#N/A</v>
      </c>
      <c r="D70" s="82">
        <f>COUNTIFS('LISTADOS TFM'!D:D,Pagos!B70,'LISTADOS TFM'!S:S,"SÍ")</f>
        <v>0</v>
      </c>
      <c r="E70" s="82">
        <f>COUNTIF('LISTADOS TFM'!J:L,Pagos!B70)</f>
        <v>0</v>
      </c>
      <c r="F70" s="82"/>
      <c r="G70" s="83">
        <f t="shared" si="22"/>
        <v>0</v>
      </c>
      <c r="H70" s="83">
        <f t="shared" si="23"/>
        <v>0</v>
      </c>
      <c r="I70" s="84"/>
      <c r="J70" s="82">
        <f t="shared" si="4"/>
        <v>0</v>
      </c>
      <c r="K70" s="85">
        <f t="shared" si="5"/>
        <v>0</v>
      </c>
      <c r="L70" s="86"/>
      <c r="M70" s="105">
        <f t="shared" si="6"/>
        <v>0</v>
      </c>
      <c r="N70" s="105">
        <f t="shared" si="6"/>
        <v>0</v>
      </c>
      <c r="O70" s="83">
        <f t="shared" si="7"/>
        <v>0</v>
      </c>
      <c r="P70" s="94">
        <f t="shared" si="8"/>
        <v>0</v>
      </c>
      <c r="Q70" s="106">
        <f t="shared" si="9"/>
        <v>0</v>
      </c>
      <c r="R70" s="93"/>
      <c r="S70" s="105">
        <f t="shared" si="10"/>
        <v>0</v>
      </c>
      <c r="T70" s="105">
        <f t="shared" si="10"/>
        <v>0</v>
      </c>
      <c r="U70" s="83">
        <f t="shared" si="11"/>
        <v>0</v>
      </c>
      <c r="V70" s="94">
        <f t="shared" si="12"/>
        <v>0</v>
      </c>
      <c r="W70" s="106">
        <f t="shared" si="13"/>
        <v>0</v>
      </c>
      <c r="X70" s="93"/>
      <c r="Y70" s="105">
        <f t="shared" si="14"/>
        <v>0</v>
      </c>
      <c r="Z70" s="105">
        <f t="shared" si="2"/>
        <v>0</v>
      </c>
      <c r="AA70" s="83">
        <f t="shared" si="15"/>
        <v>0</v>
      </c>
      <c r="AB70" s="94">
        <f t="shared" si="16"/>
        <v>0</v>
      </c>
      <c r="AC70" s="106">
        <f t="shared" si="17"/>
        <v>0</v>
      </c>
      <c r="AD70" s="93"/>
      <c r="AE70" s="105">
        <f t="shared" si="18"/>
        <v>0</v>
      </c>
      <c r="AF70" s="105">
        <f t="shared" si="3"/>
        <v>0</v>
      </c>
      <c r="AG70" s="83">
        <f t="shared" si="19"/>
        <v>0</v>
      </c>
      <c r="AH70" s="94">
        <f t="shared" si="20"/>
        <v>0</v>
      </c>
      <c r="AI70" s="106">
        <f t="shared" si="21"/>
        <v>0</v>
      </c>
      <c r="AJ70" s="93"/>
    </row>
    <row r="71" spans="1:36" ht="15">
      <c r="A71" s="80" t="s">
        <v>473</v>
      </c>
      <c r="B71" s="81"/>
      <c r="C71" s="82" t="e">
        <f>VLOOKUP(B71,'DATOS ASIGNACIÓN'!B:I,4,0)</f>
        <v>#N/A</v>
      </c>
      <c r="D71" s="82">
        <f>COUNTIFS('LISTADOS TFM'!D:D,Pagos!B71,'LISTADOS TFM'!S:S,"SÍ")</f>
        <v>0</v>
      </c>
      <c r="E71" s="82">
        <f>COUNTIF('LISTADOS TFM'!J:L,Pagos!B71)</f>
        <v>0</v>
      </c>
      <c r="F71" s="82"/>
      <c r="G71" s="83">
        <f t="shared" si="22"/>
        <v>0</v>
      </c>
      <c r="H71" s="83">
        <f t="shared" si="23"/>
        <v>0</v>
      </c>
      <c r="I71" s="84"/>
      <c r="J71" s="82">
        <f t="shared" si="4"/>
        <v>0</v>
      </c>
      <c r="K71" s="85">
        <f t="shared" si="5"/>
        <v>0</v>
      </c>
      <c r="L71" s="86"/>
      <c r="M71" s="105">
        <f t="shared" si="6"/>
        <v>0</v>
      </c>
      <c r="N71" s="105">
        <f t="shared" si="6"/>
        <v>0</v>
      </c>
      <c r="O71" s="83">
        <f t="shared" si="7"/>
        <v>0</v>
      </c>
      <c r="P71" s="94">
        <f t="shared" si="8"/>
        <v>0</v>
      </c>
      <c r="Q71" s="106">
        <f t="shared" si="9"/>
        <v>0</v>
      </c>
      <c r="R71" s="93"/>
      <c r="S71" s="105">
        <f t="shared" si="10"/>
        <v>0</v>
      </c>
      <c r="T71" s="105">
        <f t="shared" si="10"/>
        <v>0</v>
      </c>
      <c r="U71" s="83">
        <f t="shared" si="11"/>
        <v>0</v>
      </c>
      <c r="V71" s="94">
        <f t="shared" si="12"/>
        <v>0</v>
      </c>
      <c r="W71" s="106">
        <f t="shared" si="13"/>
        <v>0</v>
      </c>
      <c r="X71" s="93"/>
      <c r="Y71" s="105">
        <f t="shared" si="14"/>
        <v>0</v>
      </c>
      <c r="Z71" s="105">
        <f t="shared" si="2"/>
        <v>0</v>
      </c>
      <c r="AA71" s="83">
        <f t="shared" si="15"/>
        <v>0</v>
      </c>
      <c r="AB71" s="94">
        <f t="shared" si="16"/>
        <v>0</v>
      </c>
      <c r="AC71" s="106">
        <f t="shared" si="17"/>
        <v>0</v>
      </c>
      <c r="AD71" s="93"/>
      <c r="AE71" s="105">
        <f t="shared" si="18"/>
        <v>0</v>
      </c>
      <c r="AF71" s="105">
        <f t="shared" si="3"/>
        <v>0</v>
      </c>
      <c r="AG71" s="83">
        <f t="shared" si="19"/>
        <v>0</v>
      </c>
      <c r="AH71" s="94">
        <f t="shared" si="20"/>
        <v>0</v>
      </c>
      <c r="AI71" s="106">
        <f t="shared" si="21"/>
        <v>0</v>
      </c>
      <c r="AJ71" s="93"/>
    </row>
    <row r="72" spans="1:36" ht="15">
      <c r="A72" s="80" t="s">
        <v>473</v>
      </c>
      <c r="B72" s="81"/>
      <c r="C72" s="82" t="e">
        <f>VLOOKUP(B72,'DATOS ASIGNACIÓN'!B:I,4,0)</f>
        <v>#N/A</v>
      </c>
      <c r="D72" s="82">
        <f>COUNTIFS('LISTADOS TFM'!D:D,Pagos!B72,'LISTADOS TFM'!S:S,"SÍ")</f>
        <v>0</v>
      </c>
      <c r="E72" s="82">
        <f>COUNTIF('LISTADOS TFM'!J:L,Pagos!B72)</f>
        <v>0</v>
      </c>
      <c r="F72" s="82"/>
      <c r="G72" s="83">
        <f t="shared" si="22"/>
        <v>0</v>
      </c>
      <c r="H72" s="83">
        <f t="shared" si="23"/>
        <v>0</v>
      </c>
      <c r="I72" s="84"/>
      <c r="J72" s="82">
        <f t="shared" si="4"/>
        <v>0</v>
      </c>
      <c r="K72" s="85">
        <f t="shared" si="5"/>
        <v>0</v>
      </c>
      <c r="L72" s="86"/>
      <c r="M72" s="105">
        <f t="shared" si="6"/>
        <v>0</v>
      </c>
      <c r="N72" s="105">
        <f t="shared" si="6"/>
        <v>0</v>
      </c>
      <c r="O72" s="83">
        <f t="shared" si="7"/>
        <v>0</v>
      </c>
      <c r="P72" s="94">
        <f t="shared" si="8"/>
        <v>0</v>
      </c>
      <c r="Q72" s="106">
        <f t="shared" si="9"/>
        <v>0</v>
      </c>
      <c r="R72" s="93"/>
      <c r="S72" s="105">
        <f t="shared" si="10"/>
        <v>0</v>
      </c>
      <c r="T72" s="105">
        <f t="shared" si="10"/>
        <v>0</v>
      </c>
      <c r="U72" s="83">
        <f t="shared" si="11"/>
        <v>0</v>
      </c>
      <c r="V72" s="94">
        <f t="shared" si="12"/>
        <v>0</v>
      </c>
      <c r="W72" s="106">
        <f t="shared" si="13"/>
        <v>0</v>
      </c>
      <c r="X72" s="93"/>
      <c r="Y72" s="105">
        <f t="shared" si="14"/>
        <v>0</v>
      </c>
      <c r="Z72" s="105">
        <f t="shared" si="2"/>
        <v>0</v>
      </c>
      <c r="AA72" s="83">
        <f t="shared" si="15"/>
        <v>0</v>
      </c>
      <c r="AB72" s="94">
        <f t="shared" si="16"/>
        <v>0</v>
      </c>
      <c r="AC72" s="106">
        <f t="shared" si="17"/>
        <v>0</v>
      </c>
      <c r="AD72" s="93"/>
      <c r="AE72" s="105">
        <f t="shared" si="18"/>
        <v>0</v>
      </c>
      <c r="AF72" s="105">
        <f t="shared" si="3"/>
        <v>0</v>
      </c>
      <c r="AG72" s="83">
        <f t="shared" si="19"/>
        <v>0</v>
      </c>
      <c r="AH72" s="94">
        <f t="shared" si="20"/>
        <v>0</v>
      </c>
      <c r="AI72" s="106">
        <f t="shared" si="21"/>
        <v>0</v>
      </c>
      <c r="AJ72" s="93"/>
    </row>
    <row r="73" spans="1:36" ht="15">
      <c r="A73" s="80" t="s">
        <v>473</v>
      </c>
      <c r="B73" s="81"/>
      <c r="C73" s="82" t="e">
        <f>VLOOKUP(B73,'DATOS ASIGNACIÓN'!B:I,4,0)</f>
        <v>#N/A</v>
      </c>
      <c r="D73" s="82">
        <f>COUNTIFS('LISTADOS TFM'!D:D,Pagos!B73,'LISTADOS TFM'!S:S,"SÍ")</f>
        <v>0</v>
      </c>
      <c r="E73" s="82">
        <f>COUNTIF('LISTADOS TFM'!J:L,Pagos!B73)</f>
        <v>0</v>
      </c>
      <c r="F73" s="82"/>
      <c r="G73" s="83">
        <f t="shared" si="22"/>
        <v>0</v>
      </c>
      <c r="H73" s="83">
        <f t="shared" si="23"/>
        <v>0</v>
      </c>
      <c r="I73" s="84"/>
      <c r="J73" s="82">
        <f t="shared" si="4"/>
        <v>0</v>
      </c>
      <c r="K73" s="85">
        <f t="shared" si="5"/>
        <v>0</v>
      </c>
      <c r="L73" s="86"/>
      <c r="M73" s="105">
        <f t="shared" si="6"/>
        <v>0</v>
      </c>
      <c r="N73" s="105">
        <f t="shared" si="6"/>
        <v>0</v>
      </c>
      <c r="O73" s="83">
        <f t="shared" si="7"/>
        <v>0</v>
      </c>
      <c r="P73" s="94">
        <f t="shared" si="8"/>
        <v>0</v>
      </c>
      <c r="Q73" s="106">
        <f t="shared" si="9"/>
        <v>0</v>
      </c>
      <c r="R73" s="93"/>
      <c r="S73" s="105">
        <f t="shared" si="10"/>
        <v>0</v>
      </c>
      <c r="T73" s="105">
        <f t="shared" si="10"/>
        <v>0</v>
      </c>
      <c r="U73" s="83">
        <f t="shared" si="11"/>
        <v>0</v>
      </c>
      <c r="V73" s="94">
        <f t="shared" si="12"/>
        <v>0</v>
      </c>
      <c r="W73" s="106">
        <f t="shared" si="13"/>
        <v>0</v>
      </c>
      <c r="X73" s="93"/>
      <c r="Y73" s="105">
        <f t="shared" si="14"/>
        <v>0</v>
      </c>
      <c r="Z73" s="105">
        <f t="shared" si="2"/>
        <v>0</v>
      </c>
      <c r="AA73" s="83">
        <f t="shared" si="15"/>
        <v>0</v>
      </c>
      <c r="AB73" s="94">
        <f t="shared" si="16"/>
        <v>0</v>
      </c>
      <c r="AC73" s="106">
        <f t="shared" si="17"/>
        <v>0</v>
      </c>
      <c r="AD73" s="93"/>
      <c r="AE73" s="105">
        <f t="shared" si="18"/>
        <v>0</v>
      </c>
      <c r="AF73" s="105">
        <f t="shared" si="3"/>
        <v>0</v>
      </c>
      <c r="AG73" s="83">
        <f t="shared" si="19"/>
        <v>0</v>
      </c>
      <c r="AH73" s="94">
        <f t="shared" si="20"/>
        <v>0</v>
      </c>
      <c r="AI73" s="106">
        <f t="shared" si="21"/>
        <v>0</v>
      </c>
      <c r="AJ73" s="93"/>
    </row>
    <row r="74" spans="1:36" ht="15">
      <c r="A74" s="80" t="s">
        <v>473</v>
      </c>
      <c r="B74" s="81"/>
      <c r="C74" s="82" t="e">
        <f>VLOOKUP(B74,'DATOS ASIGNACIÓN'!B:I,4,0)</f>
        <v>#N/A</v>
      </c>
      <c r="D74" s="82">
        <f>COUNTIFS('LISTADOS TFM'!D:D,Pagos!B74,'LISTADOS TFM'!S:S,"SÍ")</f>
        <v>0</v>
      </c>
      <c r="E74" s="82">
        <f>COUNTIF('LISTADOS TFM'!J:L,Pagos!B74)</f>
        <v>0</v>
      </c>
      <c r="F74" s="82"/>
      <c r="G74" s="83">
        <f t="shared" si="22"/>
        <v>0</v>
      </c>
      <c r="H74" s="83">
        <f t="shared" si="23"/>
        <v>0</v>
      </c>
      <c r="I74" s="84"/>
      <c r="J74" s="82">
        <f t="shared" si="4"/>
        <v>0</v>
      </c>
      <c r="K74" s="85">
        <f t="shared" si="5"/>
        <v>0</v>
      </c>
      <c r="L74" s="86"/>
      <c r="M74" s="105">
        <f t="shared" si="6"/>
        <v>0</v>
      </c>
      <c r="N74" s="105">
        <f t="shared" si="6"/>
        <v>0</v>
      </c>
      <c r="O74" s="83">
        <f t="shared" si="7"/>
        <v>0</v>
      </c>
      <c r="P74" s="94">
        <f t="shared" si="8"/>
        <v>0</v>
      </c>
      <c r="Q74" s="106">
        <f t="shared" si="9"/>
        <v>0</v>
      </c>
      <c r="R74" s="93"/>
      <c r="S74" s="105">
        <f t="shared" si="10"/>
        <v>0</v>
      </c>
      <c r="T74" s="105">
        <f t="shared" si="10"/>
        <v>0</v>
      </c>
      <c r="U74" s="83">
        <f t="shared" si="11"/>
        <v>0</v>
      </c>
      <c r="V74" s="94">
        <f t="shared" si="12"/>
        <v>0</v>
      </c>
      <c r="W74" s="106">
        <f t="shared" si="13"/>
        <v>0</v>
      </c>
      <c r="X74" s="93"/>
      <c r="Y74" s="105">
        <f t="shared" si="14"/>
        <v>0</v>
      </c>
      <c r="Z74" s="105">
        <f t="shared" si="2"/>
        <v>0</v>
      </c>
      <c r="AA74" s="83">
        <f t="shared" si="15"/>
        <v>0</v>
      </c>
      <c r="AB74" s="94">
        <f t="shared" si="16"/>
        <v>0</v>
      </c>
      <c r="AC74" s="106">
        <f t="shared" si="17"/>
        <v>0</v>
      </c>
      <c r="AD74" s="93"/>
      <c r="AE74" s="105">
        <f t="shared" si="18"/>
        <v>0</v>
      </c>
      <c r="AF74" s="105">
        <f t="shared" si="3"/>
        <v>0</v>
      </c>
      <c r="AG74" s="83">
        <f t="shared" si="19"/>
        <v>0</v>
      </c>
      <c r="AH74" s="94">
        <f t="shared" si="20"/>
        <v>0</v>
      </c>
      <c r="AI74" s="106">
        <f t="shared" si="21"/>
        <v>0</v>
      </c>
      <c r="AJ74" s="93"/>
    </row>
    <row r="75" spans="1:36" ht="15">
      <c r="A75" s="80" t="s">
        <v>473</v>
      </c>
      <c r="B75" s="81"/>
      <c r="C75" s="82" t="e">
        <f>VLOOKUP(B75,'DATOS ASIGNACIÓN'!B:I,4,0)</f>
        <v>#N/A</v>
      </c>
      <c r="D75" s="82">
        <f>COUNTIFS('LISTADOS TFM'!D:D,Pagos!B75,'LISTADOS TFM'!S:S,"SÍ")</f>
        <v>0</v>
      </c>
      <c r="E75" s="82">
        <f>COUNTIF('LISTADOS TFM'!J:L,Pagos!B75)</f>
        <v>0</v>
      </c>
      <c r="F75" s="82"/>
      <c r="G75" s="83">
        <f t="shared" si="22"/>
        <v>0</v>
      </c>
      <c r="H75" s="83">
        <f t="shared" si="23"/>
        <v>0</v>
      </c>
      <c r="I75" s="84"/>
      <c r="J75" s="82">
        <f t="shared" si="4"/>
        <v>0</v>
      </c>
      <c r="K75" s="85">
        <f t="shared" si="5"/>
        <v>0</v>
      </c>
      <c r="L75" s="86"/>
      <c r="M75" s="105">
        <f t="shared" si="6"/>
        <v>0</v>
      </c>
      <c r="N75" s="105">
        <f t="shared" si="6"/>
        <v>0</v>
      </c>
      <c r="O75" s="83">
        <f t="shared" si="7"/>
        <v>0</v>
      </c>
      <c r="P75" s="94">
        <f t="shared" si="8"/>
        <v>0</v>
      </c>
      <c r="Q75" s="106">
        <f t="shared" si="9"/>
        <v>0</v>
      </c>
      <c r="R75" s="93"/>
      <c r="S75" s="105">
        <f t="shared" si="10"/>
        <v>0</v>
      </c>
      <c r="T75" s="105">
        <f t="shared" si="10"/>
        <v>0</v>
      </c>
      <c r="U75" s="83">
        <f t="shared" si="11"/>
        <v>0</v>
      </c>
      <c r="V75" s="94">
        <f t="shared" si="12"/>
        <v>0</v>
      </c>
      <c r="W75" s="106">
        <f t="shared" si="13"/>
        <v>0</v>
      </c>
      <c r="X75" s="93"/>
      <c r="Y75" s="105">
        <f t="shared" si="14"/>
        <v>0</v>
      </c>
      <c r="Z75" s="105">
        <f t="shared" si="2"/>
        <v>0</v>
      </c>
      <c r="AA75" s="83">
        <f t="shared" si="15"/>
        <v>0</v>
      </c>
      <c r="AB75" s="94">
        <f t="shared" si="16"/>
        <v>0</v>
      </c>
      <c r="AC75" s="106">
        <f t="shared" si="17"/>
        <v>0</v>
      </c>
      <c r="AD75" s="93"/>
      <c r="AE75" s="105">
        <f t="shared" si="18"/>
        <v>0</v>
      </c>
      <c r="AF75" s="105">
        <f t="shared" si="3"/>
        <v>0</v>
      </c>
      <c r="AG75" s="83">
        <f t="shared" si="19"/>
        <v>0</v>
      </c>
      <c r="AH75" s="94">
        <f t="shared" si="20"/>
        <v>0</v>
      </c>
      <c r="AI75" s="106">
        <f t="shared" si="21"/>
        <v>0</v>
      </c>
      <c r="AJ75" s="93"/>
    </row>
    <row r="76" spans="1:36" ht="15">
      <c r="A76" s="80" t="s">
        <v>473</v>
      </c>
      <c r="B76" s="81"/>
      <c r="C76" s="82" t="e">
        <f>VLOOKUP(B76,'DATOS ASIGNACIÓN'!B:I,4,0)</f>
        <v>#N/A</v>
      </c>
      <c r="D76" s="82">
        <f>COUNTIFS('LISTADOS TFM'!D:D,Pagos!B76,'LISTADOS TFM'!S:S,"SÍ")</f>
        <v>0</v>
      </c>
      <c r="E76" s="82">
        <f>COUNTIF('LISTADOS TFM'!J:L,Pagos!B76)</f>
        <v>0</v>
      </c>
      <c r="F76" s="82"/>
      <c r="G76" s="83">
        <f t="shared" si="22"/>
        <v>0</v>
      </c>
      <c r="H76" s="83">
        <f t="shared" si="23"/>
        <v>0</v>
      </c>
      <c r="I76" s="84"/>
      <c r="J76" s="82">
        <f t="shared" si="4"/>
        <v>0</v>
      </c>
      <c r="K76" s="85">
        <f t="shared" si="5"/>
        <v>0</v>
      </c>
      <c r="L76" s="86"/>
      <c r="M76" s="105">
        <f t="shared" si="6"/>
        <v>0</v>
      </c>
      <c r="N76" s="105">
        <f t="shared" si="6"/>
        <v>0</v>
      </c>
      <c r="O76" s="83">
        <f t="shared" si="7"/>
        <v>0</v>
      </c>
      <c r="P76" s="94">
        <f t="shared" si="8"/>
        <v>0</v>
      </c>
      <c r="Q76" s="106">
        <f t="shared" si="9"/>
        <v>0</v>
      </c>
      <c r="R76" s="93"/>
      <c r="S76" s="105">
        <f t="shared" si="10"/>
        <v>0</v>
      </c>
      <c r="T76" s="105">
        <f t="shared" si="10"/>
        <v>0</v>
      </c>
      <c r="U76" s="83">
        <f t="shared" si="11"/>
        <v>0</v>
      </c>
      <c r="V76" s="94">
        <f t="shared" si="12"/>
        <v>0</v>
      </c>
      <c r="W76" s="106">
        <f t="shared" si="13"/>
        <v>0</v>
      </c>
      <c r="X76" s="93"/>
      <c r="Y76" s="105">
        <f t="shared" si="14"/>
        <v>0</v>
      </c>
      <c r="Z76" s="105">
        <f t="shared" si="2"/>
        <v>0</v>
      </c>
      <c r="AA76" s="83">
        <f t="shared" si="15"/>
        <v>0</v>
      </c>
      <c r="AB76" s="94">
        <f t="shared" si="16"/>
        <v>0</v>
      </c>
      <c r="AC76" s="106">
        <f t="shared" si="17"/>
        <v>0</v>
      </c>
      <c r="AD76" s="93"/>
      <c r="AE76" s="105">
        <f t="shared" si="18"/>
        <v>0</v>
      </c>
      <c r="AF76" s="105">
        <f t="shared" si="3"/>
        <v>0</v>
      </c>
      <c r="AG76" s="83">
        <f t="shared" si="19"/>
        <v>0</v>
      </c>
      <c r="AH76" s="94">
        <f t="shared" si="20"/>
        <v>0</v>
      </c>
      <c r="AI76" s="106">
        <f t="shared" si="21"/>
        <v>0</v>
      </c>
      <c r="AJ76" s="93"/>
    </row>
    <row r="77" spans="1:36" ht="15">
      <c r="A77" s="80" t="s">
        <v>473</v>
      </c>
      <c r="B77" s="81"/>
      <c r="C77" s="82" t="e">
        <f>VLOOKUP(B77,'DATOS ASIGNACIÓN'!B:I,4,0)</f>
        <v>#N/A</v>
      </c>
      <c r="D77" s="82">
        <f>COUNTIFS('LISTADOS TFM'!D:D,Pagos!B77,'LISTADOS TFM'!S:S,"SÍ")</f>
        <v>0</v>
      </c>
      <c r="E77" s="82">
        <f>COUNTIF('LISTADOS TFM'!J:L,Pagos!B77)</f>
        <v>0</v>
      </c>
      <c r="F77" s="82"/>
      <c r="G77" s="83">
        <f t="shared" si="22"/>
        <v>0</v>
      </c>
      <c r="H77" s="83">
        <f t="shared" si="23"/>
        <v>0</v>
      </c>
      <c r="I77" s="84"/>
      <c r="J77" s="82">
        <f t="shared" si="4"/>
        <v>0</v>
      </c>
      <c r="K77" s="85">
        <f t="shared" si="5"/>
        <v>0</v>
      </c>
      <c r="L77" s="86"/>
      <c r="M77" s="105">
        <f t="shared" si="6"/>
        <v>0</v>
      </c>
      <c r="N77" s="105">
        <f t="shared" si="6"/>
        <v>0</v>
      </c>
      <c r="O77" s="83">
        <f t="shared" si="7"/>
        <v>0</v>
      </c>
      <c r="P77" s="94">
        <f t="shared" si="8"/>
        <v>0</v>
      </c>
      <c r="Q77" s="106">
        <f t="shared" si="9"/>
        <v>0</v>
      </c>
      <c r="R77" s="93"/>
      <c r="S77" s="105">
        <f t="shared" si="10"/>
        <v>0</v>
      </c>
      <c r="T77" s="105">
        <f t="shared" si="10"/>
        <v>0</v>
      </c>
      <c r="U77" s="83">
        <f t="shared" si="11"/>
        <v>0</v>
      </c>
      <c r="V77" s="94">
        <f t="shared" si="12"/>
        <v>0</v>
      </c>
      <c r="W77" s="106">
        <f t="shared" si="13"/>
        <v>0</v>
      </c>
      <c r="X77" s="93"/>
      <c r="Y77" s="105">
        <f t="shared" si="14"/>
        <v>0</v>
      </c>
      <c r="Z77" s="105">
        <f t="shared" si="2"/>
        <v>0</v>
      </c>
      <c r="AA77" s="83">
        <f t="shared" si="15"/>
        <v>0</v>
      </c>
      <c r="AB77" s="94">
        <f t="shared" si="16"/>
        <v>0</v>
      </c>
      <c r="AC77" s="106">
        <f t="shared" si="17"/>
        <v>0</v>
      </c>
      <c r="AD77" s="93"/>
      <c r="AE77" s="105">
        <f t="shared" si="18"/>
        <v>0</v>
      </c>
      <c r="AF77" s="105">
        <f t="shared" si="3"/>
        <v>0</v>
      </c>
      <c r="AG77" s="83">
        <f t="shared" si="19"/>
        <v>0</v>
      </c>
      <c r="AH77" s="94">
        <f t="shared" si="20"/>
        <v>0</v>
      </c>
      <c r="AI77" s="106">
        <f t="shared" si="21"/>
        <v>0</v>
      </c>
      <c r="AJ77" s="93"/>
    </row>
    <row r="78" spans="1:36" ht="15">
      <c r="A78" s="80" t="s">
        <v>473</v>
      </c>
      <c r="B78" s="81"/>
      <c r="C78" s="82" t="e">
        <f>VLOOKUP(B78,'DATOS ASIGNACIÓN'!B:I,4,0)</f>
        <v>#N/A</v>
      </c>
      <c r="D78" s="82">
        <f>COUNTIFS('LISTADOS TFM'!D:D,Pagos!B78,'LISTADOS TFM'!S:S,"SÍ")</f>
        <v>0</v>
      </c>
      <c r="E78" s="82">
        <f>COUNTIF('LISTADOS TFM'!J:L,Pagos!B78)</f>
        <v>0</v>
      </c>
      <c r="F78" s="82"/>
      <c r="G78" s="83">
        <f t="shared" si="22"/>
        <v>0</v>
      </c>
      <c r="H78" s="83">
        <f t="shared" si="23"/>
        <v>0</v>
      </c>
      <c r="I78" s="84"/>
      <c r="J78" s="82">
        <f t="shared" si="4"/>
        <v>0</v>
      </c>
      <c r="K78" s="85">
        <f t="shared" si="5"/>
        <v>0</v>
      </c>
      <c r="L78" s="86"/>
      <c r="M78" s="105">
        <f t="shared" si="6"/>
        <v>0</v>
      </c>
      <c r="N78" s="105">
        <f t="shared" si="6"/>
        <v>0</v>
      </c>
      <c r="O78" s="83">
        <f t="shared" si="7"/>
        <v>0</v>
      </c>
      <c r="P78" s="94">
        <f t="shared" si="8"/>
        <v>0</v>
      </c>
      <c r="Q78" s="106">
        <f t="shared" si="9"/>
        <v>0</v>
      </c>
      <c r="R78" s="93"/>
      <c r="S78" s="105">
        <f t="shared" si="10"/>
        <v>0</v>
      </c>
      <c r="T78" s="105">
        <f t="shared" si="10"/>
        <v>0</v>
      </c>
      <c r="U78" s="83">
        <f t="shared" si="11"/>
        <v>0</v>
      </c>
      <c r="V78" s="94">
        <f t="shared" si="12"/>
        <v>0</v>
      </c>
      <c r="W78" s="106">
        <f t="shared" si="13"/>
        <v>0</v>
      </c>
      <c r="X78" s="93"/>
      <c r="Y78" s="105">
        <f t="shared" si="14"/>
        <v>0</v>
      </c>
      <c r="Z78" s="105">
        <f t="shared" si="2"/>
        <v>0</v>
      </c>
      <c r="AA78" s="83">
        <f t="shared" si="15"/>
        <v>0</v>
      </c>
      <c r="AB78" s="94">
        <f t="shared" si="16"/>
        <v>0</v>
      </c>
      <c r="AC78" s="106">
        <f t="shared" si="17"/>
        <v>0</v>
      </c>
      <c r="AD78" s="93"/>
      <c r="AE78" s="105">
        <f t="shared" si="18"/>
        <v>0</v>
      </c>
      <c r="AF78" s="105">
        <f t="shared" si="3"/>
        <v>0</v>
      </c>
      <c r="AG78" s="83">
        <f t="shared" si="19"/>
        <v>0</v>
      </c>
      <c r="AH78" s="94">
        <f t="shared" si="20"/>
        <v>0</v>
      </c>
      <c r="AI78" s="106">
        <f t="shared" si="21"/>
        <v>0</v>
      </c>
      <c r="AJ78" s="93"/>
    </row>
    <row r="79" spans="1:36" ht="15">
      <c r="A79" s="80" t="s">
        <v>473</v>
      </c>
      <c r="B79" s="81"/>
      <c r="C79" s="82" t="e">
        <f>VLOOKUP(B79,'DATOS ASIGNACIÓN'!B:I,4,0)</f>
        <v>#N/A</v>
      </c>
      <c r="D79" s="82">
        <f>COUNTIFS('LISTADOS TFM'!D:D,Pagos!B79,'LISTADOS TFM'!S:S,"SÍ")</f>
        <v>0</v>
      </c>
      <c r="E79" s="82">
        <f>COUNTIF('LISTADOS TFM'!J:L,Pagos!B79)</f>
        <v>0</v>
      </c>
      <c r="F79" s="82"/>
      <c r="G79" s="83">
        <f t="shared" si="22"/>
        <v>0</v>
      </c>
      <c r="H79" s="83">
        <f t="shared" si="23"/>
        <v>0</v>
      </c>
      <c r="I79" s="84"/>
      <c r="J79" s="82">
        <f t="shared" si="4"/>
        <v>0</v>
      </c>
      <c r="K79" s="85">
        <f t="shared" si="5"/>
        <v>0</v>
      </c>
      <c r="L79" s="86"/>
      <c r="M79" s="105">
        <f t="shared" si="6"/>
        <v>0</v>
      </c>
      <c r="N79" s="105">
        <f t="shared" si="6"/>
        <v>0</v>
      </c>
      <c r="O79" s="83">
        <f t="shared" si="7"/>
        <v>0</v>
      </c>
      <c r="P79" s="94">
        <f t="shared" si="8"/>
        <v>0</v>
      </c>
      <c r="Q79" s="106">
        <f t="shared" si="9"/>
        <v>0</v>
      </c>
      <c r="R79" s="93"/>
      <c r="S79" s="105">
        <f t="shared" si="10"/>
        <v>0</v>
      </c>
      <c r="T79" s="105">
        <f t="shared" si="10"/>
        <v>0</v>
      </c>
      <c r="U79" s="83">
        <f t="shared" si="11"/>
        <v>0</v>
      </c>
      <c r="V79" s="94">
        <f t="shared" si="12"/>
        <v>0</v>
      </c>
      <c r="W79" s="106">
        <f t="shared" si="13"/>
        <v>0</v>
      </c>
      <c r="X79" s="93"/>
      <c r="Y79" s="105">
        <f t="shared" si="14"/>
        <v>0</v>
      </c>
      <c r="Z79" s="105">
        <f t="shared" si="2"/>
        <v>0</v>
      </c>
      <c r="AA79" s="83">
        <f t="shared" si="15"/>
        <v>0</v>
      </c>
      <c r="AB79" s="94">
        <f t="shared" si="16"/>
        <v>0</v>
      </c>
      <c r="AC79" s="106">
        <f t="shared" si="17"/>
        <v>0</v>
      </c>
      <c r="AD79" s="93"/>
      <c r="AE79" s="105">
        <f t="shared" si="18"/>
        <v>0</v>
      </c>
      <c r="AF79" s="105">
        <f t="shared" si="3"/>
        <v>0</v>
      </c>
      <c r="AG79" s="83">
        <f t="shared" si="19"/>
        <v>0</v>
      </c>
      <c r="AH79" s="94">
        <f t="shared" si="20"/>
        <v>0</v>
      </c>
      <c r="AI79" s="106">
        <f t="shared" si="21"/>
        <v>0</v>
      </c>
      <c r="AJ79" s="93"/>
    </row>
    <row r="80" spans="1:36" ht="15">
      <c r="A80" s="80" t="s">
        <v>473</v>
      </c>
      <c r="B80" s="81"/>
      <c r="C80" s="82" t="e">
        <f>VLOOKUP(B80,'DATOS ASIGNACIÓN'!B:I,4,0)</f>
        <v>#N/A</v>
      </c>
      <c r="D80" s="82">
        <f>COUNTIFS('LISTADOS TFM'!D:D,Pagos!B80,'LISTADOS TFM'!S:S,"SÍ")</f>
        <v>0</v>
      </c>
      <c r="E80" s="82">
        <f>COUNTIF('LISTADOS TFM'!J:L,Pagos!B80)</f>
        <v>0</v>
      </c>
      <c r="F80" s="82"/>
      <c r="G80" s="83">
        <f t="shared" si="22"/>
        <v>0</v>
      </c>
      <c r="H80" s="83">
        <f t="shared" si="23"/>
        <v>0</v>
      </c>
      <c r="I80" s="84"/>
      <c r="J80" s="82">
        <f t="shared" si="4"/>
        <v>0</v>
      </c>
      <c r="K80" s="85">
        <f t="shared" si="5"/>
        <v>0</v>
      </c>
      <c r="L80" s="86"/>
      <c r="M80" s="105">
        <f t="shared" si="6"/>
        <v>0</v>
      </c>
      <c r="N80" s="105">
        <f t="shared" si="6"/>
        <v>0</v>
      </c>
      <c r="O80" s="83">
        <f t="shared" si="7"/>
        <v>0</v>
      </c>
      <c r="P80" s="94">
        <f t="shared" si="8"/>
        <v>0</v>
      </c>
      <c r="Q80" s="106">
        <f t="shared" si="9"/>
        <v>0</v>
      </c>
      <c r="R80" s="93"/>
      <c r="S80" s="105">
        <f t="shared" si="10"/>
        <v>0</v>
      </c>
      <c r="T80" s="105">
        <f t="shared" si="10"/>
        <v>0</v>
      </c>
      <c r="U80" s="83">
        <f t="shared" si="11"/>
        <v>0</v>
      </c>
      <c r="V80" s="94">
        <f t="shared" si="12"/>
        <v>0</v>
      </c>
      <c r="W80" s="106">
        <f t="shared" si="13"/>
        <v>0</v>
      </c>
      <c r="X80" s="93"/>
      <c r="Y80" s="105">
        <f t="shared" si="14"/>
        <v>0</v>
      </c>
      <c r="Z80" s="105">
        <f t="shared" si="2"/>
        <v>0</v>
      </c>
      <c r="AA80" s="83">
        <f t="shared" si="15"/>
        <v>0</v>
      </c>
      <c r="AB80" s="94">
        <f t="shared" si="16"/>
        <v>0</v>
      </c>
      <c r="AC80" s="106">
        <f t="shared" si="17"/>
        <v>0</v>
      </c>
      <c r="AD80" s="93"/>
      <c r="AE80" s="105">
        <f t="shared" si="18"/>
        <v>0</v>
      </c>
      <c r="AF80" s="105">
        <f t="shared" si="3"/>
        <v>0</v>
      </c>
      <c r="AG80" s="83">
        <f t="shared" si="19"/>
        <v>0</v>
      </c>
      <c r="AH80" s="94">
        <f t="shared" si="20"/>
        <v>0</v>
      </c>
      <c r="AI80" s="106">
        <f t="shared" si="21"/>
        <v>0</v>
      </c>
      <c r="AJ80" s="93"/>
    </row>
    <row r="81" spans="1:36" ht="15">
      <c r="A81" s="80" t="s">
        <v>473</v>
      </c>
      <c r="B81" s="81"/>
      <c r="C81" s="82" t="e">
        <f>VLOOKUP(B81,'DATOS ASIGNACIÓN'!B:I,4,0)</f>
        <v>#N/A</v>
      </c>
      <c r="D81" s="82">
        <f>COUNTIFS('LISTADOS TFM'!D:D,Pagos!B81,'LISTADOS TFM'!S:S,"SÍ")</f>
        <v>0</v>
      </c>
      <c r="E81" s="82">
        <f>COUNTIF('LISTADOS TFM'!J:L,Pagos!B81)</f>
        <v>0</v>
      </c>
      <c r="F81" s="82"/>
      <c r="G81" s="83">
        <f t="shared" si="22"/>
        <v>0</v>
      </c>
      <c r="H81" s="83">
        <f t="shared" si="23"/>
        <v>0</v>
      </c>
      <c r="I81" s="84"/>
      <c r="J81" s="82">
        <f t="shared" si="4"/>
        <v>0</v>
      </c>
      <c r="K81" s="85">
        <f t="shared" si="5"/>
        <v>0</v>
      </c>
      <c r="L81" s="86"/>
      <c r="M81" s="105">
        <f t="shared" si="6"/>
        <v>0</v>
      </c>
      <c r="N81" s="105">
        <f t="shared" si="6"/>
        <v>0</v>
      </c>
      <c r="O81" s="83">
        <f t="shared" si="7"/>
        <v>0</v>
      </c>
      <c r="P81" s="94">
        <f t="shared" si="8"/>
        <v>0</v>
      </c>
      <c r="Q81" s="106">
        <f t="shared" si="9"/>
        <v>0</v>
      </c>
      <c r="R81" s="93"/>
      <c r="S81" s="105">
        <f t="shared" si="10"/>
        <v>0</v>
      </c>
      <c r="T81" s="105">
        <f t="shared" si="10"/>
        <v>0</v>
      </c>
      <c r="U81" s="83">
        <f t="shared" si="11"/>
        <v>0</v>
      </c>
      <c r="V81" s="94">
        <f t="shared" si="12"/>
        <v>0</v>
      </c>
      <c r="W81" s="106">
        <f t="shared" si="13"/>
        <v>0</v>
      </c>
      <c r="X81" s="93"/>
      <c r="Y81" s="105">
        <f t="shared" si="14"/>
        <v>0</v>
      </c>
      <c r="Z81" s="105">
        <f t="shared" si="2"/>
        <v>0</v>
      </c>
      <c r="AA81" s="83">
        <f t="shared" si="15"/>
        <v>0</v>
      </c>
      <c r="AB81" s="94">
        <f t="shared" si="16"/>
        <v>0</v>
      </c>
      <c r="AC81" s="106">
        <f t="shared" si="17"/>
        <v>0</v>
      </c>
      <c r="AD81" s="93"/>
      <c r="AE81" s="105">
        <f t="shared" si="18"/>
        <v>0</v>
      </c>
      <c r="AF81" s="105">
        <f t="shared" si="3"/>
        <v>0</v>
      </c>
      <c r="AG81" s="83">
        <f t="shared" si="19"/>
        <v>0</v>
      </c>
      <c r="AH81" s="94">
        <f t="shared" si="20"/>
        <v>0</v>
      </c>
      <c r="AI81" s="106">
        <f t="shared" si="21"/>
        <v>0</v>
      </c>
      <c r="AJ81" s="93"/>
    </row>
    <row r="82" spans="1:36" ht="15">
      <c r="A82" s="80" t="s">
        <v>473</v>
      </c>
      <c r="B82" s="81"/>
      <c r="C82" s="82" t="e">
        <f>VLOOKUP(B82,'DATOS ASIGNACIÓN'!B:I,4,0)</f>
        <v>#N/A</v>
      </c>
      <c r="D82" s="82">
        <f>COUNTIFS('LISTADOS TFM'!D:D,Pagos!B82,'LISTADOS TFM'!S:S,"SÍ")</f>
        <v>0</v>
      </c>
      <c r="E82" s="82">
        <f>COUNTIF('LISTADOS TFM'!J:L,Pagos!B82)</f>
        <v>0</v>
      </c>
      <c r="F82" s="82"/>
      <c r="G82" s="83">
        <f t="shared" si="22"/>
        <v>0</v>
      </c>
      <c r="H82" s="83">
        <f t="shared" si="23"/>
        <v>0</v>
      </c>
      <c r="I82" s="84"/>
      <c r="J82" s="82">
        <f t="shared" si="4"/>
        <v>0</v>
      </c>
      <c r="K82" s="85">
        <f t="shared" si="5"/>
        <v>0</v>
      </c>
      <c r="L82" s="86"/>
      <c r="M82" s="105">
        <f t="shared" si="6"/>
        <v>0</v>
      </c>
      <c r="N82" s="105">
        <f t="shared" si="6"/>
        <v>0</v>
      </c>
      <c r="O82" s="83">
        <f t="shared" si="7"/>
        <v>0</v>
      </c>
      <c r="P82" s="94">
        <f t="shared" si="8"/>
        <v>0</v>
      </c>
      <c r="Q82" s="106">
        <f t="shared" si="9"/>
        <v>0</v>
      </c>
      <c r="R82" s="93"/>
      <c r="S82" s="105">
        <f t="shared" si="10"/>
        <v>0</v>
      </c>
      <c r="T82" s="105">
        <f t="shared" si="10"/>
        <v>0</v>
      </c>
      <c r="U82" s="83">
        <f t="shared" si="11"/>
        <v>0</v>
      </c>
      <c r="V82" s="94">
        <f t="shared" si="12"/>
        <v>0</v>
      </c>
      <c r="W82" s="106">
        <f t="shared" si="13"/>
        <v>0</v>
      </c>
      <c r="X82" s="93"/>
      <c r="Y82" s="105">
        <f t="shared" si="14"/>
        <v>0</v>
      </c>
      <c r="Z82" s="105">
        <f t="shared" si="2"/>
        <v>0</v>
      </c>
      <c r="AA82" s="83">
        <f t="shared" si="15"/>
        <v>0</v>
      </c>
      <c r="AB82" s="94">
        <f t="shared" si="16"/>
        <v>0</v>
      </c>
      <c r="AC82" s="106">
        <f t="shared" si="17"/>
        <v>0</v>
      </c>
      <c r="AD82" s="93"/>
      <c r="AE82" s="105">
        <f t="shared" si="18"/>
        <v>0</v>
      </c>
      <c r="AF82" s="105">
        <f t="shared" si="3"/>
        <v>0</v>
      </c>
      <c r="AG82" s="83">
        <f t="shared" si="19"/>
        <v>0</v>
      </c>
      <c r="AH82" s="94">
        <f t="shared" si="20"/>
        <v>0</v>
      </c>
      <c r="AI82" s="106">
        <f t="shared" si="21"/>
        <v>0</v>
      </c>
      <c r="AJ82" s="93"/>
    </row>
    <row r="83" spans="1:36" ht="15">
      <c r="A83" s="80" t="s">
        <v>473</v>
      </c>
      <c r="B83" s="81"/>
      <c r="C83" s="82" t="e">
        <f>VLOOKUP(B83,'DATOS ASIGNACIÓN'!B:I,4,0)</f>
        <v>#N/A</v>
      </c>
      <c r="D83" s="82">
        <f>COUNTIFS('LISTADOS TFM'!D:D,Pagos!B83,'LISTADOS TFM'!S:S,"SÍ")</f>
        <v>0</v>
      </c>
      <c r="E83" s="82">
        <f>COUNTIF('LISTADOS TFM'!J:L,Pagos!B83)</f>
        <v>0</v>
      </c>
      <c r="F83" s="82"/>
      <c r="G83" s="83">
        <f t="shared" si="22"/>
        <v>0</v>
      </c>
      <c r="H83" s="83">
        <f t="shared" si="23"/>
        <v>0</v>
      </c>
      <c r="I83" s="84"/>
      <c r="J83" s="82">
        <f t="shared" si="4"/>
        <v>0</v>
      </c>
      <c r="K83" s="85">
        <f t="shared" si="5"/>
        <v>0</v>
      </c>
      <c r="L83" s="86"/>
      <c r="M83" s="105">
        <f t="shared" si="6"/>
        <v>0</v>
      </c>
      <c r="N83" s="105">
        <f t="shared" si="6"/>
        <v>0</v>
      </c>
      <c r="O83" s="83">
        <f t="shared" si="7"/>
        <v>0</v>
      </c>
      <c r="P83" s="94">
        <f t="shared" si="8"/>
        <v>0</v>
      </c>
      <c r="Q83" s="106">
        <f t="shared" si="9"/>
        <v>0</v>
      </c>
      <c r="R83" s="93"/>
      <c r="S83" s="105">
        <f t="shared" si="10"/>
        <v>0</v>
      </c>
      <c r="T83" s="105">
        <f t="shared" si="10"/>
        <v>0</v>
      </c>
      <c r="U83" s="83">
        <f t="shared" si="11"/>
        <v>0</v>
      </c>
      <c r="V83" s="94">
        <f t="shared" si="12"/>
        <v>0</v>
      </c>
      <c r="W83" s="106">
        <f t="shared" si="13"/>
        <v>0</v>
      </c>
      <c r="X83" s="93"/>
      <c r="Y83" s="105">
        <f t="shared" si="14"/>
        <v>0</v>
      </c>
      <c r="Z83" s="105">
        <f t="shared" si="2"/>
        <v>0</v>
      </c>
      <c r="AA83" s="83">
        <f t="shared" si="15"/>
        <v>0</v>
      </c>
      <c r="AB83" s="94">
        <f t="shared" si="16"/>
        <v>0</v>
      </c>
      <c r="AC83" s="106">
        <f t="shared" si="17"/>
        <v>0</v>
      </c>
      <c r="AD83" s="93"/>
      <c r="AE83" s="105">
        <f t="shared" si="18"/>
        <v>0</v>
      </c>
      <c r="AF83" s="105">
        <f t="shared" si="3"/>
        <v>0</v>
      </c>
      <c r="AG83" s="83">
        <f t="shared" si="19"/>
        <v>0</v>
      </c>
      <c r="AH83" s="94">
        <f t="shared" si="20"/>
        <v>0</v>
      </c>
      <c r="AI83" s="106">
        <f t="shared" si="21"/>
        <v>0</v>
      </c>
      <c r="AJ83" s="93"/>
    </row>
    <row r="84" spans="1:36" ht="15">
      <c r="A84" s="80" t="s">
        <v>473</v>
      </c>
      <c r="B84" s="81"/>
      <c r="C84" s="82" t="e">
        <f>VLOOKUP(B84,'DATOS ASIGNACIÓN'!B:I,4,0)</f>
        <v>#N/A</v>
      </c>
      <c r="D84" s="82">
        <f>COUNTIFS('LISTADOS TFM'!D:D,Pagos!B84,'LISTADOS TFM'!S:S,"SÍ")</f>
        <v>0</v>
      </c>
      <c r="E84" s="82">
        <f>COUNTIF('LISTADOS TFM'!J:L,Pagos!B84)</f>
        <v>0</v>
      </c>
      <c r="F84" s="82"/>
      <c r="G84" s="83">
        <f t="shared" si="22"/>
        <v>0</v>
      </c>
      <c r="H84" s="83">
        <f t="shared" si="23"/>
        <v>0</v>
      </c>
      <c r="I84" s="84"/>
      <c r="J84" s="82">
        <f t="shared" si="4"/>
        <v>0</v>
      </c>
      <c r="K84" s="85">
        <f t="shared" si="5"/>
        <v>0</v>
      </c>
      <c r="L84" s="86"/>
      <c r="M84" s="105">
        <f t="shared" si="6"/>
        <v>0</v>
      </c>
      <c r="N84" s="105">
        <f t="shared" si="6"/>
        <v>0</v>
      </c>
      <c r="O84" s="83">
        <f t="shared" si="7"/>
        <v>0</v>
      </c>
      <c r="P84" s="94">
        <f t="shared" si="8"/>
        <v>0</v>
      </c>
      <c r="Q84" s="106">
        <f t="shared" si="9"/>
        <v>0</v>
      </c>
      <c r="R84" s="93"/>
      <c r="S84" s="105">
        <f t="shared" si="10"/>
        <v>0</v>
      </c>
      <c r="T84" s="105">
        <f t="shared" si="10"/>
        <v>0</v>
      </c>
      <c r="U84" s="83">
        <f t="shared" si="11"/>
        <v>0</v>
      </c>
      <c r="V84" s="94">
        <f t="shared" si="12"/>
        <v>0</v>
      </c>
      <c r="W84" s="106">
        <f t="shared" si="13"/>
        <v>0</v>
      </c>
      <c r="X84" s="93"/>
      <c r="Y84" s="105">
        <f t="shared" si="14"/>
        <v>0</v>
      </c>
      <c r="Z84" s="105">
        <f t="shared" si="2"/>
        <v>0</v>
      </c>
      <c r="AA84" s="83">
        <f t="shared" si="15"/>
        <v>0</v>
      </c>
      <c r="AB84" s="94">
        <f t="shared" si="16"/>
        <v>0</v>
      </c>
      <c r="AC84" s="106">
        <f t="shared" si="17"/>
        <v>0</v>
      </c>
      <c r="AD84" s="93"/>
      <c r="AE84" s="105">
        <f t="shared" si="18"/>
        <v>0</v>
      </c>
      <c r="AF84" s="105">
        <f t="shared" si="3"/>
        <v>0</v>
      </c>
      <c r="AG84" s="83">
        <f t="shared" si="19"/>
        <v>0</v>
      </c>
      <c r="AH84" s="94">
        <f t="shared" si="20"/>
        <v>0</v>
      </c>
      <c r="AI84" s="106">
        <f t="shared" si="21"/>
        <v>0</v>
      </c>
      <c r="AJ84" s="93"/>
    </row>
    <row r="85" spans="1:36" ht="15">
      <c r="A85" s="80" t="s">
        <v>473</v>
      </c>
      <c r="B85" s="81"/>
      <c r="C85" s="82" t="e">
        <f>VLOOKUP(B85,'DATOS ASIGNACIÓN'!B:I,4,0)</f>
        <v>#N/A</v>
      </c>
      <c r="D85" s="82">
        <f>COUNTIFS('LISTADOS TFM'!D:D,Pagos!B85,'LISTADOS TFM'!S:S,"SÍ")</f>
        <v>0</v>
      </c>
      <c r="E85" s="82">
        <f>COUNTIF('LISTADOS TFM'!J:L,Pagos!B85)</f>
        <v>0</v>
      </c>
      <c r="F85" s="82"/>
      <c r="G85" s="83">
        <f t="shared" ref="G85:G116" si="24">IF($H$17&lt;9,$E$16,IF($H$17=$D$17,$E$17,$E$18))*D85</f>
        <v>0</v>
      </c>
      <c r="H85" s="83">
        <f t="shared" ref="H85:H116" si="25">+E85*$H$16</f>
        <v>0</v>
      </c>
      <c r="I85" s="84"/>
      <c r="J85" s="82">
        <f t="shared" si="4"/>
        <v>0</v>
      </c>
      <c r="K85" s="85">
        <f t="shared" si="5"/>
        <v>0</v>
      </c>
      <c r="L85" s="86"/>
      <c r="M85" s="105">
        <f t="shared" si="6"/>
        <v>0</v>
      </c>
      <c r="N85" s="105">
        <f t="shared" si="6"/>
        <v>0</v>
      </c>
      <c r="O85" s="83">
        <f t="shared" si="7"/>
        <v>0</v>
      </c>
      <c r="P85" s="94">
        <f t="shared" si="8"/>
        <v>0</v>
      </c>
      <c r="Q85" s="106">
        <f t="shared" si="9"/>
        <v>0</v>
      </c>
      <c r="R85" s="93"/>
      <c r="S85" s="105">
        <f t="shared" si="10"/>
        <v>0</v>
      </c>
      <c r="T85" s="105">
        <f t="shared" si="10"/>
        <v>0</v>
      </c>
      <c r="U85" s="83">
        <f t="shared" si="11"/>
        <v>0</v>
      </c>
      <c r="V85" s="94">
        <f t="shared" si="12"/>
        <v>0</v>
      </c>
      <c r="W85" s="106">
        <f t="shared" si="13"/>
        <v>0</v>
      </c>
      <c r="X85" s="93"/>
      <c r="Y85" s="105">
        <f t="shared" si="14"/>
        <v>0</v>
      </c>
      <c r="Z85" s="105">
        <f t="shared" si="14"/>
        <v>0</v>
      </c>
      <c r="AA85" s="83">
        <f t="shared" si="15"/>
        <v>0</v>
      </c>
      <c r="AB85" s="94">
        <f t="shared" si="16"/>
        <v>0</v>
      </c>
      <c r="AC85" s="106">
        <f t="shared" si="17"/>
        <v>0</v>
      </c>
      <c r="AD85" s="93"/>
      <c r="AE85" s="105">
        <f t="shared" si="18"/>
        <v>0</v>
      </c>
      <c r="AF85" s="105">
        <f t="shared" si="18"/>
        <v>0</v>
      </c>
      <c r="AG85" s="83">
        <f t="shared" si="19"/>
        <v>0</v>
      </c>
      <c r="AH85" s="94">
        <f t="shared" si="20"/>
        <v>0</v>
      </c>
      <c r="AI85" s="106">
        <f t="shared" si="21"/>
        <v>0</v>
      </c>
      <c r="AJ85" s="93"/>
    </row>
    <row r="86" spans="1:36" ht="15">
      <c r="A86" s="80" t="s">
        <v>473</v>
      </c>
      <c r="B86" s="81"/>
      <c r="C86" s="82" t="e">
        <f>VLOOKUP(B86,'DATOS ASIGNACIÓN'!B:I,4,0)</f>
        <v>#N/A</v>
      </c>
      <c r="D86" s="82">
        <f>COUNTIFS('LISTADOS TFM'!D:D,Pagos!B86,'LISTADOS TFM'!S:S,"SÍ")</f>
        <v>0</v>
      </c>
      <c r="E86" s="82">
        <f>COUNTIF('LISTADOS TFM'!J:L,Pagos!B86)</f>
        <v>0</v>
      </c>
      <c r="F86" s="82"/>
      <c r="G86" s="83">
        <f t="shared" si="24"/>
        <v>0</v>
      </c>
      <c r="H86" s="83">
        <f t="shared" si="25"/>
        <v>0</v>
      </c>
      <c r="I86" s="84"/>
      <c r="J86" s="82">
        <f t="shared" ref="J86:J116" si="26">IF(I86="SÍ",H86*-1,0)</f>
        <v>0</v>
      </c>
      <c r="K86" s="85">
        <f t="shared" ref="K86:K116" si="27">+G86+H86</f>
        <v>0</v>
      </c>
      <c r="L86" s="86"/>
      <c r="M86" s="105">
        <f t="shared" ref="M86:N116" si="28">+D86</f>
        <v>0</v>
      </c>
      <c r="N86" s="105">
        <f t="shared" si="28"/>
        <v>0</v>
      </c>
      <c r="O86" s="83">
        <f t="shared" ref="O86:O116" si="29">IF($H$17&lt;9,$E$16,IF($H$17=$D$17,$E$17,$E$18))*M86</f>
        <v>0</v>
      </c>
      <c r="P86" s="94">
        <f t="shared" ref="P86:P116" si="30">+N86*$H$16</f>
        <v>0</v>
      </c>
      <c r="Q86" s="106">
        <f t="shared" ref="Q86:Q116" si="31">+O86+P86</f>
        <v>0</v>
      </c>
      <c r="R86" s="93"/>
      <c r="S86" s="105">
        <f t="shared" ref="S86:T116" si="32">+D86-M86</f>
        <v>0</v>
      </c>
      <c r="T86" s="105">
        <f t="shared" si="32"/>
        <v>0</v>
      </c>
      <c r="U86" s="83">
        <f t="shared" ref="U86:U116" si="33">IF($H$17&lt;9,$E$16,IF($H$17=$D$17,$E$17,$E$18))*S86</f>
        <v>0</v>
      </c>
      <c r="V86" s="94">
        <f t="shared" ref="V86:V116" si="34">+T86*$H$16</f>
        <v>0</v>
      </c>
      <c r="W86" s="106">
        <f t="shared" ref="W86:W116" si="35">+U86+V86</f>
        <v>0</v>
      </c>
      <c r="X86" s="93"/>
      <c r="Y86" s="105">
        <f t="shared" ref="Y86:Z116" si="36">+D86-M86-S86</f>
        <v>0</v>
      </c>
      <c r="Z86" s="105">
        <f t="shared" si="36"/>
        <v>0</v>
      </c>
      <c r="AA86" s="83">
        <f t="shared" ref="AA86:AA116" si="37">IF($H$17&lt;9,$E$16,IF($H$17=$D$17,$E$17,$E$18))*Y86</f>
        <v>0</v>
      </c>
      <c r="AB86" s="94">
        <f t="shared" ref="AB86:AB116" si="38">+Z86*$H$16</f>
        <v>0</v>
      </c>
      <c r="AC86" s="106">
        <f t="shared" ref="AC86:AC116" si="39">+AA86+AB86</f>
        <v>0</v>
      </c>
      <c r="AD86" s="93"/>
      <c r="AE86" s="105">
        <f t="shared" ref="AE86:AF116" si="40">+D86-M86-S86-Y86</f>
        <v>0</v>
      </c>
      <c r="AF86" s="105">
        <f t="shared" si="40"/>
        <v>0</v>
      </c>
      <c r="AG86" s="83">
        <f t="shared" ref="AG86:AG116" si="41">IF($H$17&lt;9,$E$16,IF($H$17=$D$17,$E$17,$E$18))*AE86</f>
        <v>0</v>
      </c>
      <c r="AH86" s="94">
        <f t="shared" ref="AH86:AH116" si="42">+AF86*$H$16</f>
        <v>0</v>
      </c>
      <c r="AI86" s="106">
        <f t="shared" ref="AI86:AI116" si="43">+AG86+AH86</f>
        <v>0</v>
      </c>
      <c r="AJ86" s="93"/>
    </row>
    <row r="87" spans="1:36" ht="15">
      <c r="A87" s="80" t="s">
        <v>473</v>
      </c>
      <c r="B87" s="81"/>
      <c r="C87" s="82" t="e">
        <f>VLOOKUP(B87,'DATOS ASIGNACIÓN'!B:I,4,0)</f>
        <v>#N/A</v>
      </c>
      <c r="D87" s="82">
        <f>COUNTIFS('LISTADOS TFM'!D:D,Pagos!B87,'LISTADOS TFM'!S:S,"SÍ")</f>
        <v>0</v>
      </c>
      <c r="E87" s="82">
        <f>COUNTIF('LISTADOS TFM'!J:L,Pagos!B87)</f>
        <v>0</v>
      </c>
      <c r="F87" s="82"/>
      <c r="G87" s="83">
        <f t="shared" si="24"/>
        <v>0</v>
      </c>
      <c r="H87" s="83">
        <f t="shared" si="25"/>
        <v>0</v>
      </c>
      <c r="I87" s="84"/>
      <c r="J87" s="82">
        <f t="shared" si="26"/>
        <v>0</v>
      </c>
      <c r="K87" s="85">
        <f t="shared" si="27"/>
        <v>0</v>
      </c>
      <c r="L87" s="86"/>
      <c r="M87" s="105">
        <f t="shared" si="28"/>
        <v>0</v>
      </c>
      <c r="N87" s="105">
        <f t="shared" si="28"/>
        <v>0</v>
      </c>
      <c r="O87" s="83">
        <f t="shared" si="29"/>
        <v>0</v>
      </c>
      <c r="P87" s="94">
        <f t="shared" si="30"/>
        <v>0</v>
      </c>
      <c r="Q87" s="106">
        <f t="shared" si="31"/>
        <v>0</v>
      </c>
      <c r="R87" s="93"/>
      <c r="S87" s="105">
        <f t="shared" si="32"/>
        <v>0</v>
      </c>
      <c r="T87" s="105">
        <f t="shared" si="32"/>
        <v>0</v>
      </c>
      <c r="U87" s="83">
        <f t="shared" si="33"/>
        <v>0</v>
      </c>
      <c r="V87" s="94">
        <f t="shared" si="34"/>
        <v>0</v>
      </c>
      <c r="W87" s="106">
        <f t="shared" si="35"/>
        <v>0</v>
      </c>
      <c r="X87" s="93"/>
      <c r="Y87" s="105">
        <f t="shared" si="36"/>
        <v>0</v>
      </c>
      <c r="Z87" s="105">
        <f t="shared" si="36"/>
        <v>0</v>
      </c>
      <c r="AA87" s="83">
        <f t="shared" si="37"/>
        <v>0</v>
      </c>
      <c r="AB87" s="94">
        <f t="shared" si="38"/>
        <v>0</v>
      </c>
      <c r="AC87" s="106">
        <f t="shared" si="39"/>
        <v>0</v>
      </c>
      <c r="AD87" s="93"/>
      <c r="AE87" s="105">
        <f t="shared" si="40"/>
        <v>0</v>
      </c>
      <c r="AF87" s="105">
        <f t="shared" si="40"/>
        <v>0</v>
      </c>
      <c r="AG87" s="83">
        <f t="shared" si="41"/>
        <v>0</v>
      </c>
      <c r="AH87" s="94">
        <f t="shared" si="42"/>
        <v>0</v>
      </c>
      <c r="AI87" s="106">
        <f t="shared" si="43"/>
        <v>0</v>
      </c>
      <c r="AJ87" s="93"/>
    </row>
    <row r="88" spans="1:36" ht="15">
      <c r="A88" s="80" t="s">
        <v>473</v>
      </c>
      <c r="B88" s="81"/>
      <c r="C88" s="82" t="e">
        <f>VLOOKUP(B88,'DATOS ASIGNACIÓN'!B:I,4,0)</f>
        <v>#N/A</v>
      </c>
      <c r="D88" s="82">
        <f>COUNTIFS('LISTADOS TFM'!D:D,Pagos!B88,'LISTADOS TFM'!S:S,"SÍ")</f>
        <v>0</v>
      </c>
      <c r="E88" s="82">
        <f>COUNTIF('LISTADOS TFM'!J:L,Pagos!B88)</f>
        <v>0</v>
      </c>
      <c r="F88" s="82"/>
      <c r="G88" s="83">
        <f t="shared" si="24"/>
        <v>0</v>
      </c>
      <c r="H88" s="83">
        <f t="shared" si="25"/>
        <v>0</v>
      </c>
      <c r="I88" s="84"/>
      <c r="J88" s="82">
        <f t="shared" si="26"/>
        <v>0</v>
      </c>
      <c r="K88" s="85">
        <f t="shared" si="27"/>
        <v>0</v>
      </c>
      <c r="L88" s="86"/>
      <c r="M88" s="105">
        <f t="shared" si="28"/>
        <v>0</v>
      </c>
      <c r="N88" s="105">
        <f t="shared" si="28"/>
        <v>0</v>
      </c>
      <c r="O88" s="83">
        <f t="shared" si="29"/>
        <v>0</v>
      </c>
      <c r="P88" s="94">
        <f t="shared" si="30"/>
        <v>0</v>
      </c>
      <c r="Q88" s="106">
        <f t="shared" si="31"/>
        <v>0</v>
      </c>
      <c r="R88" s="93"/>
      <c r="S88" s="105">
        <f t="shared" si="32"/>
        <v>0</v>
      </c>
      <c r="T88" s="105">
        <f t="shared" si="32"/>
        <v>0</v>
      </c>
      <c r="U88" s="83">
        <f t="shared" si="33"/>
        <v>0</v>
      </c>
      <c r="V88" s="94">
        <f t="shared" si="34"/>
        <v>0</v>
      </c>
      <c r="W88" s="106">
        <f t="shared" si="35"/>
        <v>0</v>
      </c>
      <c r="X88" s="93"/>
      <c r="Y88" s="105">
        <f t="shared" si="36"/>
        <v>0</v>
      </c>
      <c r="Z88" s="105">
        <f t="shared" si="36"/>
        <v>0</v>
      </c>
      <c r="AA88" s="83">
        <f t="shared" si="37"/>
        <v>0</v>
      </c>
      <c r="AB88" s="94">
        <f t="shared" si="38"/>
        <v>0</v>
      </c>
      <c r="AC88" s="106">
        <f t="shared" si="39"/>
        <v>0</v>
      </c>
      <c r="AD88" s="93"/>
      <c r="AE88" s="105">
        <f t="shared" si="40"/>
        <v>0</v>
      </c>
      <c r="AF88" s="105">
        <f t="shared" si="40"/>
        <v>0</v>
      </c>
      <c r="AG88" s="83">
        <f t="shared" si="41"/>
        <v>0</v>
      </c>
      <c r="AH88" s="94">
        <f t="shared" si="42"/>
        <v>0</v>
      </c>
      <c r="AI88" s="106">
        <f t="shared" si="43"/>
        <v>0</v>
      </c>
      <c r="AJ88" s="93"/>
    </row>
    <row r="89" spans="1:36" ht="15">
      <c r="A89" s="80" t="s">
        <v>473</v>
      </c>
      <c r="B89" s="81"/>
      <c r="C89" s="82" t="e">
        <f>VLOOKUP(B89,'DATOS ASIGNACIÓN'!B:I,4,0)</f>
        <v>#N/A</v>
      </c>
      <c r="D89" s="82">
        <f>COUNTIFS('LISTADOS TFM'!D:D,Pagos!B89,'LISTADOS TFM'!S:S,"SÍ")</f>
        <v>0</v>
      </c>
      <c r="E89" s="82">
        <f>COUNTIF('LISTADOS TFM'!J:L,Pagos!B89)</f>
        <v>0</v>
      </c>
      <c r="F89" s="82"/>
      <c r="G89" s="83">
        <f t="shared" si="24"/>
        <v>0</v>
      </c>
      <c r="H89" s="83">
        <f t="shared" si="25"/>
        <v>0</v>
      </c>
      <c r="I89" s="84"/>
      <c r="J89" s="82">
        <f t="shared" si="26"/>
        <v>0</v>
      </c>
      <c r="K89" s="85">
        <f t="shared" si="27"/>
        <v>0</v>
      </c>
      <c r="L89" s="86"/>
      <c r="M89" s="105">
        <f t="shared" si="28"/>
        <v>0</v>
      </c>
      <c r="N89" s="105">
        <f t="shared" si="28"/>
        <v>0</v>
      </c>
      <c r="O89" s="83">
        <f t="shared" si="29"/>
        <v>0</v>
      </c>
      <c r="P89" s="94">
        <f t="shared" si="30"/>
        <v>0</v>
      </c>
      <c r="Q89" s="106">
        <f t="shared" si="31"/>
        <v>0</v>
      </c>
      <c r="R89" s="93"/>
      <c r="S89" s="105">
        <f t="shared" si="32"/>
        <v>0</v>
      </c>
      <c r="T89" s="105">
        <f t="shared" si="32"/>
        <v>0</v>
      </c>
      <c r="U89" s="83">
        <f t="shared" si="33"/>
        <v>0</v>
      </c>
      <c r="V89" s="94">
        <f t="shared" si="34"/>
        <v>0</v>
      </c>
      <c r="W89" s="106">
        <f t="shared" si="35"/>
        <v>0</v>
      </c>
      <c r="X89" s="93"/>
      <c r="Y89" s="105">
        <f t="shared" si="36"/>
        <v>0</v>
      </c>
      <c r="Z89" s="105">
        <f t="shared" si="36"/>
        <v>0</v>
      </c>
      <c r="AA89" s="83">
        <f t="shared" si="37"/>
        <v>0</v>
      </c>
      <c r="AB89" s="94">
        <f t="shared" si="38"/>
        <v>0</v>
      </c>
      <c r="AC89" s="106">
        <f t="shared" si="39"/>
        <v>0</v>
      </c>
      <c r="AD89" s="93"/>
      <c r="AE89" s="105">
        <f t="shared" si="40"/>
        <v>0</v>
      </c>
      <c r="AF89" s="105">
        <f t="shared" si="40"/>
        <v>0</v>
      </c>
      <c r="AG89" s="83">
        <f t="shared" si="41"/>
        <v>0</v>
      </c>
      <c r="AH89" s="94">
        <f t="shared" si="42"/>
        <v>0</v>
      </c>
      <c r="AI89" s="106">
        <f t="shared" si="43"/>
        <v>0</v>
      </c>
      <c r="AJ89" s="93"/>
    </row>
    <row r="90" spans="1:36" ht="15">
      <c r="A90" s="80" t="s">
        <v>473</v>
      </c>
      <c r="B90" s="81"/>
      <c r="C90" s="82" t="e">
        <f>VLOOKUP(B90,'DATOS ASIGNACIÓN'!B:I,4,0)</f>
        <v>#N/A</v>
      </c>
      <c r="D90" s="82">
        <f>COUNTIFS('LISTADOS TFM'!D:D,Pagos!B90,'LISTADOS TFM'!S:S,"SÍ")</f>
        <v>0</v>
      </c>
      <c r="E90" s="82">
        <f>COUNTIF('LISTADOS TFM'!J:L,Pagos!B90)</f>
        <v>0</v>
      </c>
      <c r="F90" s="82"/>
      <c r="G90" s="83">
        <f t="shared" si="24"/>
        <v>0</v>
      </c>
      <c r="H90" s="83">
        <f t="shared" si="25"/>
        <v>0</v>
      </c>
      <c r="I90" s="84"/>
      <c r="J90" s="82">
        <f t="shared" si="26"/>
        <v>0</v>
      </c>
      <c r="K90" s="85">
        <f t="shared" si="27"/>
        <v>0</v>
      </c>
      <c r="L90" s="86"/>
      <c r="M90" s="105">
        <f t="shared" si="28"/>
        <v>0</v>
      </c>
      <c r="N90" s="105">
        <f t="shared" si="28"/>
        <v>0</v>
      </c>
      <c r="O90" s="83">
        <f t="shared" si="29"/>
        <v>0</v>
      </c>
      <c r="P90" s="94">
        <f t="shared" si="30"/>
        <v>0</v>
      </c>
      <c r="Q90" s="106">
        <f t="shared" si="31"/>
        <v>0</v>
      </c>
      <c r="R90" s="93"/>
      <c r="S90" s="105">
        <f t="shared" si="32"/>
        <v>0</v>
      </c>
      <c r="T90" s="105">
        <f t="shared" si="32"/>
        <v>0</v>
      </c>
      <c r="U90" s="83">
        <f t="shared" si="33"/>
        <v>0</v>
      </c>
      <c r="V90" s="94">
        <f t="shared" si="34"/>
        <v>0</v>
      </c>
      <c r="W90" s="106">
        <f t="shared" si="35"/>
        <v>0</v>
      </c>
      <c r="X90" s="93"/>
      <c r="Y90" s="105">
        <f t="shared" si="36"/>
        <v>0</v>
      </c>
      <c r="Z90" s="105">
        <f t="shared" si="36"/>
        <v>0</v>
      </c>
      <c r="AA90" s="83">
        <f t="shared" si="37"/>
        <v>0</v>
      </c>
      <c r="AB90" s="94">
        <f t="shared" si="38"/>
        <v>0</v>
      </c>
      <c r="AC90" s="106">
        <f t="shared" si="39"/>
        <v>0</v>
      </c>
      <c r="AD90" s="93"/>
      <c r="AE90" s="105">
        <f t="shared" si="40"/>
        <v>0</v>
      </c>
      <c r="AF90" s="105">
        <f t="shared" si="40"/>
        <v>0</v>
      </c>
      <c r="AG90" s="83">
        <f t="shared" si="41"/>
        <v>0</v>
      </c>
      <c r="AH90" s="94">
        <f t="shared" si="42"/>
        <v>0</v>
      </c>
      <c r="AI90" s="106">
        <f t="shared" si="43"/>
        <v>0</v>
      </c>
      <c r="AJ90" s="93"/>
    </row>
    <row r="91" spans="1:36" ht="15">
      <c r="A91" s="80" t="s">
        <v>473</v>
      </c>
      <c r="B91" s="81"/>
      <c r="C91" s="82" t="e">
        <f>VLOOKUP(B91,'DATOS ASIGNACIÓN'!B:I,4,0)</f>
        <v>#N/A</v>
      </c>
      <c r="D91" s="82">
        <f>COUNTIFS('LISTADOS TFM'!D:D,Pagos!B91,'LISTADOS TFM'!S:S,"SÍ")</f>
        <v>0</v>
      </c>
      <c r="E91" s="82">
        <f>COUNTIF('LISTADOS TFM'!J:L,Pagos!B91)</f>
        <v>0</v>
      </c>
      <c r="F91" s="82"/>
      <c r="G91" s="83">
        <f t="shared" si="24"/>
        <v>0</v>
      </c>
      <c r="H91" s="83">
        <f t="shared" si="25"/>
        <v>0</v>
      </c>
      <c r="I91" s="84"/>
      <c r="J91" s="82">
        <f t="shared" si="26"/>
        <v>0</v>
      </c>
      <c r="K91" s="85">
        <f t="shared" si="27"/>
        <v>0</v>
      </c>
      <c r="L91" s="86"/>
      <c r="M91" s="105">
        <f t="shared" si="28"/>
        <v>0</v>
      </c>
      <c r="N91" s="105">
        <f t="shared" si="28"/>
        <v>0</v>
      </c>
      <c r="O91" s="83">
        <f t="shared" si="29"/>
        <v>0</v>
      </c>
      <c r="P91" s="94">
        <f t="shared" si="30"/>
        <v>0</v>
      </c>
      <c r="Q91" s="106">
        <f t="shared" si="31"/>
        <v>0</v>
      </c>
      <c r="R91" s="93"/>
      <c r="S91" s="105">
        <f t="shared" si="32"/>
        <v>0</v>
      </c>
      <c r="T91" s="105">
        <f t="shared" si="32"/>
        <v>0</v>
      </c>
      <c r="U91" s="83">
        <f t="shared" si="33"/>
        <v>0</v>
      </c>
      <c r="V91" s="94">
        <f t="shared" si="34"/>
        <v>0</v>
      </c>
      <c r="W91" s="106">
        <f t="shared" si="35"/>
        <v>0</v>
      </c>
      <c r="X91" s="93"/>
      <c r="Y91" s="105">
        <f t="shared" si="36"/>
        <v>0</v>
      </c>
      <c r="Z91" s="105">
        <f t="shared" si="36"/>
        <v>0</v>
      </c>
      <c r="AA91" s="83">
        <f t="shared" si="37"/>
        <v>0</v>
      </c>
      <c r="AB91" s="94">
        <f t="shared" si="38"/>
        <v>0</v>
      </c>
      <c r="AC91" s="106">
        <f t="shared" si="39"/>
        <v>0</v>
      </c>
      <c r="AD91" s="93"/>
      <c r="AE91" s="105">
        <f t="shared" si="40"/>
        <v>0</v>
      </c>
      <c r="AF91" s="105">
        <f t="shared" si="40"/>
        <v>0</v>
      </c>
      <c r="AG91" s="83">
        <f t="shared" si="41"/>
        <v>0</v>
      </c>
      <c r="AH91" s="94">
        <f t="shared" si="42"/>
        <v>0</v>
      </c>
      <c r="AI91" s="106">
        <f t="shared" si="43"/>
        <v>0</v>
      </c>
      <c r="AJ91" s="93"/>
    </row>
    <row r="92" spans="1:36" ht="15">
      <c r="A92" s="80" t="s">
        <v>473</v>
      </c>
      <c r="B92" s="81"/>
      <c r="C92" s="82" t="e">
        <f>VLOOKUP(B92,'DATOS ASIGNACIÓN'!B:I,4,0)</f>
        <v>#N/A</v>
      </c>
      <c r="D92" s="82">
        <f>COUNTIFS('LISTADOS TFM'!D:D,Pagos!B92,'LISTADOS TFM'!S:S,"SÍ")</f>
        <v>0</v>
      </c>
      <c r="E92" s="82">
        <f>COUNTIF('LISTADOS TFM'!J:L,Pagos!B92)</f>
        <v>0</v>
      </c>
      <c r="F92" s="82"/>
      <c r="G92" s="83">
        <f t="shared" si="24"/>
        <v>0</v>
      </c>
      <c r="H92" s="83">
        <f t="shared" si="25"/>
        <v>0</v>
      </c>
      <c r="I92" s="84"/>
      <c r="J92" s="82">
        <f t="shared" si="26"/>
        <v>0</v>
      </c>
      <c r="K92" s="85">
        <f t="shared" si="27"/>
        <v>0</v>
      </c>
      <c r="L92" s="86"/>
      <c r="M92" s="105">
        <f t="shared" si="28"/>
        <v>0</v>
      </c>
      <c r="N92" s="105">
        <f t="shared" si="28"/>
        <v>0</v>
      </c>
      <c r="O92" s="83">
        <f t="shared" si="29"/>
        <v>0</v>
      </c>
      <c r="P92" s="94">
        <f t="shared" si="30"/>
        <v>0</v>
      </c>
      <c r="Q92" s="106">
        <f t="shared" si="31"/>
        <v>0</v>
      </c>
      <c r="R92" s="93"/>
      <c r="S92" s="105">
        <f t="shared" si="32"/>
        <v>0</v>
      </c>
      <c r="T92" s="105">
        <f t="shared" si="32"/>
        <v>0</v>
      </c>
      <c r="U92" s="83">
        <f t="shared" si="33"/>
        <v>0</v>
      </c>
      <c r="V92" s="94">
        <f t="shared" si="34"/>
        <v>0</v>
      </c>
      <c r="W92" s="106">
        <f t="shared" si="35"/>
        <v>0</v>
      </c>
      <c r="X92" s="93"/>
      <c r="Y92" s="105">
        <f t="shared" si="36"/>
        <v>0</v>
      </c>
      <c r="Z92" s="105">
        <f t="shared" si="36"/>
        <v>0</v>
      </c>
      <c r="AA92" s="83">
        <f t="shared" si="37"/>
        <v>0</v>
      </c>
      <c r="AB92" s="94">
        <f t="shared" si="38"/>
        <v>0</v>
      </c>
      <c r="AC92" s="106">
        <f t="shared" si="39"/>
        <v>0</v>
      </c>
      <c r="AD92" s="93"/>
      <c r="AE92" s="105">
        <f t="shared" si="40"/>
        <v>0</v>
      </c>
      <c r="AF92" s="105">
        <f t="shared" si="40"/>
        <v>0</v>
      </c>
      <c r="AG92" s="83">
        <f t="shared" si="41"/>
        <v>0</v>
      </c>
      <c r="AH92" s="94">
        <f t="shared" si="42"/>
        <v>0</v>
      </c>
      <c r="AI92" s="106">
        <f t="shared" si="43"/>
        <v>0</v>
      </c>
      <c r="AJ92" s="93"/>
    </row>
    <row r="93" spans="1:36" ht="15">
      <c r="A93" s="80" t="s">
        <v>473</v>
      </c>
      <c r="B93" s="81"/>
      <c r="C93" s="82" t="e">
        <f>VLOOKUP(B93,'DATOS ASIGNACIÓN'!B:I,4,0)</f>
        <v>#N/A</v>
      </c>
      <c r="D93" s="82">
        <f>COUNTIFS('LISTADOS TFM'!D:D,Pagos!B93,'LISTADOS TFM'!S:S,"SÍ")</f>
        <v>0</v>
      </c>
      <c r="E93" s="82">
        <f>COUNTIF('LISTADOS TFM'!J:L,Pagos!B93)</f>
        <v>0</v>
      </c>
      <c r="F93" s="82"/>
      <c r="G93" s="83">
        <f t="shared" si="24"/>
        <v>0</v>
      </c>
      <c r="H93" s="83">
        <f t="shared" si="25"/>
        <v>0</v>
      </c>
      <c r="I93" s="84"/>
      <c r="J93" s="82">
        <f t="shared" si="26"/>
        <v>0</v>
      </c>
      <c r="K93" s="85">
        <f t="shared" si="27"/>
        <v>0</v>
      </c>
      <c r="L93" s="86"/>
      <c r="M93" s="105">
        <f t="shared" si="28"/>
        <v>0</v>
      </c>
      <c r="N93" s="105">
        <f t="shared" si="28"/>
        <v>0</v>
      </c>
      <c r="O93" s="83">
        <f t="shared" si="29"/>
        <v>0</v>
      </c>
      <c r="P93" s="94">
        <f t="shared" si="30"/>
        <v>0</v>
      </c>
      <c r="Q93" s="106">
        <f t="shared" si="31"/>
        <v>0</v>
      </c>
      <c r="R93" s="93"/>
      <c r="S93" s="105">
        <f t="shared" si="32"/>
        <v>0</v>
      </c>
      <c r="T93" s="105">
        <f t="shared" si="32"/>
        <v>0</v>
      </c>
      <c r="U93" s="83">
        <f t="shared" si="33"/>
        <v>0</v>
      </c>
      <c r="V93" s="94">
        <f t="shared" si="34"/>
        <v>0</v>
      </c>
      <c r="W93" s="106">
        <f t="shared" si="35"/>
        <v>0</v>
      </c>
      <c r="X93" s="93"/>
      <c r="Y93" s="105">
        <f t="shared" si="36"/>
        <v>0</v>
      </c>
      <c r="Z93" s="105">
        <f t="shared" si="36"/>
        <v>0</v>
      </c>
      <c r="AA93" s="83">
        <f t="shared" si="37"/>
        <v>0</v>
      </c>
      <c r="AB93" s="94">
        <f t="shared" si="38"/>
        <v>0</v>
      </c>
      <c r="AC93" s="106">
        <f t="shared" si="39"/>
        <v>0</v>
      </c>
      <c r="AD93" s="93"/>
      <c r="AE93" s="105">
        <f t="shared" si="40"/>
        <v>0</v>
      </c>
      <c r="AF93" s="105">
        <f t="shared" si="40"/>
        <v>0</v>
      </c>
      <c r="AG93" s="83">
        <f t="shared" si="41"/>
        <v>0</v>
      </c>
      <c r="AH93" s="94">
        <f t="shared" si="42"/>
        <v>0</v>
      </c>
      <c r="AI93" s="106">
        <f t="shared" si="43"/>
        <v>0</v>
      </c>
      <c r="AJ93" s="93"/>
    </row>
    <row r="94" spans="1:36" ht="15">
      <c r="A94" s="80" t="s">
        <v>473</v>
      </c>
      <c r="B94" s="81"/>
      <c r="C94" s="82" t="e">
        <f>VLOOKUP(B94,'DATOS ASIGNACIÓN'!B:I,4,0)</f>
        <v>#N/A</v>
      </c>
      <c r="D94" s="82">
        <f>COUNTIFS('LISTADOS TFM'!D:D,Pagos!B94,'LISTADOS TFM'!S:S,"SÍ")</f>
        <v>0</v>
      </c>
      <c r="E94" s="82">
        <f>COUNTIF('LISTADOS TFM'!J:L,Pagos!B94)</f>
        <v>0</v>
      </c>
      <c r="F94" s="82"/>
      <c r="G94" s="83">
        <f t="shared" si="24"/>
        <v>0</v>
      </c>
      <c r="H94" s="83">
        <f t="shared" si="25"/>
        <v>0</v>
      </c>
      <c r="I94" s="84"/>
      <c r="J94" s="82">
        <f t="shared" si="26"/>
        <v>0</v>
      </c>
      <c r="K94" s="85">
        <f t="shared" si="27"/>
        <v>0</v>
      </c>
      <c r="L94" s="86"/>
      <c r="M94" s="105">
        <f t="shared" si="28"/>
        <v>0</v>
      </c>
      <c r="N94" s="105">
        <f t="shared" si="28"/>
        <v>0</v>
      </c>
      <c r="O94" s="83">
        <f t="shared" si="29"/>
        <v>0</v>
      </c>
      <c r="P94" s="94">
        <f t="shared" si="30"/>
        <v>0</v>
      </c>
      <c r="Q94" s="106">
        <f t="shared" si="31"/>
        <v>0</v>
      </c>
      <c r="R94" s="93"/>
      <c r="S94" s="105">
        <f t="shared" si="32"/>
        <v>0</v>
      </c>
      <c r="T94" s="105">
        <f t="shared" si="32"/>
        <v>0</v>
      </c>
      <c r="U94" s="83">
        <f t="shared" si="33"/>
        <v>0</v>
      </c>
      <c r="V94" s="94">
        <f t="shared" si="34"/>
        <v>0</v>
      </c>
      <c r="W94" s="106">
        <f t="shared" si="35"/>
        <v>0</v>
      </c>
      <c r="X94" s="93"/>
      <c r="Y94" s="105">
        <f t="shared" si="36"/>
        <v>0</v>
      </c>
      <c r="Z94" s="105">
        <f t="shared" si="36"/>
        <v>0</v>
      </c>
      <c r="AA94" s="83">
        <f t="shared" si="37"/>
        <v>0</v>
      </c>
      <c r="AB94" s="94">
        <f t="shared" si="38"/>
        <v>0</v>
      </c>
      <c r="AC94" s="106">
        <f t="shared" si="39"/>
        <v>0</v>
      </c>
      <c r="AD94" s="93"/>
      <c r="AE94" s="105">
        <f t="shared" si="40"/>
        <v>0</v>
      </c>
      <c r="AF94" s="105">
        <f t="shared" si="40"/>
        <v>0</v>
      </c>
      <c r="AG94" s="83">
        <f t="shared" si="41"/>
        <v>0</v>
      </c>
      <c r="AH94" s="94">
        <f t="shared" si="42"/>
        <v>0</v>
      </c>
      <c r="AI94" s="106">
        <f t="shared" si="43"/>
        <v>0</v>
      </c>
      <c r="AJ94" s="93"/>
    </row>
    <row r="95" spans="1:36" ht="15">
      <c r="A95" s="80" t="s">
        <v>473</v>
      </c>
      <c r="B95" s="81"/>
      <c r="C95" s="82" t="e">
        <f>VLOOKUP(B95,'DATOS ASIGNACIÓN'!B:I,4,0)</f>
        <v>#N/A</v>
      </c>
      <c r="D95" s="82">
        <f>COUNTIFS('LISTADOS TFM'!D:D,Pagos!B95,'LISTADOS TFM'!S:S,"SÍ")</f>
        <v>0</v>
      </c>
      <c r="E95" s="82">
        <f>COUNTIF('LISTADOS TFM'!J:L,Pagos!B95)</f>
        <v>0</v>
      </c>
      <c r="F95" s="82"/>
      <c r="G95" s="83">
        <f t="shared" si="24"/>
        <v>0</v>
      </c>
      <c r="H95" s="83">
        <f t="shared" si="25"/>
        <v>0</v>
      </c>
      <c r="I95" s="84"/>
      <c r="J95" s="82">
        <f t="shared" si="26"/>
        <v>0</v>
      </c>
      <c r="K95" s="85">
        <f t="shared" si="27"/>
        <v>0</v>
      </c>
      <c r="L95" s="86"/>
      <c r="M95" s="105">
        <f t="shared" si="28"/>
        <v>0</v>
      </c>
      <c r="N95" s="105">
        <f t="shared" si="28"/>
        <v>0</v>
      </c>
      <c r="O95" s="83">
        <f t="shared" si="29"/>
        <v>0</v>
      </c>
      <c r="P95" s="94">
        <f t="shared" si="30"/>
        <v>0</v>
      </c>
      <c r="Q95" s="106">
        <f t="shared" si="31"/>
        <v>0</v>
      </c>
      <c r="R95" s="93"/>
      <c r="S95" s="105">
        <f t="shared" si="32"/>
        <v>0</v>
      </c>
      <c r="T95" s="105">
        <f t="shared" si="32"/>
        <v>0</v>
      </c>
      <c r="U95" s="83">
        <f t="shared" si="33"/>
        <v>0</v>
      </c>
      <c r="V95" s="94">
        <f t="shared" si="34"/>
        <v>0</v>
      </c>
      <c r="W95" s="106">
        <f t="shared" si="35"/>
        <v>0</v>
      </c>
      <c r="X95" s="93"/>
      <c r="Y95" s="105">
        <f t="shared" si="36"/>
        <v>0</v>
      </c>
      <c r="Z95" s="105">
        <f t="shared" si="36"/>
        <v>0</v>
      </c>
      <c r="AA95" s="83">
        <f t="shared" si="37"/>
        <v>0</v>
      </c>
      <c r="AB95" s="94">
        <f t="shared" si="38"/>
        <v>0</v>
      </c>
      <c r="AC95" s="106">
        <f t="shared" si="39"/>
        <v>0</v>
      </c>
      <c r="AD95" s="93"/>
      <c r="AE95" s="105">
        <f t="shared" si="40"/>
        <v>0</v>
      </c>
      <c r="AF95" s="105">
        <f t="shared" si="40"/>
        <v>0</v>
      </c>
      <c r="AG95" s="83">
        <f t="shared" si="41"/>
        <v>0</v>
      </c>
      <c r="AH95" s="94">
        <f t="shared" si="42"/>
        <v>0</v>
      </c>
      <c r="AI95" s="106">
        <f t="shared" si="43"/>
        <v>0</v>
      </c>
      <c r="AJ95" s="93"/>
    </row>
    <row r="96" spans="1:36" ht="15">
      <c r="A96" s="80" t="s">
        <v>473</v>
      </c>
      <c r="B96" s="81"/>
      <c r="C96" s="82" t="e">
        <f>VLOOKUP(B96,'DATOS ASIGNACIÓN'!B:I,4,0)</f>
        <v>#N/A</v>
      </c>
      <c r="D96" s="82">
        <f>COUNTIFS('LISTADOS TFM'!D:D,Pagos!B96,'LISTADOS TFM'!S:S,"SÍ")</f>
        <v>0</v>
      </c>
      <c r="E96" s="82">
        <f>COUNTIF('LISTADOS TFM'!J:L,Pagos!B96)</f>
        <v>0</v>
      </c>
      <c r="F96" s="82"/>
      <c r="G96" s="83">
        <f t="shared" si="24"/>
        <v>0</v>
      </c>
      <c r="H96" s="83">
        <f t="shared" si="25"/>
        <v>0</v>
      </c>
      <c r="I96" s="84"/>
      <c r="J96" s="82">
        <f t="shared" si="26"/>
        <v>0</v>
      </c>
      <c r="K96" s="85">
        <f t="shared" si="27"/>
        <v>0</v>
      </c>
      <c r="L96" s="86"/>
      <c r="M96" s="105">
        <f t="shared" si="28"/>
        <v>0</v>
      </c>
      <c r="N96" s="105">
        <f t="shared" si="28"/>
        <v>0</v>
      </c>
      <c r="O96" s="83">
        <f t="shared" si="29"/>
        <v>0</v>
      </c>
      <c r="P96" s="94">
        <f t="shared" si="30"/>
        <v>0</v>
      </c>
      <c r="Q96" s="106">
        <f t="shared" si="31"/>
        <v>0</v>
      </c>
      <c r="R96" s="93"/>
      <c r="S96" s="105">
        <f t="shared" si="32"/>
        <v>0</v>
      </c>
      <c r="T96" s="105">
        <f t="shared" si="32"/>
        <v>0</v>
      </c>
      <c r="U96" s="83">
        <f t="shared" si="33"/>
        <v>0</v>
      </c>
      <c r="V96" s="94">
        <f t="shared" si="34"/>
        <v>0</v>
      </c>
      <c r="W96" s="106">
        <f t="shared" si="35"/>
        <v>0</v>
      </c>
      <c r="X96" s="93"/>
      <c r="Y96" s="105">
        <f t="shared" si="36"/>
        <v>0</v>
      </c>
      <c r="Z96" s="105">
        <f t="shared" si="36"/>
        <v>0</v>
      </c>
      <c r="AA96" s="83">
        <f t="shared" si="37"/>
        <v>0</v>
      </c>
      <c r="AB96" s="94">
        <f t="shared" si="38"/>
        <v>0</v>
      </c>
      <c r="AC96" s="106">
        <f t="shared" si="39"/>
        <v>0</v>
      </c>
      <c r="AD96" s="93"/>
      <c r="AE96" s="105">
        <f t="shared" si="40"/>
        <v>0</v>
      </c>
      <c r="AF96" s="105">
        <f t="shared" si="40"/>
        <v>0</v>
      </c>
      <c r="AG96" s="83">
        <f t="shared" si="41"/>
        <v>0</v>
      </c>
      <c r="AH96" s="94">
        <f t="shared" si="42"/>
        <v>0</v>
      </c>
      <c r="AI96" s="106">
        <f t="shared" si="43"/>
        <v>0</v>
      </c>
      <c r="AJ96" s="93"/>
    </row>
    <row r="97" spans="1:36" ht="15">
      <c r="A97" s="80" t="s">
        <v>473</v>
      </c>
      <c r="B97" s="81"/>
      <c r="C97" s="82" t="e">
        <f>VLOOKUP(B97,'DATOS ASIGNACIÓN'!B:I,4,0)</f>
        <v>#N/A</v>
      </c>
      <c r="D97" s="82">
        <f>COUNTIFS('LISTADOS TFM'!D:D,Pagos!B97,'LISTADOS TFM'!S:S,"SÍ")</f>
        <v>0</v>
      </c>
      <c r="E97" s="82">
        <f>COUNTIF('LISTADOS TFM'!J:L,Pagos!B97)</f>
        <v>0</v>
      </c>
      <c r="F97" s="82"/>
      <c r="G97" s="83">
        <f t="shared" si="24"/>
        <v>0</v>
      </c>
      <c r="H97" s="83">
        <f t="shared" si="25"/>
        <v>0</v>
      </c>
      <c r="I97" s="84"/>
      <c r="J97" s="82">
        <f t="shared" si="26"/>
        <v>0</v>
      </c>
      <c r="K97" s="85">
        <f t="shared" si="27"/>
        <v>0</v>
      </c>
      <c r="L97" s="86"/>
      <c r="M97" s="105">
        <f t="shared" si="28"/>
        <v>0</v>
      </c>
      <c r="N97" s="105">
        <f t="shared" si="28"/>
        <v>0</v>
      </c>
      <c r="O97" s="83">
        <f t="shared" si="29"/>
        <v>0</v>
      </c>
      <c r="P97" s="94">
        <f t="shared" si="30"/>
        <v>0</v>
      </c>
      <c r="Q97" s="106">
        <f t="shared" si="31"/>
        <v>0</v>
      </c>
      <c r="R97" s="93"/>
      <c r="S97" s="105">
        <f t="shared" si="32"/>
        <v>0</v>
      </c>
      <c r="T97" s="105">
        <f t="shared" si="32"/>
        <v>0</v>
      </c>
      <c r="U97" s="83">
        <f t="shared" si="33"/>
        <v>0</v>
      </c>
      <c r="V97" s="94">
        <f t="shared" si="34"/>
        <v>0</v>
      </c>
      <c r="W97" s="106">
        <f t="shared" si="35"/>
        <v>0</v>
      </c>
      <c r="X97" s="93"/>
      <c r="Y97" s="105">
        <f t="shared" si="36"/>
        <v>0</v>
      </c>
      <c r="Z97" s="105">
        <f t="shared" si="36"/>
        <v>0</v>
      </c>
      <c r="AA97" s="83">
        <f t="shared" si="37"/>
        <v>0</v>
      </c>
      <c r="AB97" s="94">
        <f t="shared" si="38"/>
        <v>0</v>
      </c>
      <c r="AC97" s="106">
        <f t="shared" si="39"/>
        <v>0</v>
      </c>
      <c r="AD97" s="93"/>
      <c r="AE97" s="105">
        <f t="shared" si="40"/>
        <v>0</v>
      </c>
      <c r="AF97" s="105">
        <f t="shared" si="40"/>
        <v>0</v>
      </c>
      <c r="AG97" s="83">
        <f t="shared" si="41"/>
        <v>0</v>
      </c>
      <c r="AH97" s="94">
        <f t="shared" si="42"/>
        <v>0</v>
      </c>
      <c r="AI97" s="106">
        <f t="shared" si="43"/>
        <v>0</v>
      </c>
      <c r="AJ97" s="93"/>
    </row>
    <row r="98" spans="1:36" ht="15">
      <c r="A98" s="80" t="s">
        <v>473</v>
      </c>
      <c r="B98" s="81"/>
      <c r="C98" s="82" t="e">
        <f>VLOOKUP(B98,'DATOS ASIGNACIÓN'!B:I,4,0)</f>
        <v>#N/A</v>
      </c>
      <c r="D98" s="82">
        <f>COUNTIFS('LISTADOS TFM'!D:D,Pagos!B98,'LISTADOS TFM'!S:S,"SÍ")</f>
        <v>0</v>
      </c>
      <c r="E98" s="82">
        <f>COUNTIF('LISTADOS TFM'!J:L,Pagos!B98)</f>
        <v>0</v>
      </c>
      <c r="F98" s="82"/>
      <c r="G98" s="83">
        <f t="shared" si="24"/>
        <v>0</v>
      </c>
      <c r="H98" s="83">
        <f t="shared" si="25"/>
        <v>0</v>
      </c>
      <c r="I98" s="84"/>
      <c r="J98" s="82">
        <f t="shared" si="26"/>
        <v>0</v>
      </c>
      <c r="K98" s="85">
        <f t="shared" si="27"/>
        <v>0</v>
      </c>
      <c r="L98" s="86"/>
      <c r="M98" s="105">
        <f t="shared" si="28"/>
        <v>0</v>
      </c>
      <c r="N98" s="105">
        <f t="shared" si="28"/>
        <v>0</v>
      </c>
      <c r="O98" s="83">
        <f t="shared" si="29"/>
        <v>0</v>
      </c>
      <c r="P98" s="94">
        <f t="shared" si="30"/>
        <v>0</v>
      </c>
      <c r="Q98" s="106">
        <f t="shared" si="31"/>
        <v>0</v>
      </c>
      <c r="R98" s="93"/>
      <c r="S98" s="105">
        <f t="shared" si="32"/>
        <v>0</v>
      </c>
      <c r="T98" s="105">
        <f t="shared" si="32"/>
        <v>0</v>
      </c>
      <c r="U98" s="83">
        <f t="shared" si="33"/>
        <v>0</v>
      </c>
      <c r="V98" s="94">
        <f t="shared" si="34"/>
        <v>0</v>
      </c>
      <c r="W98" s="106">
        <f t="shared" si="35"/>
        <v>0</v>
      </c>
      <c r="X98" s="93"/>
      <c r="Y98" s="105">
        <f t="shared" si="36"/>
        <v>0</v>
      </c>
      <c r="Z98" s="105">
        <f t="shared" si="36"/>
        <v>0</v>
      </c>
      <c r="AA98" s="83">
        <f t="shared" si="37"/>
        <v>0</v>
      </c>
      <c r="AB98" s="94">
        <f t="shared" si="38"/>
        <v>0</v>
      </c>
      <c r="AC98" s="106">
        <f t="shared" si="39"/>
        <v>0</v>
      </c>
      <c r="AD98" s="93"/>
      <c r="AE98" s="105">
        <f t="shared" si="40"/>
        <v>0</v>
      </c>
      <c r="AF98" s="105">
        <f t="shared" si="40"/>
        <v>0</v>
      </c>
      <c r="AG98" s="83">
        <f t="shared" si="41"/>
        <v>0</v>
      </c>
      <c r="AH98" s="94">
        <f t="shared" si="42"/>
        <v>0</v>
      </c>
      <c r="AI98" s="106">
        <f t="shared" si="43"/>
        <v>0</v>
      </c>
      <c r="AJ98" s="93"/>
    </row>
    <row r="99" spans="1:36" ht="15">
      <c r="A99" s="80" t="s">
        <v>473</v>
      </c>
      <c r="B99" s="81"/>
      <c r="C99" s="82" t="e">
        <f>VLOOKUP(B99,'DATOS ASIGNACIÓN'!B:I,4,0)</f>
        <v>#N/A</v>
      </c>
      <c r="D99" s="82">
        <f>COUNTIFS('LISTADOS TFM'!D:D,Pagos!B99,'LISTADOS TFM'!S:S,"SÍ")</f>
        <v>0</v>
      </c>
      <c r="E99" s="82">
        <f>COUNTIF('LISTADOS TFM'!J:L,Pagos!B99)</f>
        <v>0</v>
      </c>
      <c r="F99" s="82"/>
      <c r="G99" s="83">
        <f t="shared" si="24"/>
        <v>0</v>
      </c>
      <c r="H99" s="83">
        <f t="shared" si="25"/>
        <v>0</v>
      </c>
      <c r="I99" s="84"/>
      <c r="J99" s="82">
        <f t="shared" si="26"/>
        <v>0</v>
      </c>
      <c r="K99" s="85">
        <f t="shared" si="27"/>
        <v>0</v>
      </c>
      <c r="L99" s="86"/>
      <c r="M99" s="105">
        <f t="shared" si="28"/>
        <v>0</v>
      </c>
      <c r="N99" s="105">
        <f t="shared" si="28"/>
        <v>0</v>
      </c>
      <c r="O99" s="83">
        <f t="shared" si="29"/>
        <v>0</v>
      </c>
      <c r="P99" s="94">
        <f t="shared" si="30"/>
        <v>0</v>
      </c>
      <c r="Q99" s="106">
        <f t="shared" si="31"/>
        <v>0</v>
      </c>
      <c r="R99" s="93"/>
      <c r="S99" s="105">
        <f t="shared" si="32"/>
        <v>0</v>
      </c>
      <c r="T99" s="105">
        <f t="shared" si="32"/>
        <v>0</v>
      </c>
      <c r="U99" s="83">
        <f t="shared" si="33"/>
        <v>0</v>
      </c>
      <c r="V99" s="94">
        <f t="shared" si="34"/>
        <v>0</v>
      </c>
      <c r="W99" s="106">
        <f t="shared" si="35"/>
        <v>0</v>
      </c>
      <c r="X99" s="93"/>
      <c r="Y99" s="105">
        <f t="shared" si="36"/>
        <v>0</v>
      </c>
      <c r="Z99" s="105">
        <f t="shared" si="36"/>
        <v>0</v>
      </c>
      <c r="AA99" s="83">
        <f t="shared" si="37"/>
        <v>0</v>
      </c>
      <c r="AB99" s="94">
        <f t="shared" si="38"/>
        <v>0</v>
      </c>
      <c r="AC99" s="106">
        <f t="shared" si="39"/>
        <v>0</v>
      </c>
      <c r="AD99" s="93"/>
      <c r="AE99" s="105">
        <f t="shared" si="40"/>
        <v>0</v>
      </c>
      <c r="AF99" s="105">
        <f t="shared" si="40"/>
        <v>0</v>
      </c>
      <c r="AG99" s="83">
        <f t="shared" si="41"/>
        <v>0</v>
      </c>
      <c r="AH99" s="94">
        <f t="shared" si="42"/>
        <v>0</v>
      </c>
      <c r="AI99" s="106">
        <f t="shared" si="43"/>
        <v>0</v>
      </c>
      <c r="AJ99" s="93"/>
    </row>
    <row r="100" spans="1:36" ht="15">
      <c r="A100" s="80" t="s">
        <v>473</v>
      </c>
      <c r="B100" s="81"/>
      <c r="C100" s="82" t="e">
        <f>VLOOKUP(B100,'DATOS ASIGNACIÓN'!B:I,4,0)</f>
        <v>#N/A</v>
      </c>
      <c r="D100" s="82">
        <f>COUNTIFS('LISTADOS TFM'!D:D,Pagos!B100,'LISTADOS TFM'!S:S,"SÍ")</f>
        <v>0</v>
      </c>
      <c r="E100" s="82">
        <f>COUNTIF('LISTADOS TFM'!J:L,Pagos!B100)</f>
        <v>0</v>
      </c>
      <c r="F100" s="82"/>
      <c r="G100" s="83">
        <f t="shared" si="24"/>
        <v>0</v>
      </c>
      <c r="H100" s="83">
        <f t="shared" si="25"/>
        <v>0</v>
      </c>
      <c r="I100" s="84"/>
      <c r="J100" s="82">
        <f t="shared" si="26"/>
        <v>0</v>
      </c>
      <c r="K100" s="85">
        <f t="shared" si="27"/>
        <v>0</v>
      </c>
      <c r="L100" s="86"/>
      <c r="M100" s="105">
        <f t="shared" si="28"/>
        <v>0</v>
      </c>
      <c r="N100" s="105">
        <f t="shared" si="28"/>
        <v>0</v>
      </c>
      <c r="O100" s="83">
        <f t="shared" si="29"/>
        <v>0</v>
      </c>
      <c r="P100" s="94">
        <f t="shared" si="30"/>
        <v>0</v>
      </c>
      <c r="Q100" s="106">
        <f t="shared" si="31"/>
        <v>0</v>
      </c>
      <c r="R100" s="93"/>
      <c r="S100" s="105">
        <f t="shared" si="32"/>
        <v>0</v>
      </c>
      <c r="T100" s="105">
        <f t="shared" si="32"/>
        <v>0</v>
      </c>
      <c r="U100" s="83">
        <f t="shared" si="33"/>
        <v>0</v>
      </c>
      <c r="V100" s="94">
        <f t="shared" si="34"/>
        <v>0</v>
      </c>
      <c r="W100" s="106">
        <f t="shared" si="35"/>
        <v>0</v>
      </c>
      <c r="X100" s="93"/>
      <c r="Y100" s="105">
        <f t="shared" si="36"/>
        <v>0</v>
      </c>
      <c r="Z100" s="105">
        <f t="shared" si="36"/>
        <v>0</v>
      </c>
      <c r="AA100" s="83">
        <f t="shared" si="37"/>
        <v>0</v>
      </c>
      <c r="AB100" s="94">
        <f t="shared" si="38"/>
        <v>0</v>
      </c>
      <c r="AC100" s="106">
        <f t="shared" si="39"/>
        <v>0</v>
      </c>
      <c r="AD100" s="93"/>
      <c r="AE100" s="105">
        <f t="shared" si="40"/>
        <v>0</v>
      </c>
      <c r="AF100" s="105">
        <f t="shared" si="40"/>
        <v>0</v>
      </c>
      <c r="AG100" s="83">
        <f t="shared" si="41"/>
        <v>0</v>
      </c>
      <c r="AH100" s="94">
        <f t="shared" si="42"/>
        <v>0</v>
      </c>
      <c r="AI100" s="106">
        <f t="shared" si="43"/>
        <v>0</v>
      </c>
      <c r="AJ100" s="93"/>
    </row>
    <row r="101" spans="1:36" ht="15">
      <c r="A101" s="80" t="s">
        <v>473</v>
      </c>
      <c r="B101" s="81"/>
      <c r="C101" s="82" t="e">
        <f>VLOOKUP(B101,'DATOS ASIGNACIÓN'!B:I,4,0)</f>
        <v>#N/A</v>
      </c>
      <c r="D101" s="82">
        <f>COUNTIFS('LISTADOS TFM'!D:D,Pagos!B101,'LISTADOS TFM'!S:S,"SÍ")</f>
        <v>0</v>
      </c>
      <c r="E101" s="82">
        <f>COUNTIF('LISTADOS TFM'!J:L,Pagos!B101)</f>
        <v>0</v>
      </c>
      <c r="F101" s="82"/>
      <c r="G101" s="83">
        <f t="shared" si="24"/>
        <v>0</v>
      </c>
      <c r="H101" s="83">
        <f t="shared" si="25"/>
        <v>0</v>
      </c>
      <c r="I101" s="84"/>
      <c r="J101" s="82">
        <f t="shared" si="26"/>
        <v>0</v>
      </c>
      <c r="K101" s="85">
        <f t="shared" si="27"/>
        <v>0</v>
      </c>
      <c r="L101" s="86"/>
      <c r="M101" s="105">
        <f t="shared" si="28"/>
        <v>0</v>
      </c>
      <c r="N101" s="105">
        <f t="shared" si="28"/>
        <v>0</v>
      </c>
      <c r="O101" s="83">
        <f t="shared" si="29"/>
        <v>0</v>
      </c>
      <c r="P101" s="94">
        <f t="shared" si="30"/>
        <v>0</v>
      </c>
      <c r="Q101" s="106">
        <f t="shared" si="31"/>
        <v>0</v>
      </c>
      <c r="R101" s="93"/>
      <c r="S101" s="105">
        <f t="shared" si="32"/>
        <v>0</v>
      </c>
      <c r="T101" s="105">
        <f t="shared" si="32"/>
        <v>0</v>
      </c>
      <c r="U101" s="83">
        <f t="shared" si="33"/>
        <v>0</v>
      </c>
      <c r="V101" s="94">
        <f t="shared" si="34"/>
        <v>0</v>
      </c>
      <c r="W101" s="106">
        <f t="shared" si="35"/>
        <v>0</v>
      </c>
      <c r="X101" s="93"/>
      <c r="Y101" s="105">
        <f t="shared" si="36"/>
        <v>0</v>
      </c>
      <c r="Z101" s="105">
        <f t="shared" si="36"/>
        <v>0</v>
      </c>
      <c r="AA101" s="83">
        <f t="shared" si="37"/>
        <v>0</v>
      </c>
      <c r="AB101" s="94">
        <f t="shared" si="38"/>
        <v>0</v>
      </c>
      <c r="AC101" s="106">
        <f t="shared" si="39"/>
        <v>0</v>
      </c>
      <c r="AD101" s="93"/>
      <c r="AE101" s="105">
        <f t="shared" si="40"/>
        <v>0</v>
      </c>
      <c r="AF101" s="105">
        <f t="shared" si="40"/>
        <v>0</v>
      </c>
      <c r="AG101" s="83">
        <f t="shared" si="41"/>
        <v>0</v>
      </c>
      <c r="AH101" s="94">
        <f t="shared" si="42"/>
        <v>0</v>
      </c>
      <c r="AI101" s="106">
        <f t="shared" si="43"/>
        <v>0</v>
      </c>
      <c r="AJ101" s="93"/>
    </row>
    <row r="102" spans="1:36" ht="15">
      <c r="A102" s="80" t="s">
        <v>473</v>
      </c>
      <c r="B102" s="81"/>
      <c r="C102" s="82" t="e">
        <f>VLOOKUP(B102,'DATOS ASIGNACIÓN'!B:I,4,0)</f>
        <v>#N/A</v>
      </c>
      <c r="D102" s="82">
        <f>COUNTIFS('LISTADOS TFM'!D:D,Pagos!B102,'LISTADOS TFM'!S:S,"SÍ")</f>
        <v>0</v>
      </c>
      <c r="E102" s="82">
        <f>COUNTIF('LISTADOS TFM'!J:L,Pagos!B102)</f>
        <v>0</v>
      </c>
      <c r="F102" s="82"/>
      <c r="G102" s="83">
        <f t="shared" si="24"/>
        <v>0</v>
      </c>
      <c r="H102" s="83">
        <f t="shared" si="25"/>
        <v>0</v>
      </c>
      <c r="I102" s="84"/>
      <c r="J102" s="82">
        <f t="shared" si="26"/>
        <v>0</v>
      </c>
      <c r="K102" s="85">
        <f t="shared" si="27"/>
        <v>0</v>
      </c>
      <c r="L102" s="86"/>
      <c r="M102" s="105">
        <f t="shared" si="28"/>
        <v>0</v>
      </c>
      <c r="N102" s="105">
        <f t="shared" si="28"/>
        <v>0</v>
      </c>
      <c r="O102" s="83">
        <f t="shared" si="29"/>
        <v>0</v>
      </c>
      <c r="P102" s="94">
        <f t="shared" si="30"/>
        <v>0</v>
      </c>
      <c r="Q102" s="106">
        <f t="shared" si="31"/>
        <v>0</v>
      </c>
      <c r="R102" s="93"/>
      <c r="S102" s="105">
        <f t="shared" si="32"/>
        <v>0</v>
      </c>
      <c r="T102" s="105">
        <f t="shared" si="32"/>
        <v>0</v>
      </c>
      <c r="U102" s="83">
        <f t="shared" si="33"/>
        <v>0</v>
      </c>
      <c r="V102" s="94">
        <f t="shared" si="34"/>
        <v>0</v>
      </c>
      <c r="W102" s="106">
        <f t="shared" si="35"/>
        <v>0</v>
      </c>
      <c r="X102" s="93"/>
      <c r="Y102" s="105">
        <f t="shared" si="36"/>
        <v>0</v>
      </c>
      <c r="Z102" s="105">
        <f t="shared" si="36"/>
        <v>0</v>
      </c>
      <c r="AA102" s="83">
        <f t="shared" si="37"/>
        <v>0</v>
      </c>
      <c r="AB102" s="94">
        <f t="shared" si="38"/>
        <v>0</v>
      </c>
      <c r="AC102" s="106">
        <f t="shared" si="39"/>
        <v>0</v>
      </c>
      <c r="AD102" s="93"/>
      <c r="AE102" s="105">
        <f t="shared" si="40"/>
        <v>0</v>
      </c>
      <c r="AF102" s="105">
        <f t="shared" si="40"/>
        <v>0</v>
      </c>
      <c r="AG102" s="83">
        <f t="shared" si="41"/>
        <v>0</v>
      </c>
      <c r="AH102" s="94">
        <f t="shared" si="42"/>
        <v>0</v>
      </c>
      <c r="AI102" s="106">
        <f t="shared" si="43"/>
        <v>0</v>
      </c>
      <c r="AJ102" s="93"/>
    </row>
    <row r="103" spans="1:36" ht="15">
      <c r="A103" s="80" t="s">
        <v>473</v>
      </c>
      <c r="B103" s="81"/>
      <c r="C103" s="82" t="e">
        <f>VLOOKUP(B103,'DATOS ASIGNACIÓN'!B:I,4,0)</f>
        <v>#N/A</v>
      </c>
      <c r="D103" s="82">
        <f>COUNTIFS('LISTADOS TFM'!D:D,Pagos!B103,'LISTADOS TFM'!S:S,"SÍ")</f>
        <v>0</v>
      </c>
      <c r="E103" s="82">
        <f>COUNTIF('LISTADOS TFM'!J:L,Pagos!B103)</f>
        <v>0</v>
      </c>
      <c r="F103" s="82"/>
      <c r="G103" s="83">
        <f t="shared" si="24"/>
        <v>0</v>
      </c>
      <c r="H103" s="83">
        <f t="shared" si="25"/>
        <v>0</v>
      </c>
      <c r="I103" s="84"/>
      <c r="J103" s="82">
        <f t="shared" si="26"/>
        <v>0</v>
      </c>
      <c r="K103" s="85">
        <f t="shared" si="27"/>
        <v>0</v>
      </c>
      <c r="L103" s="86"/>
      <c r="M103" s="105">
        <f t="shared" si="28"/>
        <v>0</v>
      </c>
      <c r="N103" s="105">
        <f t="shared" si="28"/>
        <v>0</v>
      </c>
      <c r="O103" s="83">
        <f t="shared" si="29"/>
        <v>0</v>
      </c>
      <c r="P103" s="94">
        <f t="shared" si="30"/>
        <v>0</v>
      </c>
      <c r="Q103" s="106">
        <f t="shared" si="31"/>
        <v>0</v>
      </c>
      <c r="R103" s="93"/>
      <c r="S103" s="105">
        <f t="shared" si="32"/>
        <v>0</v>
      </c>
      <c r="T103" s="105">
        <f t="shared" si="32"/>
        <v>0</v>
      </c>
      <c r="U103" s="83">
        <f t="shared" si="33"/>
        <v>0</v>
      </c>
      <c r="V103" s="94">
        <f t="shared" si="34"/>
        <v>0</v>
      </c>
      <c r="W103" s="106">
        <f t="shared" si="35"/>
        <v>0</v>
      </c>
      <c r="X103" s="93"/>
      <c r="Y103" s="105">
        <f t="shared" si="36"/>
        <v>0</v>
      </c>
      <c r="Z103" s="105">
        <f t="shared" si="36"/>
        <v>0</v>
      </c>
      <c r="AA103" s="83">
        <f t="shared" si="37"/>
        <v>0</v>
      </c>
      <c r="AB103" s="94">
        <f t="shared" si="38"/>
        <v>0</v>
      </c>
      <c r="AC103" s="106">
        <f t="shared" si="39"/>
        <v>0</v>
      </c>
      <c r="AD103" s="93"/>
      <c r="AE103" s="105">
        <f t="shared" si="40"/>
        <v>0</v>
      </c>
      <c r="AF103" s="105">
        <f t="shared" si="40"/>
        <v>0</v>
      </c>
      <c r="AG103" s="83">
        <f t="shared" si="41"/>
        <v>0</v>
      </c>
      <c r="AH103" s="94">
        <f t="shared" si="42"/>
        <v>0</v>
      </c>
      <c r="AI103" s="106">
        <f t="shared" si="43"/>
        <v>0</v>
      </c>
      <c r="AJ103" s="93"/>
    </row>
    <row r="104" spans="1:36" ht="15">
      <c r="A104" s="80" t="s">
        <v>473</v>
      </c>
      <c r="B104" s="81"/>
      <c r="C104" s="82" t="e">
        <f>VLOOKUP(B104,'DATOS ASIGNACIÓN'!B:I,4,0)</f>
        <v>#N/A</v>
      </c>
      <c r="D104" s="82">
        <f>COUNTIFS('LISTADOS TFM'!D:D,Pagos!B104,'LISTADOS TFM'!S:S,"SÍ")</f>
        <v>0</v>
      </c>
      <c r="E104" s="82">
        <f>COUNTIF('LISTADOS TFM'!J:L,Pagos!B104)</f>
        <v>0</v>
      </c>
      <c r="F104" s="82"/>
      <c r="G104" s="83">
        <f t="shared" si="24"/>
        <v>0</v>
      </c>
      <c r="H104" s="83">
        <f t="shared" si="25"/>
        <v>0</v>
      </c>
      <c r="I104" s="84"/>
      <c r="J104" s="82">
        <f t="shared" si="26"/>
        <v>0</v>
      </c>
      <c r="K104" s="85">
        <f t="shared" si="27"/>
        <v>0</v>
      </c>
      <c r="L104" s="86"/>
      <c r="M104" s="105">
        <f t="shared" si="28"/>
        <v>0</v>
      </c>
      <c r="N104" s="105">
        <f t="shared" si="28"/>
        <v>0</v>
      </c>
      <c r="O104" s="83">
        <f t="shared" si="29"/>
        <v>0</v>
      </c>
      <c r="P104" s="94">
        <f t="shared" si="30"/>
        <v>0</v>
      </c>
      <c r="Q104" s="106">
        <f t="shared" si="31"/>
        <v>0</v>
      </c>
      <c r="R104" s="93"/>
      <c r="S104" s="105">
        <f t="shared" si="32"/>
        <v>0</v>
      </c>
      <c r="T104" s="105">
        <f t="shared" si="32"/>
        <v>0</v>
      </c>
      <c r="U104" s="83">
        <f t="shared" si="33"/>
        <v>0</v>
      </c>
      <c r="V104" s="94">
        <f t="shared" si="34"/>
        <v>0</v>
      </c>
      <c r="W104" s="106">
        <f t="shared" si="35"/>
        <v>0</v>
      </c>
      <c r="X104" s="93"/>
      <c r="Y104" s="105">
        <f t="shared" si="36"/>
        <v>0</v>
      </c>
      <c r="Z104" s="105">
        <f t="shared" si="36"/>
        <v>0</v>
      </c>
      <c r="AA104" s="83">
        <f t="shared" si="37"/>
        <v>0</v>
      </c>
      <c r="AB104" s="94">
        <f t="shared" si="38"/>
        <v>0</v>
      </c>
      <c r="AC104" s="106">
        <f t="shared" si="39"/>
        <v>0</v>
      </c>
      <c r="AD104" s="93"/>
      <c r="AE104" s="105">
        <f t="shared" si="40"/>
        <v>0</v>
      </c>
      <c r="AF104" s="105">
        <f t="shared" si="40"/>
        <v>0</v>
      </c>
      <c r="AG104" s="83">
        <f t="shared" si="41"/>
        <v>0</v>
      </c>
      <c r="AH104" s="94">
        <f t="shared" si="42"/>
        <v>0</v>
      </c>
      <c r="AI104" s="106">
        <f t="shared" si="43"/>
        <v>0</v>
      </c>
      <c r="AJ104" s="93"/>
    </row>
    <row r="105" spans="1:36" ht="15">
      <c r="A105" s="80" t="s">
        <v>473</v>
      </c>
      <c r="B105" s="81"/>
      <c r="C105" s="82" t="e">
        <f>VLOOKUP(B105,'DATOS ASIGNACIÓN'!B:I,4,0)</f>
        <v>#N/A</v>
      </c>
      <c r="D105" s="82">
        <f>COUNTIFS('LISTADOS TFM'!D:D,Pagos!B105,'LISTADOS TFM'!S:S,"SÍ")</f>
        <v>0</v>
      </c>
      <c r="E105" s="82">
        <f>COUNTIF('LISTADOS TFM'!J:L,Pagos!B105)</f>
        <v>0</v>
      </c>
      <c r="F105" s="82"/>
      <c r="G105" s="83">
        <f t="shared" si="24"/>
        <v>0</v>
      </c>
      <c r="H105" s="83">
        <f t="shared" si="25"/>
        <v>0</v>
      </c>
      <c r="I105" s="84"/>
      <c r="J105" s="82">
        <f t="shared" si="26"/>
        <v>0</v>
      </c>
      <c r="K105" s="85">
        <f t="shared" si="27"/>
        <v>0</v>
      </c>
      <c r="L105" s="86"/>
      <c r="M105" s="105">
        <f t="shared" si="28"/>
        <v>0</v>
      </c>
      <c r="N105" s="105">
        <f t="shared" si="28"/>
        <v>0</v>
      </c>
      <c r="O105" s="83">
        <f t="shared" si="29"/>
        <v>0</v>
      </c>
      <c r="P105" s="94">
        <f t="shared" si="30"/>
        <v>0</v>
      </c>
      <c r="Q105" s="106">
        <f t="shared" si="31"/>
        <v>0</v>
      </c>
      <c r="R105" s="93"/>
      <c r="S105" s="105">
        <f t="shared" si="32"/>
        <v>0</v>
      </c>
      <c r="T105" s="105">
        <f t="shared" si="32"/>
        <v>0</v>
      </c>
      <c r="U105" s="83">
        <f t="shared" si="33"/>
        <v>0</v>
      </c>
      <c r="V105" s="94">
        <f t="shared" si="34"/>
        <v>0</v>
      </c>
      <c r="W105" s="106">
        <f t="shared" si="35"/>
        <v>0</v>
      </c>
      <c r="X105" s="93"/>
      <c r="Y105" s="105">
        <f t="shared" si="36"/>
        <v>0</v>
      </c>
      <c r="Z105" s="105">
        <f t="shared" si="36"/>
        <v>0</v>
      </c>
      <c r="AA105" s="83">
        <f t="shared" si="37"/>
        <v>0</v>
      </c>
      <c r="AB105" s="94">
        <f t="shared" si="38"/>
        <v>0</v>
      </c>
      <c r="AC105" s="106">
        <f t="shared" si="39"/>
        <v>0</v>
      </c>
      <c r="AD105" s="93"/>
      <c r="AE105" s="105">
        <f t="shared" si="40"/>
        <v>0</v>
      </c>
      <c r="AF105" s="105">
        <f t="shared" si="40"/>
        <v>0</v>
      </c>
      <c r="AG105" s="83">
        <f t="shared" si="41"/>
        <v>0</v>
      </c>
      <c r="AH105" s="94">
        <f t="shared" si="42"/>
        <v>0</v>
      </c>
      <c r="AI105" s="106">
        <f t="shared" si="43"/>
        <v>0</v>
      </c>
      <c r="AJ105" s="93"/>
    </row>
    <row r="106" spans="1:36" ht="15">
      <c r="A106" s="80" t="s">
        <v>473</v>
      </c>
      <c r="B106" s="81"/>
      <c r="C106" s="82" t="e">
        <f>VLOOKUP(B106,'DATOS ASIGNACIÓN'!B:I,4,0)</f>
        <v>#N/A</v>
      </c>
      <c r="D106" s="82">
        <f>COUNTIFS('LISTADOS TFM'!D:D,Pagos!B106,'LISTADOS TFM'!S:S,"SÍ")</f>
        <v>0</v>
      </c>
      <c r="E106" s="82">
        <f>COUNTIF('LISTADOS TFM'!J:L,Pagos!B106)</f>
        <v>0</v>
      </c>
      <c r="F106" s="82"/>
      <c r="G106" s="83">
        <f t="shared" si="24"/>
        <v>0</v>
      </c>
      <c r="H106" s="83">
        <f t="shared" si="25"/>
        <v>0</v>
      </c>
      <c r="I106" s="84"/>
      <c r="J106" s="82">
        <f t="shared" si="26"/>
        <v>0</v>
      </c>
      <c r="K106" s="85">
        <f t="shared" si="27"/>
        <v>0</v>
      </c>
      <c r="L106" s="86"/>
      <c r="M106" s="105">
        <f t="shared" si="28"/>
        <v>0</v>
      </c>
      <c r="N106" s="105">
        <f t="shared" si="28"/>
        <v>0</v>
      </c>
      <c r="O106" s="83">
        <f t="shared" si="29"/>
        <v>0</v>
      </c>
      <c r="P106" s="94">
        <f t="shared" si="30"/>
        <v>0</v>
      </c>
      <c r="Q106" s="106">
        <f t="shared" si="31"/>
        <v>0</v>
      </c>
      <c r="R106" s="93"/>
      <c r="S106" s="105">
        <f t="shared" si="32"/>
        <v>0</v>
      </c>
      <c r="T106" s="105">
        <f t="shared" si="32"/>
        <v>0</v>
      </c>
      <c r="U106" s="83">
        <f t="shared" si="33"/>
        <v>0</v>
      </c>
      <c r="V106" s="94">
        <f t="shared" si="34"/>
        <v>0</v>
      </c>
      <c r="W106" s="106">
        <f t="shared" si="35"/>
        <v>0</v>
      </c>
      <c r="X106" s="93"/>
      <c r="Y106" s="105">
        <f t="shared" si="36"/>
        <v>0</v>
      </c>
      <c r="Z106" s="105">
        <f t="shared" si="36"/>
        <v>0</v>
      </c>
      <c r="AA106" s="83">
        <f t="shared" si="37"/>
        <v>0</v>
      </c>
      <c r="AB106" s="94">
        <f t="shared" si="38"/>
        <v>0</v>
      </c>
      <c r="AC106" s="106">
        <f t="shared" si="39"/>
        <v>0</v>
      </c>
      <c r="AD106" s="93"/>
      <c r="AE106" s="105">
        <f t="shared" si="40"/>
        <v>0</v>
      </c>
      <c r="AF106" s="105">
        <f t="shared" si="40"/>
        <v>0</v>
      </c>
      <c r="AG106" s="83">
        <f t="shared" si="41"/>
        <v>0</v>
      </c>
      <c r="AH106" s="94">
        <f t="shared" si="42"/>
        <v>0</v>
      </c>
      <c r="AI106" s="106">
        <f t="shared" si="43"/>
        <v>0</v>
      </c>
      <c r="AJ106" s="93"/>
    </row>
    <row r="107" spans="1:36" ht="15">
      <c r="A107" s="80" t="s">
        <v>473</v>
      </c>
      <c r="B107" s="81"/>
      <c r="C107" s="82" t="e">
        <f>VLOOKUP(B107,'DATOS ASIGNACIÓN'!B:I,4,0)</f>
        <v>#N/A</v>
      </c>
      <c r="D107" s="82">
        <f>COUNTIFS('LISTADOS TFM'!D:D,Pagos!B107,'LISTADOS TFM'!S:S,"SÍ")</f>
        <v>0</v>
      </c>
      <c r="E107" s="82">
        <f>COUNTIF('LISTADOS TFM'!J:L,Pagos!B107)</f>
        <v>0</v>
      </c>
      <c r="F107" s="82"/>
      <c r="G107" s="83">
        <f t="shared" si="24"/>
        <v>0</v>
      </c>
      <c r="H107" s="83">
        <f t="shared" si="25"/>
        <v>0</v>
      </c>
      <c r="I107" s="84"/>
      <c r="J107" s="82">
        <f t="shared" si="26"/>
        <v>0</v>
      </c>
      <c r="K107" s="85">
        <f t="shared" si="27"/>
        <v>0</v>
      </c>
      <c r="L107" s="86"/>
      <c r="M107" s="105">
        <f t="shared" si="28"/>
        <v>0</v>
      </c>
      <c r="N107" s="105">
        <f t="shared" si="28"/>
        <v>0</v>
      </c>
      <c r="O107" s="83">
        <f t="shared" si="29"/>
        <v>0</v>
      </c>
      <c r="P107" s="94">
        <f t="shared" si="30"/>
        <v>0</v>
      </c>
      <c r="Q107" s="106">
        <f t="shared" si="31"/>
        <v>0</v>
      </c>
      <c r="R107" s="93"/>
      <c r="S107" s="105">
        <f t="shared" si="32"/>
        <v>0</v>
      </c>
      <c r="T107" s="105">
        <f t="shared" si="32"/>
        <v>0</v>
      </c>
      <c r="U107" s="83">
        <f t="shared" si="33"/>
        <v>0</v>
      </c>
      <c r="V107" s="94">
        <f t="shared" si="34"/>
        <v>0</v>
      </c>
      <c r="W107" s="106">
        <f t="shared" si="35"/>
        <v>0</v>
      </c>
      <c r="X107" s="93"/>
      <c r="Y107" s="105">
        <f t="shared" si="36"/>
        <v>0</v>
      </c>
      <c r="Z107" s="105">
        <f t="shared" si="36"/>
        <v>0</v>
      </c>
      <c r="AA107" s="83">
        <f t="shared" si="37"/>
        <v>0</v>
      </c>
      <c r="AB107" s="94">
        <f t="shared" si="38"/>
        <v>0</v>
      </c>
      <c r="AC107" s="106">
        <f t="shared" si="39"/>
        <v>0</v>
      </c>
      <c r="AD107" s="93"/>
      <c r="AE107" s="105">
        <f t="shared" si="40"/>
        <v>0</v>
      </c>
      <c r="AF107" s="105">
        <f t="shared" si="40"/>
        <v>0</v>
      </c>
      <c r="AG107" s="83">
        <f t="shared" si="41"/>
        <v>0</v>
      </c>
      <c r="AH107" s="94">
        <f t="shared" si="42"/>
        <v>0</v>
      </c>
      <c r="AI107" s="106">
        <f t="shared" si="43"/>
        <v>0</v>
      </c>
      <c r="AJ107" s="93"/>
    </row>
    <row r="108" spans="1:36" ht="15">
      <c r="A108" s="80" t="s">
        <v>473</v>
      </c>
      <c r="B108" s="81"/>
      <c r="C108" s="82" t="e">
        <f>VLOOKUP(B108,'DATOS ASIGNACIÓN'!B:I,4,0)</f>
        <v>#N/A</v>
      </c>
      <c r="D108" s="82">
        <f>COUNTIFS('LISTADOS TFM'!D:D,Pagos!B108,'LISTADOS TFM'!S:S,"SÍ")</f>
        <v>0</v>
      </c>
      <c r="E108" s="82">
        <f>COUNTIF('LISTADOS TFM'!J:L,Pagos!B108)</f>
        <v>0</v>
      </c>
      <c r="F108" s="82"/>
      <c r="G108" s="83">
        <f t="shared" si="24"/>
        <v>0</v>
      </c>
      <c r="H108" s="83">
        <f t="shared" si="25"/>
        <v>0</v>
      </c>
      <c r="I108" s="84"/>
      <c r="J108" s="82">
        <f t="shared" si="26"/>
        <v>0</v>
      </c>
      <c r="K108" s="85">
        <f t="shared" si="27"/>
        <v>0</v>
      </c>
      <c r="L108" s="86"/>
      <c r="M108" s="105">
        <f t="shared" si="28"/>
        <v>0</v>
      </c>
      <c r="N108" s="105">
        <f t="shared" si="28"/>
        <v>0</v>
      </c>
      <c r="O108" s="83">
        <f t="shared" si="29"/>
        <v>0</v>
      </c>
      <c r="P108" s="94">
        <f t="shared" si="30"/>
        <v>0</v>
      </c>
      <c r="Q108" s="106">
        <f t="shared" si="31"/>
        <v>0</v>
      </c>
      <c r="R108" s="93"/>
      <c r="S108" s="105">
        <f t="shared" si="32"/>
        <v>0</v>
      </c>
      <c r="T108" s="105">
        <f t="shared" si="32"/>
        <v>0</v>
      </c>
      <c r="U108" s="83">
        <f t="shared" si="33"/>
        <v>0</v>
      </c>
      <c r="V108" s="94">
        <f t="shared" si="34"/>
        <v>0</v>
      </c>
      <c r="W108" s="106">
        <f t="shared" si="35"/>
        <v>0</v>
      </c>
      <c r="X108" s="93"/>
      <c r="Y108" s="105">
        <f t="shared" si="36"/>
        <v>0</v>
      </c>
      <c r="Z108" s="105">
        <f t="shared" si="36"/>
        <v>0</v>
      </c>
      <c r="AA108" s="83">
        <f t="shared" si="37"/>
        <v>0</v>
      </c>
      <c r="AB108" s="94">
        <f t="shared" si="38"/>
        <v>0</v>
      </c>
      <c r="AC108" s="106">
        <f t="shared" si="39"/>
        <v>0</v>
      </c>
      <c r="AD108" s="93"/>
      <c r="AE108" s="105">
        <f t="shared" si="40"/>
        <v>0</v>
      </c>
      <c r="AF108" s="105">
        <f t="shared" si="40"/>
        <v>0</v>
      </c>
      <c r="AG108" s="83">
        <f t="shared" si="41"/>
        <v>0</v>
      </c>
      <c r="AH108" s="94">
        <f t="shared" si="42"/>
        <v>0</v>
      </c>
      <c r="AI108" s="106">
        <f t="shared" si="43"/>
        <v>0</v>
      </c>
      <c r="AJ108" s="93"/>
    </row>
    <row r="109" spans="1:36" ht="15">
      <c r="A109" s="80" t="s">
        <v>473</v>
      </c>
      <c r="B109" s="81"/>
      <c r="C109" s="82" t="e">
        <f>VLOOKUP(B109,'DATOS ASIGNACIÓN'!B:I,4,0)</f>
        <v>#N/A</v>
      </c>
      <c r="D109" s="82">
        <f>COUNTIFS('LISTADOS TFM'!D:D,Pagos!B109,'LISTADOS TFM'!S:S,"SÍ")</f>
        <v>0</v>
      </c>
      <c r="E109" s="82">
        <f>COUNTIF('LISTADOS TFM'!J:L,Pagos!B109)</f>
        <v>0</v>
      </c>
      <c r="F109" s="82"/>
      <c r="G109" s="83">
        <f t="shared" si="24"/>
        <v>0</v>
      </c>
      <c r="H109" s="83">
        <f t="shared" si="25"/>
        <v>0</v>
      </c>
      <c r="I109" s="84"/>
      <c r="J109" s="82">
        <f t="shared" si="26"/>
        <v>0</v>
      </c>
      <c r="K109" s="85">
        <f t="shared" si="27"/>
        <v>0</v>
      </c>
      <c r="L109" s="86"/>
      <c r="M109" s="105">
        <f t="shared" si="28"/>
        <v>0</v>
      </c>
      <c r="N109" s="105">
        <f t="shared" si="28"/>
        <v>0</v>
      </c>
      <c r="O109" s="83">
        <f t="shared" si="29"/>
        <v>0</v>
      </c>
      <c r="P109" s="94">
        <f t="shared" si="30"/>
        <v>0</v>
      </c>
      <c r="Q109" s="106">
        <f t="shared" si="31"/>
        <v>0</v>
      </c>
      <c r="R109" s="93"/>
      <c r="S109" s="105">
        <f t="shared" si="32"/>
        <v>0</v>
      </c>
      <c r="T109" s="105">
        <f t="shared" si="32"/>
        <v>0</v>
      </c>
      <c r="U109" s="83">
        <f t="shared" si="33"/>
        <v>0</v>
      </c>
      <c r="V109" s="94">
        <f t="shared" si="34"/>
        <v>0</v>
      </c>
      <c r="W109" s="106">
        <f t="shared" si="35"/>
        <v>0</v>
      </c>
      <c r="X109" s="93"/>
      <c r="Y109" s="105">
        <f t="shared" si="36"/>
        <v>0</v>
      </c>
      <c r="Z109" s="105">
        <f t="shared" si="36"/>
        <v>0</v>
      </c>
      <c r="AA109" s="83">
        <f t="shared" si="37"/>
        <v>0</v>
      </c>
      <c r="AB109" s="94">
        <f t="shared" si="38"/>
        <v>0</v>
      </c>
      <c r="AC109" s="106">
        <f t="shared" si="39"/>
        <v>0</v>
      </c>
      <c r="AD109" s="93"/>
      <c r="AE109" s="105">
        <f t="shared" si="40"/>
        <v>0</v>
      </c>
      <c r="AF109" s="105">
        <f t="shared" si="40"/>
        <v>0</v>
      </c>
      <c r="AG109" s="83">
        <f t="shared" si="41"/>
        <v>0</v>
      </c>
      <c r="AH109" s="94">
        <f t="shared" si="42"/>
        <v>0</v>
      </c>
      <c r="AI109" s="106">
        <f t="shared" si="43"/>
        <v>0</v>
      </c>
      <c r="AJ109" s="93"/>
    </row>
    <row r="110" spans="1:36" ht="15">
      <c r="A110" s="80" t="s">
        <v>473</v>
      </c>
      <c r="B110" s="81"/>
      <c r="C110" s="82" t="e">
        <f>VLOOKUP(B110,'DATOS ASIGNACIÓN'!B:I,4,0)</f>
        <v>#N/A</v>
      </c>
      <c r="D110" s="82">
        <f>COUNTIFS('LISTADOS TFM'!D:D,Pagos!B110,'LISTADOS TFM'!S:S,"SÍ")</f>
        <v>0</v>
      </c>
      <c r="E110" s="82">
        <f>COUNTIF('LISTADOS TFM'!J:L,Pagos!B110)</f>
        <v>0</v>
      </c>
      <c r="F110" s="82"/>
      <c r="G110" s="83">
        <f t="shared" si="24"/>
        <v>0</v>
      </c>
      <c r="H110" s="83">
        <f t="shared" si="25"/>
        <v>0</v>
      </c>
      <c r="I110" s="84"/>
      <c r="J110" s="82">
        <f t="shared" si="26"/>
        <v>0</v>
      </c>
      <c r="K110" s="85">
        <f t="shared" si="27"/>
        <v>0</v>
      </c>
      <c r="L110" s="86"/>
      <c r="M110" s="105">
        <f t="shared" si="28"/>
        <v>0</v>
      </c>
      <c r="N110" s="105">
        <f t="shared" si="28"/>
        <v>0</v>
      </c>
      <c r="O110" s="83">
        <f t="shared" si="29"/>
        <v>0</v>
      </c>
      <c r="P110" s="94">
        <f t="shared" si="30"/>
        <v>0</v>
      </c>
      <c r="Q110" s="106">
        <f t="shared" si="31"/>
        <v>0</v>
      </c>
      <c r="R110" s="93"/>
      <c r="S110" s="105">
        <f t="shared" si="32"/>
        <v>0</v>
      </c>
      <c r="T110" s="105">
        <f t="shared" si="32"/>
        <v>0</v>
      </c>
      <c r="U110" s="83">
        <f t="shared" si="33"/>
        <v>0</v>
      </c>
      <c r="V110" s="94">
        <f t="shared" si="34"/>
        <v>0</v>
      </c>
      <c r="W110" s="106">
        <f t="shared" si="35"/>
        <v>0</v>
      </c>
      <c r="X110" s="93"/>
      <c r="Y110" s="105">
        <f t="shared" si="36"/>
        <v>0</v>
      </c>
      <c r="Z110" s="105">
        <f t="shared" si="36"/>
        <v>0</v>
      </c>
      <c r="AA110" s="83">
        <f t="shared" si="37"/>
        <v>0</v>
      </c>
      <c r="AB110" s="94">
        <f t="shared" si="38"/>
        <v>0</v>
      </c>
      <c r="AC110" s="106">
        <f t="shared" si="39"/>
        <v>0</v>
      </c>
      <c r="AD110" s="93"/>
      <c r="AE110" s="105">
        <f t="shared" si="40"/>
        <v>0</v>
      </c>
      <c r="AF110" s="105">
        <f t="shared" si="40"/>
        <v>0</v>
      </c>
      <c r="AG110" s="83">
        <f t="shared" si="41"/>
        <v>0</v>
      </c>
      <c r="AH110" s="94">
        <f t="shared" si="42"/>
        <v>0</v>
      </c>
      <c r="AI110" s="106">
        <f t="shared" si="43"/>
        <v>0</v>
      </c>
      <c r="AJ110" s="93"/>
    </row>
    <row r="111" spans="1:36" ht="15">
      <c r="A111" s="80" t="s">
        <v>473</v>
      </c>
      <c r="B111" s="81"/>
      <c r="C111" s="82" t="e">
        <f>VLOOKUP(B111,'DATOS ASIGNACIÓN'!B:I,4,0)</f>
        <v>#N/A</v>
      </c>
      <c r="D111" s="82">
        <f>COUNTIFS('LISTADOS TFM'!D:D,Pagos!B111,'LISTADOS TFM'!S:S,"SÍ")</f>
        <v>0</v>
      </c>
      <c r="E111" s="82">
        <f>COUNTIF('LISTADOS TFM'!J:L,Pagos!B111)</f>
        <v>0</v>
      </c>
      <c r="F111" s="82"/>
      <c r="G111" s="83">
        <f t="shared" si="24"/>
        <v>0</v>
      </c>
      <c r="H111" s="83">
        <f t="shared" si="25"/>
        <v>0</v>
      </c>
      <c r="I111" s="84"/>
      <c r="J111" s="82">
        <f t="shared" si="26"/>
        <v>0</v>
      </c>
      <c r="K111" s="85">
        <f t="shared" si="27"/>
        <v>0</v>
      </c>
      <c r="L111" s="86"/>
      <c r="M111" s="105">
        <f t="shared" si="28"/>
        <v>0</v>
      </c>
      <c r="N111" s="105">
        <f t="shared" si="28"/>
        <v>0</v>
      </c>
      <c r="O111" s="83">
        <f t="shared" si="29"/>
        <v>0</v>
      </c>
      <c r="P111" s="94">
        <f t="shared" si="30"/>
        <v>0</v>
      </c>
      <c r="Q111" s="106">
        <f t="shared" si="31"/>
        <v>0</v>
      </c>
      <c r="R111" s="93"/>
      <c r="S111" s="105">
        <f t="shared" si="32"/>
        <v>0</v>
      </c>
      <c r="T111" s="105">
        <f t="shared" si="32"/>
        <v>0</v>
      </c>
      <c r="U111" s="83">
        <f t="shared" si="33"/>
        <v>0</v>
      </c>
      <c r="V111" s="94">
        <f t="shared" si="34"/>
        <v>0</v>
      </c>
      <c r="W111" s="106">
        <f t="shared" si="35"/>
        <v>0</v>
      </c>
      <c r="X111" s="93"/>
      <c r="Y111" s="105">
        <f t="shared" si="36"/>
        <v>0</v>
      </c>
      <c r="Z111" s="105">
        <f t="shared" si="36"/>
        <v>0</v>
      </c>
      <c r="AA111" s="83">
        <f t="shared" si="37"/>
        <v>0</v>
      </c>
      <c r="AB111" s="94">
        <f t="shared" si="38"/>
        <v>0</v>
      </c>
      <c r="AC111" s="106">
        <f t="shared" si="39"/>
        <v>0</v>
      </c>
      <c r="AD111" s="93"/>
      <c r="AE111" s="105">
        <f t="shared" si="40"/>
        <v>0</v>
      </c>
      <c r="AF111" s="105">
        <f t="shared" si="40"/>
        <v>0</v>
      </c>
      <c r="AG111" s="83">
        <f t="shared" si="41"/>
        <v>0</v>
      </c>
      <c r="AH111" s="94">
        <f t="shared" si="42"/>
        <v>0</v>
      </c>
      <c r="AI111" s="106">
        <f t="shared" si="43"/>
        <v>0</v>
      </c>
      <c r="AJ111" s="93"/>
    </row>
    <row r="112" spans="1:36" ht="15">
      <c r="A112" s="80" t="s">
        <v>473</v>
      </c>
      <c r="B112" s="81"/>
      <c r="C112" s="82" t="e">
        <f>VLOOKUP(B112,'DATOS ASIGNACIÓN'!B:I,4,0)</f>
        <v>#N/A</v>
      </c>
      <c r="D112" s="82">
        <f>COUNTIFS('LISTADOS TFM'!D:D,Pagos!B112,'LISTADOS TFM'!S:S,"SÍ")</f>
        <v>0</v>
      </c>
      <c r="E112" s="82">
        <f>COUNTIF('LISTADOS TFM'!J:L,Pagos!B112)</f>
        <v>0</v>
      </c>
      <c r="F112" s="82"/>
      <c r="G112" s="83">
        <f t="shared" si="24"/>
        <v>0</v>
      </c>
      <c r="H112" s="83">
        <f t="shared" si="25"/>
        <v>0</v>
      </c>
      <c r="I112" s="84"/>
      <c r="J112" s="82">
        <f t="shared" si="26"/>
        <v>0</v>
      </c>
      <c r="K112" s="85">
        <f t="shared" si="27"/>
        <v>0</v>
      </c>
      <c r="L112" s="86"/>
      <c r="M112" s="105">
        <f t="shared" si="28"/>
        <v>0</v>
      </c>
      <c r="N112" s="105">
        <f t="shared" si="28"/>
        <v>0</v>
      </c>
      <c r="O112" s="83">
        <f t="shared" si="29"/>
        <v>0</v>
      </c>
      <c r="P112" s="94">
        <f t="shared" si="30"/>
        <v>0</v>
      </c>
      <c r="Q112" s="106">
        <f t="shared" si="31"/>
        <v>0</v>
      </c>
      <c r="R112" s="93"/>
      <c r="S112" s="105">
        <f t="shared" si="32"/>
        <v>0</v>
      </c>
      <c r="T112" s="105">
        <f t="shared" si="32"/>
        <v>0</v>
      </c>
      <c r="U112" s="83">
        <f t="shared" si="33"/>
        <v>0</v>
      </c>
      <c r="V112" s="94">
        <f t="shared" si="34"/>
        <v>0</v>
      </c>
      <c r="W112" s="106">
        <f t="shared" si="35"/>
        <v>0</v>
      </c>
      <c r="X112" s="93"/>
      <c r="Y112" s="105">
        <f t="shared" si="36"/>
        <v>0</v>
      </c>
      <c r="Z112" s="105">
        <f t="shared" si="36"/>
        <v>0</v>
      </c>
      <c r="AA112" s="83">
        <f t="shared" si="37"/>
        <v>0</v>
      </c>
      <c r="AB112" s="94">
        <f t="shared" si="38"/>
        <v>0</v>
      </c>
      <c r="AC112" s="106">
        <f t="shared" si="39"/>
        <v>0</v>
      </c>
      <c r="AD112" s="93"/>
      <c r="AE112" s="105">
        <f t="shared" si="40"/>
        <v>0</v>
      </c>
      <c r="AF112" s="105">
        <f t="shared" si="40"/>
        <v>0</v>
      </c>
      <c r="AG112" s="83">
        <f t="shared" si="41"/>
        <v>0</v>
      </c>
      <c r="AH112" s="94">
        <f t="shared" si="42"/>
        <v>0</v>
      </c>
      <c r="AI112" s="106">
        <f t="shared" si="43"/>
        <v>0</v>
      </c>
      <c r="AJ112" s="93"/>
    </row>
    <row r="113" spans="1:36" ht="15">
      <c r="A113" s="80" t="s">
        <v>473</v>
      </c>
      <c r="B113" s="81"/>
      <c r="C113" s="82" t="e">
        <f>VLOOKUP(B113,'DATOS ASIGNACIÓN'!B:I,4,0)</f>
        <v>#N/A</v>
      </c>
      <c r="D113" s="82">
        <f>COUNTIFS('LISTADOS TFM'!D:D,Pagos!B113,'LISTADOS TFM'!S:S,"SÍ")</f>
        <v>0</v>
      </c>
      <c r="E113" s="82">
        <f>COUNTIF('LISTADOS TFM'!J:L,Pagos!B113)</f>
        <v>0</v>
      </c>
      <c r="F113" s="82"/>
      <c r="G113" s="83">
        <f t="shared" si="24"/>
        <v>0</v>
      </c>
      <c r="H113" s="83">
        <f t="shared" si="25"/>
        <v>0</v>
      </c>
      <c r="I113" s="84"/>
      <c r="J113" s="82">
        <f t="shared" si="26"/>
        <v>0</v>
      </c>
      <c r="K113" s="85">
        <f t="shared" si="27"/>
        <v>0</v>
      </c>
      <c r="L113" s="86"/>
      <c r="M113" s="105">
        <f t="shared" si="28"/>
        <v>0</v>
      </c>
      <c r="N113" s="105">
        <f t="shared" si="28"/>
        <v>0</v>
      </c>
      <c r="O113" s="83">
        <f t="shared" si="29"/>
        <v>0</v>
      </c>
      <c r="P113" s="94">
        <f t="shared" si="30"/>
        <v>0</v>
      </c>
      <c r="Q113" s="106">
        <f t="shared" si="31"/>
        <v>0</v>
      </c>
      <c r="R113" s="93"/>
      <c r="S113" s="105">
        <f t="shared" si="32"/>
        <v>0</v>
      </c>
      <c r="T113" s="105">
        <f t="shared" si="32"/>
        <v>0</v>
      </c>
      <c r="U113" s="83">
        <f t="shared" si="33"/>
        <v>0</v>
      </c>
      <c r="V113" s="94">
        <f t="shared" si="34"/>
        <v>0</v>
      </c>
      <c r="W113" s="106">
        <f t="shared" si="35"/>
        <v>0</v>
      </c>
      <c r="X113" s="93"/>
      <c r="Y113" s="105">
        <f t="shared" si="36"/>
        <v>0</v>
      </c>
      <c r="Z113" s="105">
        <f t="shared" si="36"/>
        <v>0</v>
      </c>
      <c r="AA113" s="83">
        <f t="shared" si="37"/>
        <v>0</v>
      </c>
      <c r="AB113" s="94">
        <f t="shared" si="38"/>
        <v>0</v>
      </c>
      <c r="AC113" s="106">
        <f t="shared" si="39"/>
        <v>0</v>
      </c>
      <c r="AD113" s="93"/>
      <c r="AE113" s="105">
        <f t="shared" si="40"/>
        <v>0</v>
      </c>
      <c r="AF113" s="105">
        <f t="shared" si="40"/>
        <v>0</v>
      </c>
      <c r="AG113" s="83">
        <f t="shared" si="41"/>
        <v>0</v>
      </c>
      <c r="AH113" s="94">
        <f t="shared" si="42"/>
        <v>0</v>
      </c>
      <c r="AI113" s="106">
        <f t="shared" si="43"/>
        <v>0</v>
      </c>
      <c r="AJ113" s="93"/>
    </row>
    <row r="114" spans="1:36" ht="15">
      <c r="A114" s="80" t="s">
        <v>473</v>
      </c>
      <c r="B114" s="81"/>
      <c r="C114" s="82" t="e">
        <f>VLOOKUP(B114,'DATOS ASIGNACIÓN'!B:I,4,0)</f>
        <v>#N/A</v>
      </c>
      <c r="D114" s="82">
        <f>COUNTIFS('LISTADOS TFM'!D:D,Pagos!B114,'LISTADOS TFM'!S:S,"SÍ")</f>
        <v>0</v>
      </c>
      <c r="E114" s="82">
        <f>COUNTIF('LISTADOS TFM'!J:L,Pagos!B114)</f>
        <v>0</v>
      </c>
      <c r="F114" s="82"/>
      <c r="G114" s="83">
        <f t="shared" si="24"/>
        <v>0</v>
      </c>
      <c r="H114" s="83">
        <f t="shared" si="25"/>
        <v>0</v>
      </c>
      <c r="I114" s="84"/>
      <c r="J114" s="82">
        <f t="shared" si="26"/>
        <v>0</v>
      </c>
      <c r="K114" s="85">
        <f t="shared" si="27"/>
        <v>0</v>
      </c>
      <c r="L114" s="86"/>
      <c r="M114" s="105">
        <f t="shared" si="28"/>
        <v>0</v>
      </c>
      <c r="N114" s="105">
        <f t="shared" si="28"/>
        <v>0</v>
      </c>
      <c r="O114" s="83">
        <f t="shared" si="29"/>
        <v>0</v>
      </c>
      <c r="P114" s="94">
        <f t="shared" si="30"/>
        <v>0</v>
      </c>
      <c r="Q114" s="106">
        <f t="shared" si="31"/>
        <v>0</v>
      </c>
      <c r="R114" s="93"/>
      <c r="S114" s="105">
        <f t="shared" si="32"/>
        <v>0</v>
      </c>
      <c r="T114" s="105">
        <f t="shared" si="32"/>
        <v>0</v>
      </c>
      <c r="U114" s="83">
        <f t="shared" si="33"/>
        <v>0</v>
      </c>
      <c r="V114" s="94">
        <f t="shared" si="34"/>
        <v>0</v>
      </c>
      <c r="W114" s="106">
        <f t="shared" si="35"/>
        <v>0</v>
      </c>
      <c r="X114" s="93"/>
      <c r="Y114" s="105">
        <f t="shared" si="36"/>
        <v>0</v>
      </c>
      <c r="Z114" s="105">
        <f t="shared" si="36"/>
        <v>0</v>
      </c>
      <c r="AA114" s="83">
        <f t="shared" si="37"/>
        <v>0</v>
      </c>
      <c r="AB114" s="94">
        <f t="shared" si="38"/>
        <v>0</v>
      </c>
      <c r="AC114" s="106">
        <f t="shared" si="39"/>
        <v>0</v>
      </c>
      <c r="AD114" s="93"/>
      <c r="AE114" s="105">
        <f t="shared" si="40"/>
        <v>0</v>
      </c>
      <c r="AF114" s="105">
        <f t="shared" si="40"/>
        <v>0</v>
      </c>
      <c r="AG114" s="83">
        <f t="shared" si="41"/>
        <v>0</v>
      </c>
      <c r="AH114" s="94">
        <f t="shared" si="42"/>
        <v>0</v>
      </c>
      <c r="AI114" s="106">
        <f t="shared" si="43"/>
        <v>0</v>
      </c>
      <c r="AJ114" s="93"/>
    </row>
    <row r="115" spans="1:36" ht="15">
      <c r="A115" s="80" t="s">
        <v>473</v>
      </c>
      <c r="B115" s="81"/>
      <c r="C115" s="82" t="e">
        <f>VLOOKUP(B115,'DATOS ASIGNACIÓN'!B:I,4,0)</f>
        <v>#N/A</v>
      </c>
      <c r="D115" s="82">
        <f>COUNTIFS('LISTADOS TFM'!D:D,Pagos!B115,'LISTADOS TFM'!S:S,"SÍ")</f>
        <v>0</v>
      </c>
      <c r="E115" s="82">
        <f>COUNTIF('LISTADOS TFM'!J:L,Pagos!B115)</f>
        <v>0</v>
      </c>
      <c r="F115" s="82"/>
      <c r="G115" s="83">
        <f t="shared" si="24"/>
        <v>0</v>
      </c>
      <c r="H115" s="83">
        <f t="shared" si="25"/>
        <v>0</v>
      </c>
      <c r="I115" s="84"/>
      <c r="J115" s="82">
        <f t="shared" si="26"/>
        <v>0</v>
      </c>
      <c r="K115" s="85">
        <f t="shared" si="27"/>
        <v>0</v>
      </c>
      <c r="L115" s="86"/>
      <c r="M115" s="105">
        <f t="shared" si="28"/>
        <v>0</v>
      </c>
      <c r="N115" s="105">
        <f t="shared" si="28"/>
        <v>0</v>
      </c>
      <c r="O115" s="83">
        <f t="shared" si="29"/>
        <v>0</v>
      </c>
      <c r="P115" s="94">
        <f t="shared" si="30"/>
        <v>0</v>
      </c>
      <c r="Q115" s="106">
        <f t="shared" si="31"/>
        <v>0</v>
      </c>
      <c r="R115" s="93"/>
      <c r="S115" s="105">
        <f t="shared" si="32"/>
        <v>0</v>
      </c>
      <c r="T115" s="105">
        <f t="shared" si="32"/>
        <v>0</v>
      </c>
      <c r="U115" s="83">
        <f t="shared" si="33"/>
        <v>0</v>
      </c>
      <c r="V115" s="94">
        <f t="shared" si="34"/>
        <v>0</v>
      </c>
      <c r="W115" s="106">
        <f t="shared" si="35"/>
        <v>0</v>
      </c>
      <c r="X115" s="93"/>
      <c r="Y115" s="105">
        <f t="shared" si="36"/>
        <v>0</v>
      </c>
      <c r="Z115" s="105">
        <f t="shared" si="36"/>
        <v>0</v>
      </c>
      <c r="AA115" s="83">
        <f t="shared" si="37"/>
        <v>0</v>
      </c>
      <c r="AB115" s="94">
        <f t="shared" si="38"/>
        <v>0</v>
      </c>
      <c r="AC115" s="106">
        <f t="shared" si="39"/>
        <v>0</v>
      </c>
      <c r="AD115" s="93"/>
      <c r="AE115" s="105">
        <f t="shared" si="40"/>
        <v>0</v>
      </c>
      <c r="AF115" s="105">
        <f t="shared" si="40"/>
        <v>0</v>
      </c>
      <c r="AG115" s="83">
        <f t="shared" si="41"/>
        <v>0</v>
      </c>
      <c r="AH115" s="94">
        <f t="shared" si="42"/>
        <v>0</v>
      </c>
      <c r="AI115" s="106">
        <f t="shared" si="43"/>
        <v>0</v>
      </c>
      <c r="AJ115" s="93"/>
    </row>
    <row r="116" spans="1:36" ht="15">
      <c r="A116" s="80" t="s">
        <v>473</v>
      </c>
      <c r="B116" s="81"/>
      <c r="C116" s="82" t="e">
        <f>VLOOKUP(B116,'DATOS ASIGNACIÓN'!B:I,4,0)</f>
        <v>#N/A</v>
      </c>
      <c r="D116" s="82">
        <f>COUNTIFS('LISTADOS TFM'!D:D,Pagos!B116,'LISTADOS TFM'!S:S,"SÍ")</f>
        <v>0</v>
      </c>
      <c r="E116" s="82">
        <f>COUNTIF('LISTADOS TFM'!J:L,Pagos!B116)</f>
        <v>0</v>
      </c>
      <c r="F116" s="82"/>
      <c r="G116" s="83">
        <f t="shared" si="24"/>
        <v>0</v>
      </c>
      <c r="H116" s="83">
        <f t="shared" si="25"/>
        <v>0</v>
      </c>
      <c r="I116" s="84"/>
      <c r="J116" s="82">
        <f t="shared" si="26"/>
        <v>0</v>
      </c>
      <c r="K116" s="85">
        <f t="shared" si="27"/>
        <v>0</v>
      </c>
      <c r="L116" s="86"/>
      <c r="M116" s="105">
        <f t="shared" si="28"/>
        <v>0</v>
      </c>
      <c r="N116" s="105">
        <f t="shared" si="28"/>
        <v>0</v>
      </c>
      <c r="O116" s="83">
        <f t="shared" si="29"/>
        <v>0</v>
      </c>
      <c r="P116" s="94">
        <f t="shared" si="30"/>
        <v>0</v>
      </c>
      <c r="Q116" s="106">
        <f t="shared" si="31"/>
        <v>0</v>
      </c>
      <c r="R116" s="93"/>
      <c r="S116" s="105">
        <f t="shared" si="32"/>
        <v>0</v>
      </c>
      <c r="T116" s="105">
        <f t="shared" si="32"/>
        <v>0</v>
      </c>
      <c r="U116" s="83">
        <f t="shared" si="33"/>
        <v>0</v>
      </c>
      <c r="V116" s="94">
        <f t="shared" si="34"/>
        <v>0</v>
      </c>
      <c r="W116" s="106">
        <f t="shared" si="35"/>
        <v>0</v>
      </c>
      <c r="X116" s="93"/>
      <c r="Y116" s="105">
        <f t="shared" si="36"/>
        <v>0</v>
      </c>
      <c r="Z116" s="105">
        <f t="shared" si="36"/>
        <v>0</v>
      </c>
      <c r="AA116" s="83">
        <f t="shared" si="37"/>
        <v>0</v>
      </c>
      <c r="AB116" s="94">
        <f t="shared" si="38"/>
        <v>0</v>
      </c>
      <c r="AC116" s="106">
        <f t="shared" si="39"/>
        <v>0</v>
      </c>
      <c r="AD116" s="93"/>
      <c r="AE116" s="105">
        <f t="shared" si="40"/>
        <v>0</v>
      </c>
      <c r="AF116" s="105">
        <f t="shared" si="40"/>
        <v>0</v>
      </c>
      <c r="AG116" s="83">
        <f t="shared" si="41"/>
        <v>0</v>
      </c>
      <c r="AH116" s="94">
        <f t="shared" si="42"/>
        <v>0</v>
      </c>
      <c r="AI116" s="106">
        <f t="shared" si="43"/>
        <v>0</v>
      </c>
      <c r="AJ116" s="93"/>
    </row>
    <row r="117" spans="1:36" ht="15">
      <c r="K117" s="88"/>
    </row>
    <row r="118" spans="1:36" ht="15">
      <c r="K118" s="88"/>
      <c r="M118" s="86"/>
      <c r="N118" s="86"/>
      <c r="O118" s="86"/>
      <c r="P118" s="86"/>
    </row>
    <row r="119" spans="1:36" ht="15">
      <c r="K119" s="88"/>
      <c r="M119" s="86"/>
      <c r="N119" s="86"/>
      <c r="O119" s="86"/>
      <c r="P119" s="86"/>
    </row>
    <row r="120" spans="1:36" ht="57.75" hidden="1" customHeight="1">
      <c r="A120" s="78"/>
      <c r="B120" s="78" t="s">
        <v>447</v>
      </c>
      <c r="C120" s="78" t="s">
        <v>448</v>
      </c>
      <c r="D120" s="78" t="s">
        <v>449</v>
      </c>
      <c r="E120" s="78" t="s">
        <v>450</v>
      </c>
      <c r="F120" s="78"/>
      <c r="G120" s="78" t="s">
        <v>451</v>
      </c>
      <c r="H120" s="78" t="s">
        <v>452</v>
      </c>
      <c r="I120" s="79" t="s">
        <v>453</v>
      </c>
      <c r="J120" s="78"/>
      <c r="K120" s="89" t="s">
        <v>454</v>
      </c>
      <c r="L120" s="32" t="s">
        <v>455</v>
      </c>
      <c r="M120" s="86"/>
      <c r="N120" s="86"/>
      <c r="O120" s="86"/>
      <c r="P120" s="86"/>
    </row>
    <row r="121" spans="1:36" ht="15" hidden="1">
      <c r="A121" s="80" t="s">
        <v>477</v>
      </c>
      <c r="B121" s="81"/>
      <c r="C121" s="82" t="e">
        <f>VLOOKUP(B121,'DATOS ASIGNACIÓN'!B:I,4,0)</f>
        <v>#N/A</v>
      </c>
      <c r="D121" s="82">
        <f>COUNTIFS('LISTADOS TFM'!D:D,Pagos!B121,'LISTADOS TFM'!S:S,"SÍ")</f>
        <v>0</v>
      </c>
      <c r="E121" s="82">
        <f>COUNTIF('LISTADOS TFM'!J:L,Pagos!B121)</f>
        <v>0</v>
      </c>
      <c r="F121" s="82" t="str">
        <f>IF(D121*3=E121,"OK",IF(D121*3&lt;E121,"EXTRA","VALORAR"))</f>
        <v>OK</v>
      </c>
      <c r="G121" s="83">
        <f t="shared" ref="G121:G152" si="44">IF($H$18&lt;9,$E$16,IF($H$18=$D$17,$E$17,$E$18))*D121</f>
        <v>0</v>
      </c>
      <c r="H121" s="83">
        <f t="shared" ref="H121:H152" si="45">+E121*$H$16</f>
        <v>0</v>
      </c>
      <c r="I121" s="84"/>
      <c r="J121" s="82">
        <f>IF(I121="SÍ",H121*-1,0)</f>
        <v>0</v>
      </c>
      <c r="K121" s="85">
        <f>+G121+H121</f>
        <v>0</v>
      </c>
      <c r="L121" s="86"/>
      <c r="M121" s="86"/>
      <c r="N121" s="86"/>
      <c r="O121" s="86"/>
      <c r="P121" s="86"/>
    </row>
    <row r="122" spans="1:36" ht="15" hidden="1">
      <c r="A122" s="80" t="s">
        <v>477</v>
      </c>
      <c r="B122" s="81"/>
      <c r="C122" s="82" t="e">
        <f>VLOOKUP(B122,'DATOS ASIGNACIÓN'!B:I,4,0)</f>
        <v>#N/A</v>
      </c>
      <c r="D122" s="82">
        <f>COUNTIFS('LISTADOS TFM'!D:D,Pagos!B122,'LISTADOS TFM'!S:S,"SÍ")</f>
        <v>0</v>
      </c>
      <c r="E122" s="82">
        <f>COUNTIF('LISTADOS TFM'!J:L,Pagos!B122)</f>
        <v>0</v>
      </c>
      <c r="F122" s="82" t="str">
        <f t="shared" ref="F122:F185" si="46">IF(D122*3=E122,"OK",IF(D122*3&lt;E122,"EXTRA","VALORAR"))</f>
        <v>OK</v>
      </c>
      <c r="G122" s="83">
        <f t="shared" si="44"/>
        <v>0</v>
      </c>
      <c r="H122" s="83">
        <f t="shared" si="45"/>
        <v>0</v>
      </c>
      <c r="I122" s="84"/>
      <c r="J122" s="82">
        <f t="shared" ref="J122:J185" si="47">IF(I122="SÍ",H122*-1,0)</f>
        <v>0</v>
      </c>
      <c r="K122" s="85">
        <f t="shared" ref="K122:K185" si="48">+G122+H122</f>
        <v>0</v>
      </c>
      <c r="L122" s="87"/>
      <c r="M122" s="86"/>
      <c r="N122" s="86"/>
      <c r="O122" s="86"/>
      <c r="P122" s="86"/>
    </row>
    <row r="123" spans="1:36" ht="15" hidden="1">
      <c r="A123" s="80" t="s">
        <v>477</v>
      </c>
      <c r="B123" s="81"/>
      <c r="C123" s="82" t="e">
        <f>VLOOKUP(B123,'DATOS ASIGNACIÓN'!B:I,4,0)</f>
        <v>#N/A</v>
      </c>
      <c r="D123" s="82">
        <f>COUNTIFS('LISTADOS TFM'!D:D,Pagos!B123,'LISTADOS TFM'!S:S,"SÍ")</f>
        <v>0</v>
      </c>
      <c r="E123" s="82">
        <f>COUNTIF('LISTADOS TFM'!J:L,Pagos!B123)</f>
        <v>0</v>
      </c>
      <c r="F123" s="82" t="str">
        <f t="shared" si="46"/>
        <v>OK</v>
      </c>
      <c r="G123" s="83">
        <f t="shared" si="44"/>
        <v>0</v>
      </c>
      <c r="H123" s="83">
        <f t="shared" si="45"/>
        <v>0</v>
      </c>
      <c r="I123" s="84"/>
      <c r="J123" s="82">
        <f t="shared" si="47"/>
        <v>0</v>
      </c>
      <c r="K123" s="85">
        <f t="shared" si="48"/>
        <v>0</v>
      </c>
      <c r="L123" s="86"/>
      <c r="M123" s="86"/>
      <c r="N123" s="86"/>
      <c r="O123" s="86"/>
      <c r="P123" s="86"/>
    </row>
    <row r="124" spans="1:36" ht="15" hidden="1">
      <c r="A124" s="80" t="s">
        <v>477</v>
      </c>
      <c r="B124" s="81"/>
      <c r="C124" s="82" t="e">
        <f>VLOOKUP(B124,'DATOS ASIGNACIÓN'!B:I,4,0)</f>
        <v>#N/A</v>
      </c>
      <c r="D124" s="82">
        <f>COUNTIFS('LISTADOS TFM'!D:D,Pagos!B124,'LISTADOS TFM'!S:S,"SÍ")</f>
        <v>0</v>
      </c>
      <c r="E124" s="82">
        <f>COUNTIF('LISTADOS TFM'!J:L,Pagos!B124)</f>
        <v>0</v>
      </c>
      <c r="F124" s="82" t="str">
        <f t="shared" si="46"/>
        <v>OK</v>
      </c>
      <c r="G124" s="83">
        <f t="shared" si="44"/>
        <v>0</v>
      </c>
      <c r="H124" s="83">
        <f t="shared" si="45"/>
        <v>0</v>
      </c>
      <c r="I124" s="84"/>
      <c r="J124" s="82">
        <f t="shared" si="47"/>
        <v>0</v>
      </c>
      <c r="K124" s="85">
        <f t="shared" si="48"/>
        <v>0</v>
      </c>
      <c r="L124" s="86"/>
      <c r="M124" s="86"/>
      <c r="N124" s="86"/>
      <c r="O124" s="86"/>
      <c r="P124" s="86"/>
    </row>
    <row r="125" spans="1:36" ht="15" hidden="1">
      <c r="A125" s="80" t="s">
        <v>477</v>
      </c>
      <c r="B125" s="81"/>
      <c r="C125" s="82" t="e">
        <f>VLOOKUP(B125,'DATOS ASIGNACIÓN'!B:I,4,0)</f>
        <v>#N/A</v>
      </c>
      <c r="D125" s="82">
        <f>COUNTIFS('LISTADOS TFM'!D:D,Pagos!B125,'LISTADOS TFM'!S:S,"SÍ")</f>
        <v>0</v>
      </c>
      <c r="E125" s="82">
        <f>COUNTIF('LISTADOS TFM'!J:L,Pagos!B125)</f>
        <v>0</v>
      </c>
      <c r="F125" s="82" t="str">
        <f t="shared" si="46"/>
        <v>OK</v>
      </c>
      <c r="G125" s="83">
        <f t="shared" si="44"/>
        <v>0</v>
      </c>
      <c r="H125" s="83">
        <f t="shared" si="45"/>
        <v>0</v>
      </c>
      <c r="I125" s="84"/>
      <c r="J125" s="82">
        <f t="shared" si="47"/>
        <v>0</v>
      </c>
      <c r="K125" s="85">
        <f t="shared" si="48"/>
        <v>0</v>
      </c>
      <c r="L125" s="86"/>
      <c r="M125" s="86"/>
      <c r="N125" s="86"/>
      <c r="O125" s="86"/>
      <c r="P125" s="86"/>
    </row>
    <row r="126" spans="1:36" ht="15" hidden="1">
      <c r="A126" s="80" t="s">
        <v>477</v>
      </c>
      <c r="B126" s="81"/>
      <c r="C126" s="82" t="e">
        <f>VLOOKUP(B126,'DATOS ASIGNACIÓN'!B:I,4,0)</f>
        <v>#N/A</v>
      </c>
      <c r="D126" s="82">
        <f>COUNTIFS('LISTADOS TFM'!D:D,Pagos!B126,'LISTADOS TFM'!S:S,"SÍ")</f>
        <v>0</v>
      </c>
      <c r="E126" s="82">
        <f>COUNTIF('LISTADOS TFM'!J:L,Pagos!B126)</f>
        <v>0</v>
      </c>
      <c r="F126" s="82" t="str">
        <f t="shared" si="46"/>
        <v>OK</v>
      </c>
      <c r="G126" s="83">
        <f t="shared" si="44"/>
        <v>0</v>
      </c>
      <c r="H126" s="83">
        <f t="shared" si="45"/>
        <v>0</v>
      </c>
      <c r="I126" s="84"/>
      <c r="J126" s="82">
        <f t="shared" si="47"/>
        <v>0</v>
      </c>
      <c r="K126" s="85">
        <f t="shared" si="48"/>
        <v>0</v>
      </c>
      <c r="L126" s="86"/>
      <c r="M126" s="86"/>
      <c r="N126" s="86"/>
      <c r="O126" s="86"/>
      <c r="P126" s="86"/>
    </row>
    <row r="127" spans="1:36" ht="15" hidden="1">
      <c r="A127" s="80" t="s">
        <v>477</v>
      </c>
      <c r="B127" s="81"/>
      <c r="C127" s="82" t="e">
        <f>VLOOKUP(B127,'DATOS ASIGNACIÓN'!B:I,4,0)</f>
        <v>#N/A</v>
      </c>
      <c r="D127" s="82">
        <f>COUNTIFS('LISTADOS TFM'!D:D,Pagos!B127,'LISTADOS TFM'!S:S,"SÍ")</f>
        <v>0</v>
      </c>
      <c r="E127" s="82">
        <f>COUNTIF('LISTADOS TFM'!J:L,Pagos!B127)</f>
        <v>0</v>
      </c>
      <c r="F127" s="82" t="str">
        <f t="shared" si="46"/>
        <v>OK</v>
      </c>
      <c r="G127" s="83">
        <f t="shared" si="44"/>
        <v>0</v>
      </c>
      <c r="H127" s="83">
        <f t="shared" si="45"/>
        <v>0</v>
      </c>
      <c r="I127" s="84"/>
      <c r="J127" s="82">
        <f t="shared" si="47"/>
        <v>0</v>
      </c>
      <c r="K127" s="85">
        <f t="shared" si="48"/>
        <v>0</v>
      </c>
      <c r="L127" s="86"/>
      <c r="M127" s="86"/>
      <c r="N127" s="86"/>
      <c r="O127" s="86"/>
      <c r="P127" s="86"/>
    </row>
    <row r="128" spans="1:36" ht="15" hidden="1">
      <c r="A128" s="80" t="s">
        <v>477</v>
      </c>
      <c r="B128" s="81"/>
      <c r="C128" s="82" t="e">
        <f>VLOOKUP(B128,'DATOS ASIGNACIÓN'!B:I,4,0)</f>
        <v>#N/A</v>
      </c>
      <c r="D128" s="82">
        <f>COUNTIFS('LISTADOS TFM'!D:D,Pagos!B128,'LISTADOS TFM'!S:S,"SÍ")</f>
        <v>0</v>
      </c>
      <c r="E128" s="82">
        <f>COUNTIF('LISTADOS TFM'!J:L,Pagos!B128)</f>
        <v>0</v>
      </c>
      <c r="F128" s="82" t="str">
        <f t="shared" si="46"/>
        <v>OK</v>
      </c>
      <c r="G128" s="83">
        <f t="shared" si="44"/>
        <v>0</v>
      </c>
      <c r="H128" s="83">
        <f t="shared" si="45"/>
        <v>0</v>
      </c>
      <c r="I128" s="84"/>
      <c r="J128" s="82">
        <f t="shared" si="47"/>
        <v>0</v>
      </c>
      <c r="K128" s="85">
        <f t="shared" si="48"/>
        <v>0</v>
      </c>
      <c r="L128" s="86"/>
      <c r="M128" s="86"/>
      <c r="N128" s="86"/>
      <c r="O128" s="86"/>
      <c r="P128" s="86"/>
    </row>
    <row r="129" spans="1:16" ht="15" hidden="1">
      <c r="A129" s="80" t="s">
        <v>477</v>
      </c>
      <c r="B129" s="81"/>
      <c r="C129" s="82" t="e">
        <f>VLOOKUP(B129,'DATOS ASIGNACIÓN'!B:I,4,0)</f>
        <v>#N/A</v>
      </c>
      <c r="D129" s="82">
        <f>COUNTIFS('LISTADOS TFM'!D:D,Pagos!B129,'LISTADOS TFM'!S:S,"SÍ")</f>
        <v>0</v>
      </c>
      <c r="E129" s="82">
        <f>COUNTIF('LISTADOS TFM'!J:L,Pagos!B129)</f>
        <v>0</v>
      </c>
      <c r="F129" s="82" t="str">
        <f t="shared" si="46"/>
        <v>OK</v>
      </c>
      <c r="G129" s="83">
        <f t="shared" si="44"/>
        <v>0</v>
      </c>
      <c r="H129" s="83">
        <f t="shared" si="45"/>
        <v>0</v>
      </c>
      <c r="I129" s="84"/>
      <c r="J129" s="82">
        <f t="shared" si="47"/>
        <v>0</v>
      </c>
      <c r="K129" s="85">
        <f t="shared" si="48"/>
        <v>0</v>
      </c>
      <c r="L129" s="86"/>
      <c r="M129" s="86"/>
      <c r="N129" s="86"/>
      <c r="O129" s="86"/>
      <c r="P129" s="86"/>
    </row>
    <row r="130" spans="1:16" ht="15" hidden="1">
      <c r="A130" s="80" t="s">
        <v>477</v>
      </c>
      <c r="B130" s="81"/>
      <c r="C130" s="82" t="e">
        <f>VLOOKUP(B130,'DATOS ASIGNACIÓN'!B:I,4,0)</f>
        <v>#N/A</v>
      </c>
      <c r="D130" s="82">
        <f>COUNTIFS('LISTADOS TFM'!D:D,Pagos!B130,'LISTADOS TFM'!S:S,"SÍ")</f>
        <v>0</v>
      </c>
      <c r="E130" s="82">
        <f>COUNTIF('LISTADOS TFM'!J:L,Pagos!B130)</f>
        <v>0</v>
      </c>
      <c r="F130" s="82" t="str">
        <f t="shared" si="46"/>
        <v>OK</v>
      </c>
      <c r="G130" s="83">
        <f t="shared" si="44"/>
        <v>0</v>
      </c>
      <c r="H130" s="83">
        <f t="shared" si="45"/>
        <v>0</v>
      </c>
      <c r="I130" s="84"/>
      <c r="J130" s="82">
        <f t="shared" si="47"/>
        <v>0</v>
      </c>
      <c r="K130" s="85">
        <f t="shared" si="48"/>
        <v>0</v>
      </c>
      <c r="L130" s="86"/>
      <c r="M130" s="86"/>
      <c r="N130" s="86"/>
      <c r="O130" s="86"/>
      <c r="P130" s="86"/>
    </row>
    <row r="131" spans="1:16" ht="15" hidden="1">
      <c r="A131" s="80" t="s">
        <v>477</v>
      </c>
      <c r="B131" s="81"/>
      <c r="C131" s="82" t="e">
        <f>VLOOKUP(B131,'DATOS ASIGNACIÓN'!B:I,4,0)</f>
        <v>#N/A</v>
      </c>
      <c r="D131" s="82">
        <f>COUNTIFS('LISTADOS TFM'!D:D,Pagos!B131,'LISTADOS TFM'!S:S,"SÍ")</f>
        <v>0</v>
      </c>
      <c r="E131" s="82">
        <f>COUNTIF('LISTADOS TFM'!J:L,Pagos!B131)</f>
        <v>0</v>
      </c>
      <c r="F131" s="82" t="str">
        <f t="shared" si="46"/>
        <v>OK</v>
      </c>
      <c r="G131" s="83">
        <f t="shared" si="44"/>
        <v>0</v>
      </c>
      <c r="H131" s="83">
        <f t="shared" si="45"/>
        <v>0</v>
      </c>
      <c r="I131" s="84"/>
      <c r="J131" s="82">
        <f t="shared" si="47"/>
        <v>0</v>
      </c>
      <c r="K131" s="85">
        <f t="shared" si="48"/>
        <v>0</v>
      </c>
      <c r="L131" s="86"/>
      <c r="M131" s="86"/>
      <c r="N131" s="86"/>
      <c r="O131" s="86"/>
      <c r="P131" s="86"/>
    </row>
    <row r="132" spans="1:16" ht="15" hidden="1">
      <c r="A132" s="80" t="s">
        <v>477</v>
      </c>
      <c r="B132" s="81"/>
      <c r="C132" s="82" t="e">
        <f>VLOOKUP(B132,'DATOS ASIGNACIÓN'!B:I,4,0)</f>
        <v>#N/A</v>
      </c>
      <c r="D132" s="82">
        <f>COUNTIFS('LISTADOS TFM'!D:D,Pagos!B132,'LISTADOS TFM'!S:S,"SÍ")</f>
        <v>0</v>
      </c>
      <c r="E132" s="82">
        <f>COUNTIF('LISTADOS TFM'!J:L,Pagos!B132)</f>
        <v>0</v>
      </c>
      <c r="F132" s="82" t="str">
        <f t="shared" si="46"/>
        <v>OK</v>
      </c>
      <c r="G132" s="83">
        <f t="shared" si="44"/>
        <v>0</v>
      </c>
      <c r="H132" s="83">
        <f t="shared" si="45"/>
        <v>0</v>
      </c>
      <c r="I132" s="84"/>
      <c r="J132" s="82">
        <f t="shared" si="47"/>
        <v>0</v>
      </c>
      <c r="K132" s="85">
        <f t="shared" si="48"/>
        <v>0</v>
      </c>
      <c r="L132" s="86"/>
      <c r="M132" s="86"/>
      <c r="N132" s="86"/>
      <c r="O132" s="86"/>
      <c r="P132" s="86"/>
    </row>
    <row r="133" spans="1:16" ht="15" hidden="1">
      <c r="A133" s="80" t="s">
        <v>477</v>
      </c>
      <c r="B133" s="81"/>
      <c r="C133" s="82" t="e">
        <f>VLOOKUP(B133,'DATOS ASIGNACIÓN'!B:I,4,0)</f>
        <v>#N/A</v>
      </c>
      <c r="D133" s="82">
        <f>COUNTIFS('LISTADOS TFM'!D:D,Pagos!B133,'LISTADOS TFM'!S:S,"SÍ")</f>
        <v>0</v>
      </c>
      <c r="E133" s="82">
        <f>COUNTIF('LISTADOS TFM'!J:L,Pagos!B133)</f>
        <v>0</v>
      </c>
      <c r="F133" s="82" t="str">
        <f t="shared" si="46"/>
        <v>OK</v>
      </c>
      <c r="G133" s="83">
        <f t="shared" si="44"/>
        <v>0</v>
      </c>
      <c r="H133" s="83">
        <f t="shared" si="45"/>
        <v>0</v>
      </c>
      <c r="I133" s="84"/>
      <c r="J133" s="82">
        <f t="shared" si="47"/>
        <v>0</v>
      </c>
      <c r="K133" s="85">
        <f t="shared" si="48"/>
        <v>0</v>
      </c>
      <c r="L133" s="86"/>
      <c r="M133" s="86"/>
      <c r="N133" s="86"/>
      <c r="O133" s="86"/>
      <c r="P133" s="86"/>
    </row>
    <row r="134" spans="1:16" ht="15" hidden="1">
      <c r="A134" s="80" t="s">
        <v>477</v>
      </c>
      <c r="B134" s="81"/>
      <c r="C134" s="82" t="e">
        <f>VLOOKUP(B134,'DATOS ASIGNACIÓN'!B:I,4,0)</f>
        <v>#N/A</v>
      </c>
      <c r="D134" s="82">
        <f>COUNTIFS('LISTADOS TFM'!D:D,Pagos!B134,'LISTADOS TFM'!S:S,"SÍ")</f>
        <v>0</v>
      </c>
      <c r="E134" s="82">
        <f>COUNTIF('LISTADOS TFM'!J:L,Pagos!B134)</f>
        <v>0</v>
      </c>
      <c r="F134" s="82" t="str">
        <f t="shared" si="46"/>
        <v>OK</v>
      </c>
      <c r="G134" s="83">
        <f t="shared" si="44"/>
        <v>0</v>
      </c>
      <c r="H134" s="83">
        <f t="shared" si="45"/>
        <v>0</v>
      </c>
      <c r="I134" s="84"/>
      <c r="J134" s="82">
        <f t="shared" si="47"/>
        <v>0</v>
      </c>
      <c r="K134" s="85">
        <f t="shared" si="48"/>
        <v>0</v>
      </c>
      <c r="L134" s="86"/>
      <c r="M134" s="86"/>
      <c r="N134" s="86"/>
      <c r="O134" s="86"/>
      <c r="P134" s="86"/>
    </row>
    <row r="135" spans="1:16" ht="15" hidden="1">
      <c r="A135" s="80" t="s">
        <v>477</v>
      </c>
      <c r="B135" s="81"/>
      <c r="C135" s="82" t="e">
        <f>VLOOKUP(B135,'DATOS ASIGNACIÓN'!B:I,4,0)</f>
        <v>#N/A</v>
      </c>
      <c r="D135" s="82">
        <f>COUNTIFS('LISTADOS TFM'!D:D,Pagos!B135,'LISTADOS TFM'!S:S,"SÍ")</f>
        <v>0</v>
      </c>
      <c r="E135" s="82">
        <f>COUNTIF('LISTADOS TFM'!J:L,Pagos!B135)</f>
        <v>0</v>
      </c>
      <c r="F135" s="82" t="str">
        <f t="shared" si="46"/>
        <v>OK</v>
      </c>
      <c r="G135" s="83">
        <f t="shared" si="44"/>
        <v>0</v>
      </c>
      <c r="H135" s="83">
        <f t="shared" si="45"/>
        <v>0</v>
      </c>
      <c r="I135" s="84"/>
      <c r="J135" s="82">
        <f t="shared" si="47"/>
        <v>0</v>
      </c>
      <c r="K135" s="85">
        <f t="shared" si="48"/>
        <v>0</v>
      </c>
      <c r="L135" s="86"/>
      <c r="M135" s="86"/>
      <c r="N135" s="86"/>
      <c r="O135" s="86"/>
      <c r="P135" s="86"/>
    </row>
    <row r="136" spans="1:16" ht="15" hidden="1">
      <c r="A136" s="80" t="s">
        <v>477</v>
      </c>
      <c r="B136" s="81"/>
      <c r="C136" s="82" t="e">
        <f>VLOOKUP(B136,'DATOS ASIGNACIÓN'!B:I,4,0)</f>
        <v>#N/A</v>
      </c>
      <c r="D136" s="82">
        <f>COUNTIFS('LISTADOS TFM'!D:D,Pagos!B136,'LISTADOS TFM'!S:S,"SÍ")</f>
        <v>0</v>
      </c>
      <c r="E136" s="82">
        <f>COUNTIF('LISTADOS TFM'!J:L,Pagos!B136)</f>
        <v>0</v>
      </c>
      <c r="F136" s="82" t="str">
        <f t="shared" si="46"/>
        <v>OK</v>
      </c>
      <c r="G136" s="83">
        <f t="shared" si="44"/>
        <v>0</v>
      </c>
      <c r="H136" s="83">
        <f t="shared" si="45"/>
        <v>0</v>
      </c>
      <c r="I136" s="84"/>
      <c r="J136" s="82">
        <f t="shared" si="47"/>
        <v>0</v>
      </c>
      <c r="K136" s="85">
        <f t="shared" si="48"/>
        <v>0</v>
      </c>
      <c r="L136" s="86"/>
      <c r="M136" s="86"/>
      <c r="N136" s="86"/>
      <c r="O136" s="86"/>
      <c r="P136" s="86"/>
    </row>
    <row r="137" spans="1:16" ht="15" hidden="1">
      <c r="A137" s="80" t="s">
        <v>477</v>
      </c>
      <c r="B137" s="81"/>
      <c r="C137" s="82" t="e">
        <f>VLOOKUP(B137,'DATOS ASIGNACIÓN'!B:I,4,0)</f>
        <v>#N/A</v>
      </c>
      <c r="D137" s="82">
        <f>COUNTIFS('LISTADOS TFM'!D:D,Pagos!B137,'LISTADOS TFM'!S:S,"SÍ")</f>
        <v>0</v>
      </c>
      <c r="E137" s="82">
        <f>COUNTIF('LISTADOS TFM'!J:L,Pagos!B137)</f>
        <v>0</v>
      </c>
      <c r="F137" s="82" t="str">
        <f t="shared" si="46"/>
        <v>OK</v>
      </c>
      <c r="G137" s="83">
        <f t="shared" si="44"/>
        <v>0</v>
      </c>
      <c r="H137" s="83">
        <f t="shared" si="45"/>
        <v>0</v>
      </c>
      <c r="I137" s="84"/>
      <c r="J137" s="82">
        <f t="shared" si="47"/>
        <v>0</v>
      </c>
      <c r="K137" s="85">
        <f t="shared" si="48"/>
        <v>0</v>
      </c>
      <c r="L137" s="86"/>
      <c r="M137" s="86"/>
      <c r="N137" s="86"/>
      <c r="O137" s="86"/>
      <c r="P137" s="86"/>
    </row>
    <row r="138" spans="1:16" ht="15" hidden="1">
      <c r="A138" s="80" t="s">
        <v>477</v>
      </c>
      <c r="B138" s="81"/>
      <c r="C138" s="82" t="e">
        <f>VLOOKUP(B138,'DATOS ASIGNACIÓN'!B:I,4,0)</f>
        <v>#N/A</v>
      </c>
      <c r="D138" s="82">
        <f>COUNTIFS('LISTADOS TFM'!D:D,Pagos!B138,'LISTADOS TFM'!S:S,"SÍ")</f>
        <v>0</v>
      </c>
      <c r="E138" s="82">
        <f>COUNTIF('LISTADOS TFM'!J:L,Pagos!B138)</f>
        <v>0</v>
      </c>
      <c r="F138" s="82" t="str">
        <f t="shared" si="46"/>
        <v>OK</v>
      </c>
      <c r="G138" s="83">
        <f t="shared" si="44"/>
        <v>0</v>
      </c>
      <c r="H138" s="83">
        <f t="shared" si="45"/>
        <v>0</v>
      </c>
      <c r="I138" s="84"/>
      <c r="J138" s="82">
        <f t="shared" si="47"/>
        <v>0</v>
      </c>
      <c r="K138" s="85">
        <f t="shared" si="48"/>
        <v>0</v>
      </c>
      <c r="L138" s="86"/>
      <c r="M138" s="86"/>
      <c r="N138" s="86"/>
      <c r="O138" s="86"/>
      <c r="P138" s="86"/>
    </row>
    <row r="139" spans="1:16" ht="15" hidden="1">
      <c r="A139" s="80" t="s">
        <v>477</v>
      </c>
      <c r="B139" s="81"/>
      <c r="C139" s="82" t="e">
        <f>VLOOKUP(B139,'DATOS ASIGNACIÓN'!B:I,4,0)</f>
        <v>#N/A</v>
      </c>
      <c r="D139" s="82">
        <f>COUNTIFS('LISTADOS TFM'!D:D,Pagos!B139,'LISTADOS TFM'!S:S,"SÍ")</f>
        <v>0</v>
      </c>
      <c r="E139" s="82">
        <f>COUNTIF('LISTADOS TFM'!J:L,Pagos!B139)</f>
        <v>0</v>
      </c>
      <c r="F139" s="82" t="str">
        <f t="shared" si="46"/>
        <v>OK</v>
      </c>
      <c r="G139" s="83">
        <f t="shared" si="44"/>
        <v>0</v>
      </c>
      <c r="H139" s="83">
        <f t="shared" si="45"/>
        <v>0</v>
      </c>
      <c r="I139" s="84"/>
      <c r="J139" s="82">
        <f t="shared" si="47"/>
        <v>0</v>
      </c>
      <c r="K139" s="85">
        <f t="shared" si="48"/>
        <v>0</v>
      </c>
      <c r="L139" s="86"/>
      <c r="M139" s="86"/>
      <c r="N139" s="86"/>
      <c r="O139" s="86"/>
      <c r="P139" s="86"/>
    </row>
    <row r="140" spans="1:16" ht="15" hidden="1">
      <c r="A140" s="80" t="s">
        <v>477</v>
      </c>
      <c r="B140" s="81"/>
      <c r="C140" s="82" t="e">
        <f>VLOOKUP(B140,'DATOS ASIGNACIÓN'!B:I,4,0)</f>
        <v>#N/A</v>
      </c>
      <c r="D140" s="82">
        <f>COUNTIFS('LISTADOS TFM'!D:D,Pagos!B140,'LISTADOS TFM'!S:S,"SÍ")</f>
        <v>0</v>
      </c>
      <c r="E140" s="82">
        <f>COUNTIF('LISTADOS TFM'!J:L,Pagos!B140)</f>
        <v>0</v>
      </c>
      <c r="F140" s="82" t="str">
        <f t="shared" si="46"/>
        <v>OK</v>
      </c>
      <c r="G140" s="83">
        <f t="shared" si="44"/>
        <v>0</v>
      </c>
      <c r="H140" s="83">
        <f t="shared" si="45"/>
        <v>0</v>
      </c>
      <c r="I140" s="84"/>
      <c r="J140" s="82">
        <f t="shared" si="47"/>
        <v>0</v>
      </c>
      <c r="K140" s="85">
        <f t="shared" si="48"/>
        <v>0</v>
      </c>
      <c r="L140" s="86"/>
      <c r="M140" s="86"/>
      <c r="N140" s="86"/>
      <c r="O140" s="86"/>
      <c r="P140" s="86"/>
    </row>
    <row r="141" spans="1:16" ht="15" hidden="1">
      <c r="A141" s="80" t="s">
        <v>477</v>
      </c>
      <c r="B141" s="81"/>
      <c r="C141" s="82" t="e">
        <f>VLOOKUP(B141,'DATOS ASIGNACIÓN'!B:I,4,0)</f>
        <v>#N/A</v>
      </c>
      <c r="D141" s="82">
        <f>COUNTIFS('LISTADOS TFM'!D:D,Pagos!B141,'LISTADOS TFM'!S:S,"SÍ")</f>
        <v>0</v>
      </c>
      <c r="E141" s="82">
        <f>COUNTIF('LISTADOS TFM'!J:L,Pagos!B141)</f>
        <v>0</v>
      </c>
      <c r="F141" s="82" t="str">
        <f t="shared" si="46"/>
        <v>OK</v>
      </c>
      <c r="G141" s="83">
        <f t="shared" si="44"/>
        <v>0</v>
      </c>
      <c r="H141" s="83">
        <f t="shared" si="45"/>
        <v>0</v>
      </c>
      <c r="I141" s="84"/>
      <c r="J141" s="82">
        <f t="shared" si="47"/>
        <v>0</v>
      </c>
      <c r="K141" s="85">
        <f t="shared" si="48"/>
        <v>0</v>
      </c>
      <c r="L141" s="86"/>
      <c r="M141" s="86"/>
      <c r="N141" s="86"/>
      <c r="O141" s="86"/>
      <c r="P141" s="86"/>
    </row>
    <row r="142" spans="1:16" ht="15" hidden="1">
      <c r="A142" s="80" t="s">
        <v>477</v>
      </c>
      <c r="B142" s="81"/>
      <c r="C142" s="82" t="e">
        <f>VLOOKUP(B142,'DATOS ASIGNACIÓN'!B:I,4,0)</f>
        <v>#N/A</v>
      </c>
      <c r="D142" s="82">
        <f>COUNTIFS('LISTADOS TFM'!D:D,Pagos!B142,'LISTADOS TFM'!S:S,"SÍ")</f>
        <v>0</v>
      </c>
      <c r="E142" s="82">
        <f>COUNTIF('LISTADOS TFM'!J:L,Pagos!B142)</f>
        <v>0</v>
      </c>
      <c r="F142" s="82" t="str">
        <f t="shared" si="46"/>
        <v>OK</v>
      </c>
      <c r="G142" s="83">
        <f t="shared" si="44"/>
        <v>0</v>
      </c>
      <c r="H142" s="83">
        <f t="shared" si="45"/>
        <v>0</v>
      </c>
      <c r="I142" s="84"/>
      <c r="J142" s="82">
        <f t="shared" si="47"/>
        <v>0</v>
      </c>
      <c r="K142" s="85">
        <f t="shared" si="48"/>
        <v>0</v>
      </c>
      <c r="L142" s="86"/>
      <c r="M142" s="86"/>
      <c r="N142" s="86"/>
      <c r="O142" s="86"/>
      <c r="P142" s="86"/>
    </row>
    <row r="143" spans="1:16" ht="15" hidden="1">
      <c r="A143" s="80" t="s">
        <v>477</v>
      </c>
      <c r="B143" s="81"/>
      <c r="C143" s="82" t="e">
        <f>VLOOKUP(B143,'DATOS ASIGNACIÓN'!B:I,4,0)</f>
        <v>#N/A</v>
      </c>
      <c r="D143" s="82">
        <f>COUNTIFS('LISTADOS TFM'!D:D,Pagos!B143,'LISTADOS TFM'!S:S,"SÍ")</f>
        <v>0</v>
      </c>
      <c r="E143" s="82">
        <f>COUNTIF('LISTADOS TFM'!J:L,Pagos!B143)</f>
        <v>0</v>
      </c>
      <c r="F143" s="82" t="str">
        <f t="shared" si="46"/>
        <v>OK</v>
      </c>
      <c r="G143" s="83">
        <f t="shared" si="44"/>
        <v>0</v>
      </c>
      <c r="H143" s="83">
        <f t="shared" si="45"/>
        <v>0</v>
      </c>
      <c r="I143" s="84"/>
      <c r="J143" s="82">
        <f t="shared" si="47"/>
        <v>0</v>
      </c>
      <c r="K143" s="85">
        <f t="shared" si="48"/>
        <v>0</v>
      </c>
      <c r="L143" s="86"/>
      <c r="M143" s="86"/>
      <c r="N143" s="86"/>
      <c r="O143" s="86"/>
      <c r="P143" s="86"/>
    </row>
    <row r="144" spans="1:16" ht="15" hidden="1">
      <c r="A144" s="80" t="s">
        <v>477</v>
      </c>
      <c r="B144" s="81"/>
      <c r="C144" s="82" t="e">
        <f>VLOOKUP(B144,'DATOS ASIGNACIÓN'!B:I,4,0)</f>
        <v>#N/A</v>
      </c>
      <c r="D144" s="82">
        <f>COUNTIFS('LISTADOS TFM'!D:D,Pagos!B144,'LISTADOS TFM'!S:S,"SÍ")</f>
        <v>0</v>
      </c>
      <c r="E144" s="82">
        <f>COUNTIF('LISTADOS TFM'!J:L,Pagos!B144)</f>
        <v>0</v>
      </c>
      <c r="F144" s="82" t="str">
        <f t="shared" si="46"/>
        <v>OK</v>
      </c>
      <c r="G144" s="83">
        <f t="shared" si="44"/>
        <v>0</v>
      </c>
      <c r="H144" s="83">
        <f t="shared" si="45"/>
        <v>0</v>
      </c>
      <c r="I144" s="84"/>
      <c r="J144" s="82">
        <f t="shared" si="47"/>
        <v>0</v>
      </c>
      <c r="K144" s="85">
        <f t="shared" si="48"/>
        <v>0</v>
      </c>
      <c r="L144" s="86"/>
      <c r="M144" s="86"/>
      <c r="N144" s="86"/>
      <c r="O144" s="86"/>
      <c r="P144" s="86"/>
    </row>
    <row r="145" spans="1:28" ht="15" hidden="1">
      <c r="A145" s="80" t="s">
        <v>477</v>
      </c>
      <c r="B145" s="81"/>
      <c r="C145" s="82" t="e">
        <f>VLOOKUP(B145,'DATOS ASIGNACIÓN'!B:I,4,0)</f>
        <v>#N/A</v>
      </c>
      <c r="D145" s="82">
        <f>COUNTIFS('LISTADOS TFM'!D:D,Pagos!B145,'LISTADOS TFM'!S:S,"SÍ")</f>
        <v>0</v>
      </c>
      <c r="E145" s="82">
        <f>COUNTIF('LISTADOS TFM'!J:L,Pagos!B145)</f>
        <v>0</v>
      </c>
      <c r="F145" s="82" t="str">
        <f t="shared" si="46"/>
        <v>OK</v>
      </c>
      <c r="G145" s="83">
        <f t="shared" si="44"/>
        <v>0</v>
      </c>
      <c r="H145" s="83">
        <f t="shared" si="45"/>
        <v>0</v>
      </c>
      <c r="I145" s="84"/>
      <c r="J145" s="82">
        <f t="shared" si="47"/>
        <v>0</v>
      </c>
      <c r="K145" s="85">
        <f t="shared" si="48"/>
        <v>0</v>
      </c>
      <c r="L145" s="86"/>
      <c r="M145" s="86"/>
      <c r="N145" s="86"/>
      <c r="O145" s="86"/>
      <c r="P145" s="86"/>
    </row>
    <row r="146" spans="1:28" ht="15" hidden="1">
      <c r="A146" s="80" t="s">
        <v>477</v>
      </c>
      <c r="B146" s="81"/>
      <c r="C146" s="82" t="e">
        <f>VLOOKUP(B146,'DATOS ASIGNACIÓN'!B:I,4,0)</f>
        <v>#N/A</v>
      </c>
      <c r="D146" s="82">
        <f>COUNTIFS('LISTADOS TFM'!D:D,Pagos!B146,'LISTADOS TFM'!S:S,"SÍ")</f>
        <v>0</v>
      </c>
      <c r="E146" s="82">
        <f>COUNTIF('LISTADOS TFM'!J:L,Pagos!B146)</f>
        <v>0</v>
      </c>
      <c r="F146" s="82" t="str">
        <f t="shared" si="46"/>
        <v>OK</v>
      </c>
      <c r="G146" s="83">
        <f t="shared" si="44"/>
        <v>0</v>
      </c>
      <c r="H146" s="83">
        <f t="shared" si="45"/>
        <v>0</v>
      </c>
      <c r="I146" s="84"/>
      <c r="J146" s="82">
        <f t="shared" si="47"/>
        <v>0</v>
      </c>
      <c r="K146" s="85">
        <f t="shared" si="48"/>
        <v>0</v>
      </c>
      <c r="L146" s="86"/>
      <c r="M146" s="86"/>
      <c r="N146" s="86"/>
      <c r="O146" s="86"/>
      <c r="P146" s="86"/>
    </row>
    <row r="147" spans="1:28" ht="15" hidden="1">
      <c r="A147" s="80" t="s">
        <v>477</v>
      </c>
      <c r="B147" s="81"/>
      <c r="C147" s="82" t="e">
        <f>VLOOKUP(B147,'DATOS ASIGNACIÓN'!B:I,4,0)</f>
        <v>#N/A</v>
      </c>
      <c r="D147" s="82">
        <f>COUNTIFS('LISTADOS TFM'!D:D,Pagos!B147,'LISTADOS TFM'!S:S,"SÍ")</f>
        <v>0</v>
      </c>
      <c r="E147" s="82">
        <f>COUNTIF('LISTADOS TFM'!J:L,Pagos!B147)</f>
        <v>0</v>
      </c>
      <c r="F147" s="82" t="str">
        <f t="shared" si="46"/>
        <v>OK</v>
      </c>
      <c r="G147" s="83">
        <f t="shared" si="44"/>
        <v>0</v>
      </c>
      <c r="H147" s="83">
        <f t="shared" si="45"/>
        <v>0</v>
      </c>
      <c r="I147" s="84"/>
      <c r="J147" s="82">
        <f t="shared" si="47"/>
        <v>0</v>
      </c>
      <c r="K147" s="85">
        <f t="shared" si="48"/>
        <v>0</v>
      </c>
      <c r="L147" s="86"/>
      <c r="M147" s="100">
        <f t="shared" ref="M122:M185" si="49">+G147</f>
        <v>0</v>
      </c>
      <c r="N147" s="100">
        <f t="shared" ref="N122:N185" si="50">+H147</f>
        <v>0</v>
      </c>
      <c r="O147" s="95">
        <f t="shared" ref="O122:O185" si="51">+M147+N147</f>
        <v>0</v>
      </c>
      <c r="P147" s="98"/>
      <c r="Q147" s="97">
        <f t="shared" ref="Q138:R200" si="52">+G147-M147</f>
        <v>0</v>
      </c>
      <c r="R147" s="97">
        <f t="shared" si="52"/>
        <v>0</v>
      </c>
      <c r="S147" s="99">
        <f t="shared" ref="S122:S185" si="53">+Q147+R147</f>
        <v>0</v>
      </c>
      <c r="T147" s="98"/>
      <c r="U147" s="97">
        <f t="shared" ref="U138:V200" si="54">+G147-(M147+Q147)</f>
        <v>0</v>
      </c>
      <c r="V147" s="97">
        <f t="shared" si="54"/>
        <v>0</v>
      </c>
      <c r="W147" s="99">
        <f t="shared" ref="W122:W185" si="55">+U147+V147</f>
        <v>0</v>
      </c>
      <c r="X147" s="98"/>
      <c r="Y147" s="97">
        <f t="shared" ref="Y124:Z187" si="56">+G147-(M147+Q147+U147)</f>
        <v>0</v>
      </c>
      <c r="Z147" s="97">
        <f t="shared" si="56"/>
        <v>0</v>
      </c>
      <c r="AA147" s="99">
        <f t="shared" ref="AA124:AA187" si="57">+Y147+Z147</f>
        <v>0</v>
      </c>
      <c r="AB147" s="96"/>
    </row>
    <row r="148" spans="1:28" ht="15" hidden="1">
      <c r="A148" s="80" t="s">
        <v>477</v>
      </c>
      <c r="B148" s="81"/>
      <c r="C148" s="82" t="e">
        <f>VLOOKUP(B148,'DATOS ASIGNACIÓN'!B:I,4,0)</f>
        <v>#N/A</v>
      </c>
      <c r="D148" s="82">
        <f>COUNTIFS('LISTADOS TFM'!D:D,Pagos!B148,'LISTADOS TFM'!S:S,"SÍ")</f>
        <v>0</v>
      </c>
      <c r="E148" s="82">
        <f>COUNTIF('LISTADOS TFM'!J:L,Pagos!B148)</f>
        <v>0</v>
      </c>
      <c r="F148" s="82" t="str">
        <f t="shared" si="46"/>
        <v>OK</v>
      </c>
      <c r="G148" s="83">
        <f t="shared" si="44"/>
        <v>0</v>
      </c>
      <c r="H148" s="83">
        <f t="shared" si="45"/>
        <v>0</v>
      </c>
      <c r="I148" s="84"/>
      <c r="J148" s="82">
        <f t="shared" si="47"/>
        <v>0</v>
      </c>
      <c r="K148" s="85">
        <f t="shared" si="48"/>
        <v>0</v>
      </c>
      <c r="L148" s="86"/>
      <c r="M148" s="100">
        <f t="shared" si="49"/>
        <v>0</v>
      </c>
      <c r="N148" s="100">
        <f t="shared" si="50"/>
        <v>0</v>
      </c>
      <c r="O148" s="95">
        <f t="shared" si="51"/>
        <v>0</v>
      </c>
      <c r="P148" s="98"/>
      <c r="Q148" s="97">
        <f t="shared" si="52"/>
        <v>0</v>
      </c>
      <c r="R148" s="97">
        <f t="shared" si="52"/>
        <v>0</v>
      </c>
      <c r="S148" s="99">
        <f t="shared" si="53"/>
        <v>0</v>
      </c>
      <c r="T148" s="98"/>
      <c r="U148" s="97">
        <f t="shared" si="54"/>
        <v>0</v>
      </c>
      <c r="V148" s="97">
        <f t="shared" si="54"/>
        <v>0</v>
      </c>
      <c r="W148" s="99">
        <f t="shared" si="55"/>
        <v>0</v>
      </c>
      <c r="X148" s="98"/>
      <c r="Y148" s="97">
        <f t="shared" si="56"/>
        <v>0</v>
      </c>
      <c r="Z148" s="97">
        <f t="shared" si="56"/>
        <v>0</v>
      </c>
      <c r="AA148" s="99">
        <f t="shared" si="57"/>
        <v>0</v>
      </c>
      <c r="AB148" s="96"/>
    </row>
    <row r="149" spans="1:28" ht="15" hidden="1">
      <c r="A149" s="80" t="s">
        <v>477</v>
      </c>
      <c r="B149" s="81"/>
      <c r="C149" s="82" t="e">
        <f>VLOOKUP(B149,'DATOS ASIGNACIÓN'!B:I,4,0)</f>
        <v>#N/A</v>
      </c>
      <c r="D149" s="82">
        <f>COUNTIFS('LISTADOS TFM'!D:D,Pagos!B149,'LISTADOS TFM'!S:S,"SÍ")</f>
        <v>0</v>
      </c>
      <c r="E149" s="82">
        <f>COUNTIF('LISTADOS TFM'!J:L,Pagos!B149)</f>
        <v>0</v>
      </c>
      <c r="F149" s="82" t="str">
        <f t="shared" si="46"/>
        <v>OK</v>
      </c>
      <c r="G149" s="83">
        <f t="shared" si="44"/>
        <v>0</v>
      </c>
      <c r="H149" s="83">
        <f t="shared" si="45"/>
        <v>0</v>
      </c>
      <c r="I149" s="84"/>
      <c r="J149" s="82">
        <f t="shared" si="47"/>
        <v>0</v>
      </c>
      <c r="K149" s="85">
        <f t="shared" si="48"/>
        <v>0</v>
      </c>
      <c r="L149" s="86"/>
      <c r="M149" s="100">
        <f t="shared" si="49"/>
        <v>0</v>
      </c>
      <c r="N149" s="100">
        <f t="shared" si="50"/>
        <v>0</v>
      </c>
      <c r="O149" s="95">
        <f t="shared" si="51"/>
        <v>0</v>
      </c>
      <c r="P149" s="98"/>
      <c r="Q149" s="97">
        <f t="shared" si="52"/>
        <v>0</v>
      </c>
      <c r="R149" s="97">
        <f t="shared" si="52"/>
        <v>0</v>
      </c>
      <c r="S149" s="99">
        <f t="shared" si="53"/>
        <v>0</v>
      </c>
      <c r="T149" s="98"/>
      <c r="U149" s="97">
        <f t="shared" si="54"/>
        <v>0</v>
      </c>
      <c r="V149" s="97">
        <f t="shared" si="54"/>
        <v>0</v>
      </c>
      <c r="W149" s="99">
        <f t="shared" si="55"/>
        <v>0</v>
      </c>
      <c r="X149" s="98"/>
      <c r="Y149" s="97">
        <f t="shared" si="56"/>
        <v>0</v>
      </c>
      <c r="Z149" s="97">
        <f t="shared" si="56"/>
        <v>0</v>
      </c>
      <c r="AA149" s="99">
        <f t="shared" si="57"/>
        <v>0</v>
      </c>
      <c r="AB149" s="96"/>
    </row>
    <row r="150" spans="1:28" ht="15" hidden="1">
      <c r="A150" s="80" t="s">
        <v>477</v>
      </c>
      <c r="B150" s="81"/>
      <c r="C150" s="82" t="e">
        <f>VLOOKUP(B150,'DATOS ASIGNACIÓN'!B:I,4,0)</f>
        <v>#N/A</v>
      </c>
      <c r="D150" s="82">
        <f>COUNTIFS('LISTADOS TFM'!D:D,Pagos!B150,'LISTADOS TFM'!S:S,"SÍ")</f>
        <v>0</v>
      </c>
      <c r="E150" s="82">
        <f>COUNTIF('LISTADOS TFM'!J:L,Pagos!B150)</f>
        <v>0</v>
      </c>
      <c r="F150" s="82" t="str">
        <f t="shared" si="46"/>
        <v>OK</v>
      </c>
      <c r="G150" s="83">
        <f t="shared" si="44"/>
        <v>0</v>
      </c>
      <c r="H150" s="83">
        <f t="shared" si="45"/>
        <v>0</v>
      </c>
      <c r="I150" s="84"/>
      <c r="J150" s="82">
        <f t="shared" si="47"/>
        <v>0</v>
      </c>
      <c r="K150" s="85">
        <f t="shared" si="48"/>
        <v>0</v>
      </c>
      <c r="L150" s="86"/>
      <c r="M150" s="100">
        <f t="shared" si="49"/>
        <v>0</v>
      </c>
      <c r="N150" s="100">
        <f t="shared" si="50"/>
        <v>0</v>
      </c>
      <c r="O150" s="95">
        <f t="shared" si="51"/>
        <v>0</v>
      </c>
      <c r="P150" s="98"/>
      <c r="Q150" s="97">
        <f t="shared" si="52"/>
        <v>0</v>
      </c>
      <c r="R150" s="97">
        <f t="shared" si="52"/>
        <v>0</v>
      </c>
      <c r="S150" s="99">
        <f t="shared" si="53"/>
        <v>0</v>
      </c>
      <c r="T150" s="98"/>
      <c r="U150" s="97">
        <f t="shared" si="54"/>
        <v>0</v>
      </c>
      <c r="V150" s="97">
        <f t="shared" si="54"/>
        <v>0</v>
      </c>
      <c r="W150" s="99">
        <f t="shared" si="55"/>
        <v>0</v>
      </c>
      <c r="X150" s="98"/>
      <c r="Y150" s="97">
        <f t="shared" si="56"/>
        <v>0</v>
      </c>
      <c r="Z150" s="97">
        <f t="shared" si="56"/>
        <v>0</v>
      </c>
      <c r="AA150" s="99">
        <f t="shared" si="57"/>
        <v>0</v>
      </c>
      <c r="AB150" s="96"/>
    </row>
    <row r="151" spans="1:28" ht="15" hidden="1">
      <c r="A151" s="80" t="s">
        <v>477</v>
      </c>
      <c r="B151" s="81"/>
      <c r="C151" s="82" t="e">
        <f>VLOOKUP(B151,'DATOS ASIGNACIÓN'!B:I,4,0)</f>
        <v>#N/A</v>
      </c>
      <c r="D151" s="82">
        <f>COUNTIFS('LISTADOS TFM'!D:D,Pagos!B151,'LISTADOS TFM'!S:S,"SÍ")</f>
        <v>0</v>
      </c>
      <c r="E151" s="82">
        <f>COUNTIF('LISTADOS TFM'!J:L,Pagos!B151)</f>
        <v>0</v>
      </c>
      <c r="F151" s="82" t="str">
        <f t="shared" si="46"/>
        <v>OK</v>
      </c>
      <c r="G151" s="83">
        <f t="shared" si="44"/>
        <v>0</v>
      </c>
      <c r="H151" s="83">
        <f t="shared" si="45"/>
        <v>0</v>
      </c>
      <c r="I151" s="84"/>
      <c r="J151" s="82">
        <f t="shared" si="47"/>
        <v>0</v>
      </c>
      <c r="K151" s="85">
        <f t="shared" si="48"/>
        <v>0</v>
      </c>
      <c r="L151" s="86"/>
      <c r="M151" s="100">
        <f t="shared" si="49"/>
        <v>0</v>
      </c>
      <c r="N151" s="100">
        <f t="shared" si="50"/>
        <v>0</v>
      </c>
      <c r="O151" s="95">
        <f t="shared" si="51"/>
        <v>0</v>
      </c>
      <c r="P151" s="98"/>
      <c r="Q151" s="97">
        <f t="shared" si="52"/>
        <v>0</v>
      </c>
      <c r="R151" s="97">
        <f t="shared" si="52"/>
        <v>0</v>
      </c>
      <c r="S151" s="99">
        <f t="shared" si="53"/>
        <v>0</v>
      </c>
      <c r="T151" s="98"/>
      <c r="U151" s="97">
        <f t="shared" si="54"/>
        <v>0</v>
      </c>
      <c r="V151" s="97">
        <f t="shared" si="54"/>
        <v>0</v>
      </c>
      <c r="W151" s="99">
        <f t="shared" si="55"/>
        <v>0</v>
      </c>
      <c r="X151" s="98"/>
      <c r="Y151" s="97">
        <f t="shared" si="56"/>
        <v>0</v>
      </c>
      <c r="Z151" s="97">
        <f t="shared" si="56"/>
        <v>0</v>
      </c>
      <c r="AA151" s="99">
        <f t="shared" si="57"/>
        <v>0</v>
      </c>
      <c r="AB151" s="96"/>
    </row>
    <row r="152" spans="1:28" ht="15" hidden="1">
      <c r="A152" s="80" t="s">
        <v>477</v>
      </c>
      <c r="B152" s="81"/>
      <c r="C152" s="82" t="e">
        <f>VLOOKUP(B152,'DATOS ASIGNACIÓN'!B:I,4,0)</f>
        <v>#N/A</v>
      </c>
      <c r="D152" s="82">
        <f>COUNTIFS('LISTADOS TFM'!D:D,Pagos!B152,'LISTADOS TFM'!S:S,"SÍ")</f>
        <v>0</v>
      </c>
      <c r="E152" s="82">
        <f>COUNTIF('LISTADOS TFM'!J:L,Pagos!B152)</f>
        <v>0</v>
      </c>
      <c r="F152" s="82" t="str">
        <f t="shared" si="46"/>
        <v>OK</v>
      </c>
      <c r="G152" s="83">
        <f t="shared" si="44"/>
        <v>0</v>
      </c>
      <c r="H152" s="83">
        <f t="shared" si="45"/>
        <v>0</v>
      </c>
      <c r="I152" s="84"/>
      <c r="J152" s="82">
        <f t="shared" si="47"/>
        <v>0</v>
      </c>
      <c r="K152" s="85">
        <f t="shared" si="48"/>
        <v>0</v>
      </c>
      <c r="L152" s="86"/>
      <c r="M152" s="100">
        <f t="shared" si="49"/>
        <v>0</v>
      </c>
      <c r="N152" s="100">
        <f t="shared" si="50"/>
        <v>0</v>
      </c>
      <c r="O152" s="95">
        <f t="shared" si="51"/>
        <v>0</v>
      </c>
      <c r="P152" s="98"/>
      <c r="Q152" s="97">
        <f t="shared" si="52"/>
        <v>0</v>
      </c>
      <c r="R152" s="97">
        <f t="shared" si="52"/>
        <v>0</v>
      </c>
      <c r="S152" s="99">
        <f t="shared" si="53"/>
        <v>0</v>
      </c>
      <c r="T152" s="98"/>
      <c r="U152" s="97">
        <f t="shared" si="54"/>
        <v>0</v>
      </c>
      <c r="V152" s="97">
        <f t="shared" si="54"/>
        <v>0</v>
      </c>
      <c r="W152" s="99">
        <f t="shared" si="55"/>
        <v>0</v>
      </c>
      <c r="X152" s="98"/>
      <c r="Y152" s="97">
        <f t="shared" si="56"/>
        <v>0</v>
      </c>
      <c r="Z152" s="97">
        <f t="shared" si="56"/>
        <v>0</v>
      </c>
      <c r="AA152" s="99">
        <f t="shared" si="57"/>
        <v>0</v>
      </c>
      <c r="AB152" s="96"/>
    </row>
    <row r="153" spans="1:28" ht="15" hidden="1">
      <c r="A153" s="80" t="s">
        <v>477</v>
      </c>
      <c r="B153" s="81"/>
      <c r="C153" s="82" t="e">
        <f>VLOOKUP(B153,'DATOS ASIGNACIÓN'!B:I,4,0)</f>
        <v>#N/A</v>
      </c>
      <c r="D153" s="82">
        <f>COUNTIFS('LISTADOS TFM'!D:D,Pagos!B153,'LISTADOS TFM'!S:S,"SÍ")</f>
        <v>0</v>
      </c>
      <c r="E153" s="82">
        <f>COUNTIF('LISTADOS TFM'!J:L,Pagos!B153)</f>
        <v>0</v>
      </c>
      <c r="F153" s="82" t="str">
        <f t="shared" si="46"/>
        <v>OK</v>
      </c>
      <c r="G153" s="83">
        <f t="shared" ref="G153:G184" si="58">IF($H$18&lt;9,$E$16,IF($H$18=$D$17,$E$17,$E$18))*D153</f>
        <v>0</v>
      </c>
      <c r="H153" s="83">
        <f t="shared" ref="H153:H184" si="59">+E153*$H$16</f>
        <v>0</v>
      </c>
      <c r="I153" s="84"/>
      <c r="J153" s="82">
        <f t="shared" si="47"/>
        <v>0</v>
      </c>
      <c r="K153" s="85">
        <f t="shared" si="48"/>
        <v>0</v>
      </c>
      <c r="L153" s="86"/>
      <c r="M153" s="100">
        <f t="shared" si="49"/>
        <v>0</v>
      </c>
      <c r="N153" s="100">
        <f t="shared" si="50"/>
        <v>0</v>
      </c>
      <c r="O153" s="95">
        <f t="shared" si="51"/>
        <v>0</v>
      </c>
      <c r="P153" s="98"/>
      <c r="Q153" s="97">
        <f t="shared" si="52"/>
        <v>0</v>
      </c>
      <c r="R153" s="97">
        <f t="shared" si="52"/>
        <v>0</v>
      </c>
      <c r="S153" s="99">
        <f t="shared" si="53"/>
        <v>0</v>
      </c>
      <c r="T153" s="98"/>
      <c r="U153" s="97">
        <f t="shared" si="54"/>
        <v>0</v>
      </c>
      <c r="V153" s="97">
        <f t="shared" si="54"/>
        <v>0</v>
      </c>
      <c r="W153" s="99">
        <f t="shared" si="55"/>
        <v>0</v>
      </c>
      <c r="X153" s="98"/>
      <c r="Y153" s="97">
        <f t="shared" si="56"/>
        <v>0</v>
      </c>
      <c r="Z153" s="97">
        <f t="shared" si="56"/>
        <v>0</v>
      </c>
      <c r="AA153" s="99">
        <f t="shared" si="57"/>
        <v>0</v>
      </c>
      <c r="AB153" s="96"/>
    </row>
    <row r="154" spans="1:28" ht="15" hidden="1">
      <c r="A154" s="80" t="s">
        <v>477</v>
      </c>
      <c r="B154" s="81"/>
      <c r="C154" s="82" t="e">
        <f>VLOOKUP(B154,'DATOS ASIGNACIÓN'!B:I,4,0)</f>
        <v>#N/A</v>
      </c>
      <c r="D154" s="82">
        <f>COUNTIFS('LISTADOS TFM'!D:D,Pagos!B154,'LISTADOS TFM'!S:S,"SÍ")</f>
        <v>0</v>
      </c>
      <c r="E154" s="82">
        <f>COUNTIF('LISTADOS TFM'!J:L,Pagos!B154)</f>
        <v>0</v>
      </c>
      <c r="F154" s="82" t="str">
        <f t="shared" si="46"/>
        <v>OK</v>
      </c>
      <c r="G154" s="83">
        <f t="shared" si="58"/>
        <v>0</v>
      </c>
      <c r="H154" s="83">
        <f t="shared" si="59"/>
        <v>0</v>
      </c>
      <c r="I154" s="84"/>
      <c r="J154" s="82">
        <f t="shared" si="47"/>
        <v>0</v>
      </c>
      <c r="K154" s="85">
        <f t="shared" si="48"/>
        <v>0</v>
      </c>
      <c r="L154" s="86"/>
      <c r="M154" s="100">
        <f t="shared" si="49"/>
        <v>0</v>
      </c>
      <c r="N154" s="100">
        <f t="shared" si="50"/>
        <v>0</v>
      </c>
      <c r="O154" s="95">
        <f t="shared" si="51"/>
        <v>0</v>
      </c>
      <c r="P154" s="98"/>
      <c r="Q154" s="97">
        <f t="shared" si="52"/>
        <v>0</v>
      </c>
      <c r="R154" s="97">
        <f t="shared" si="52"/>
        <v>0</v>
      </c>
      <c r="S154" s="99">
        <f t="shared" si="53"/>
        <v>0</v>
      </c>
      <c r="T154" s="98"/>
      <c r="U154" s="97">
        <f t="shared" si="54"/>
        <v>0</v>
      </c>
      <c r="V154" s="97">
        <f t="shared" si="54"/>
        <v>0</v>
      </c>
      <c r="W154" s="99">
        <f t="shared" si="55"/>
        <v>0</v>
      </c>
      <c r="X154" s="98"/>
      <c r="Y154" s="97">
        <f t="shared" si="56"/>
        <v>0</v>
      </c>
      <c r="Z154" s="97">
        <f t="shared" si="56"/>
        <v>0</v>
      </c>
      <c r="AA154" s="99">
        <f t="shared" si="57"/>
        <v>0</v>
      </c>
      <c r="AB154" s="96"/>
    </row>
    <row r="155" spans="1:28" ht="15" hidden="1">
      <c r="A155" s="80" t="s">
        <v>477</v>
      </c>
      <c r="B155" s="81"/>
      <c r="C155" s="82" t="e">
        <f>VLOOKUP(B155,'DATOS ASIGNACIÓN'!B:I,4,0)</f>
        <v>#N/A</v>
      </c>
      <c r="D155" s="82">
        <f>COUNTIFS('LISTADOS TFM'!D:D,Pagos!B155,'LISTADOS TFM'!S:S,"SÍ")</f>
        <v>0</v>
      </c>
      <c r="E155" s="82">
        <f>COUNTIF('LISTADOS TFM'!J:L,Pagos!B155)</f>
        <v>0</v>
      </c>
      <c r="F155" s="82" t="str">
        <f t="shared" si="46"/>
        <v>OK</v>
      </c>
      <c r="G155" s="83">
        <f t="shared" si="58"/>
        <v>0</v>
      </c>
      <c r="H155" s="83">
        <f t="shared" si="59"/>
        <v>0</v>
      </c>
      <c r="I155" s="84"/>
      <c r="J155" s="82">
        <f t="shared" si="47"/>
        <v>0</v>
      </c>
      <c r="K155" s="85">
        <f t="shared" si="48"/>
        <v>0</v>
      </c>
      <c r="L155" s="86"/>
      <c r="M155" s="100">
        <f t="shared" si="49"/>
        <v>0</v>
      </c>
      <c r="N155" s="100">
        <f t="shared" si="50"/>
        <v>0</v>
      </c>
      <c r="O155" s="95">
        <f t="shared" si="51"/>
        <v>0</v>
      </c>
      <c r="P155" s="98"/>
      <c r="Q155" s="97">
        <f t="shared" si="52"/>
        <v>0</v>
      </c>
      <c r="R155" s="97">
        <f t="shared" si="52"/>
        <v>0</v>
      </c>
      <c r="S155" s="99">
        <f t="shared" si="53"/>
        <v>0</v>
      </c>
      <c r="T155" s="98"/>
      <c r="U155" s="97">
        <f t="shared" si="54"/>
        <v>0</v>
      </c>
      <c r="V155" s="97">
        <f t="shared" si="54"/>
        <v>0</v>
      </c>
      <c r="W155" s="99">
        <f t="shared" si="55"/>
        <v>0</v>
      </c>
      <c r="X155" s="98"/>
      <c r="Y155" s="97">
        <f t="shared" si="56"/>
        <v>0</v>
      </c>
      <c r="Z155" s="97">
        <f t="shared" si="56"/>
        <v>0</v>
      </c>
      <c r="AA155" s="99">
        <f t="shared" si="57"/>
        <v>0</v>
      </c>
      <c r="AB155" s="96"/>
    </row>
    <row r="156" spans="1:28" ht="15" hidden="1">
      <c r="A156" s="80" t="s">
        <v>477</v>
      </c>
      <c r="B156" s="81"/>
      <c r="C156" s="82" t="e">
        <f>VLOOKUP(B156,'DATOS ASIGNACIÓN'!B:I,4,0)</f>
        <v>#N/A</v>
      </c>
      <c r="D156" s="82">
        <f>COUNTIFS('LISTADOS TFM'!D:D,Pagos!B156,'LISTADOS TFM'!S:S,"SÍ")</f>
        <v>0</v>
      </c>
      <c r="E156" s="82">
        <f>COUNTIF('LISTADOS TFM'!J:L,Pagos!B156)</f>
        <v>0</v>
      </c>
      <c r="F156" s="82" t="str">
        <f t="shared" si="46"/>
        <v>OK</v>
      </c>
      <c r="G156" s="83">
        <f t="shared" si="58"/>
        <v>0</v>
      </c>
      <c r="H156" s="83">
        <f t="shared" si="59"/>
        <v>0</v>
      </c>
      <c r="I156" s="84"/>
      <c r="J156" s="82">
        <f t="shared" si="47"/>
        <v>0</v>
      </c>
      <c r="K156" s="85">
        <f t="shared" si="48"/>
        <v>0</v>
      </c>
      <c r="L156" s="86"/>
      <c r="M156" s="100">
        <f t="shared" si="49"/>
        <v>0</v>
      </c>
      <c r="N156" s="100">
        <f t="shared" si="50"/>
        <v>0</v>
      </c>
      <c r="O156" s="95">
        <f t="shared" si="51"/>
        <v>0</v>
      </c>
      <c r="P156" s="98"/>
      <c r="Q156" s="97">
        <f t="shared" si="52"/>
        <v>0</v>
      </c>
      <c r="R156" s="97">
        <f t="shared" si="52"/>
        <v>0</v>
      </c>
      <c r="S156" s="99">
        <f t="shared" si="53"/>
        <v>0</v>
      </c>
      <c r="T156" s="98"/>
      <c r="U156" s="97">
        <f t="shared" si="54"/>
        <v>0</v>
      </c>
      <c r="V156" s="97">
        <f t="shared" si="54"/>
        <v>0</v>
      </c>
      <c r="W156" s="99">
        <f t="shared" si="55"/>
        <v>0</v>
      </c>
      <c r="X156" s="98"/>
      <c r="Y156" s="97">
        <f t="shared" si="56"/>
        <v>0</v>
      </c>
      <c r="Z156" s="97">
        <f t="shared" si="56"/>
        <v>0</v>
      </c>
      <c r="AA156" s="99">
        <f t="shared" si="57"/>
        <v>0</v>
      </c>
      <c r="AB156" s="96"/>
    </row>
    <row r="157" spans="1:28" ht="15" hidden="1">
      <c r="A157" s="80" t="s">
        <v>477</v>
      </c>
      <c r="B157" s="81"/>
      <c r="C157" s="82" t="e">
        <f>VLOOKUP(B157,'DATOS ASIGNACIÓN'!B:I,4,0)</f>
        <v>#N/A</v>
      </c>
      <c r="D157" s="82">
        <f>COUNTIFS('LISTADOS TFM'!D:D,Pagos!B157,'LISTADOS TFM'!S:S,"SÍ")</f>
        <v>0</v>
      </c>
      <c r="E157" s="82">
        <f>COUNTIF('LISTADOS TFM'!J:L,Pagos!B157)</f>
        <v>0</v>
      </c>
      <c r="F157" s="82" t="str">
        <f t="shared" si="46"/>
        <v>OK</v>
      </c>
      <c r="G157" s="83">
        <f t="shared" si="58"/>
        <v>0</v>
      </c>
      <c r="H157" s="83">
        <f t="shared" si="59"/>
        <v>0</v>
      </c>
      <c r="I157" s="84"/>
      <c r="J157" s="82">
        <f t="shared" si="47"/>
        <v>0</v>
      </c>
      <c r="K157" s="85">
        <f t="shared" si="48"/>
        <v>0</v>
      </c>
      <c r="L157" s="86"/>
      <c r="M157" s="100">
        <f t="shared" si="49"/>
        <v>0</v>
      </c>
      <c r="N157" s="100">
        <f t="shared" si="50"/>
        <v>0</v>
      </c>
      <c r="O157" s="95">
        <f t="shared" si="51"/>
        <v>0</v>
      </c>
      <c r="P157" s="98"/>
      <c r="Q157" s="97">
        <f t="shared" si="52"/>
        <v>0</v>
      </c>
      <c r="R157" s="97">
        <f t="shared" si="52"/>
        <v>0</v>
      </c>
      <c r="S157" s="99">
        <f t="shared" si="53"/>
        <v>0</v>
      </c>
      <c r="T157" s="98"/>
      <c r="U157" s="97">
        <f t="shared" si="54"/>
        <v>0</v>
      </c>
      <c r="V157" s="97">
        <f t="shared" si="54"/>
        <v>0</v>
      </c>
      <c r="W157" s="99">
        <f t="shared" si="55"/>
        <v>0</v>
      </c>
      <c r="X157" s="98"/>
      <c r="Y157" s="97">
        <f t="shared" si="56"/>
        <v>0</v>
      </c>
      <c r="Z157" s="97">
        <f t="shared" si="56"/>
        <v>0</v>
      </c>
      <c r="AA157" s="99">
        <f t="shared" si="57"/>
        <v>0</v>
      </c>
      <c r="AB157" s="96"/>
    </row>
    <row r="158" spans="1:28" ht="15" hidden="1">
      <c r="A158" s="80" t="s">
        <v>477</v>
      </c>
      <c r="B158" s="81"/>
      <c r="C158" s="82" t="e">
        <f>VLOOKUP(B158,'DATOS ASIGNACIÓN'!B:I,4,0)</f>
        <v>#N/A</v>
      </c>
      <c r="D158" s="82">
        <f>COUNTIFS('LISTADOS TFM'!D:D,Pagos!B158,'LISTADOS TFM'!S:S,"SÍ")</f>
        <v>0</v>
      </c>
      <c r="E158" s="82">
        <f>COUNTIF('LISTADOS TFM'!J:L,Pagos!B158)</f>
        <v>0</v>
      </c>
      <c r="F158" s="82" t="str">
        <f t="shared" si="46"/>
        <v>OK</v>
      </c>
      <c r="G158" s="83">
        <f t="shared" si="58"/>
        <v>0</v>
      </c>
      <c r="H158" s="83">
        <f t="shared" si="59"/>
        <v>0</v>
      </c>
      <c r="I158" s="84"/>
      <c r="J158" s="82">
        <f t="shared" si="47"/>
        <v>0</v>
      </c>
      <c r="K158" s="85">
        <f t="shared" si="48"/>
        <v>0</v>
      </c>
      <c r="L158" s="86"/>
      <c r="M158" s="100">
        <f t="shared" si="49"/>
        <v>0</v>
      </c>
      <c r="N158" s="100">
        <f t="shared" si="50"/>
        <v>0</v>
      </c>
      <c r="O158" s="95">
        <f t="shared" si="51"/>
        <v>0</v>
      </c>
      <c r="P158" s="98"/>
      <c r="Q158" s="97">
        <f t="shared" si="52"/>
        <v>0</v>
      </c>
      <c r="R158" s="97">
        <f t="shared" si="52"/>
        <v>0</v>
      </c>
      <c r="S158" s="99">
        <f t="shared" si="53"/>
        <v>0</v>
      </c>
      <c r="T158" s="98"/>
      <c r="U158" s="97">
        <f t="shared" si="54"/>
        <v>0</v>
      </c>
      <c r="V158" s="97">
        <f t="shared" si="54"/>
        <v>0</v>
      </c>
      <c r="W158" s="99">
        <f t="shared" si="55"/>
        <v>0</v>
      </c>
      <c r="X158" s="98"/>
      <c r="Y158" s="97">
        <f t="shared" si="56"/>
        <v>0</v>
      </c>
      <c r="Z158" s="97">
        <f t="shared" si="56"/>
        <v>0</v>
      </c>
      <c r="AA158" s="99">
        <f t="shared" si="57"/>
        <v>0</v>
      </c>
      <c r="AB158" s="96"/>
    </row>
    <row r="159" spans="1:28" ht="15" hidden="1">
      <c r="A159" s="80" t="s">
        <v>477</v>
      </c>
      <c r="B159" s="81"/>
      <c r="C159" s="82" t="e">
        <f>VLOOKUP(B159,'DATOS ASIGNACIÓN'!B:I,4,0)</f>
        <v>#N/A</v>
      </c>
      <c r="D159" s="82">
        <f>COUNTIFS('LISTADOS TFM'!D:D,Pagos!B159,'LISTADOS TFM'!S:S,"SÍ")</f>
        <v>0</v>
      </c>
      <c r="E159" s="82">
        <f>COUNTIF('LISTADOS TFM'!J:L,Pagos!B159)</f>
        <v>0</v>
      </c>
      <c r="F159" s="82" t="str">
        <f t="shared" si="46"/>
        <v>OK</v>
      </c>
      <c r="G159" s="83">
        <f t="shared" si="58"/>
        <v>0</v>
      </c>
      <c r="H159" s="83">
        <f t="shared" si="59"/>
        <v>0</v>
      </c>
      <c r="I159" s="84"/>
      <c r="J159" s="82">
        <f t="shared" si="47"/>
        <v>0</v>
      </c>
      <c r="K159" s="85">
        <f t="shared" si="48"/>
        <v>0</v>
      </c>
      <c r="L159" s="86"/>
      <c r="M159" s="100">
        <f t="shared" si="49"/>
        <v>0</v>
      </c>
      <c r="N159" s="100">
        <f t="shared" si="50"/>
        <v>0</v>
      </c>
      <c r="O159" s="95">
        <f t="shared" si="51"/>
        <v>0</v>
      </c>
      <c r="P159" s="98"/>
      <c r="Q159" s="97">
        <f t="shared" si="52"/>
        <v>0</v>
      </c>
      <c r="R159" s="97">
        <f t="shared" si="52"/>
        <v>0</v>
      </c>
      <c r="S159" s="99">
        <f t="shared" si="53"/>
        <v>0</v>
      </c>
      <c r="T159" s="98"/>
      <c r="U159" s="97">
        <f t="shared" si="54"/>
        <v>0</v>
      </c>
      <c r="V159" s="97">
        <f t="shared" si="54"/>
        <v>0</v>
      </c>
      <c r="W159" s="99">
        <f t="shared" si="55"/>
        <v>0</v>
      </c>
      <c r="X159" s="98"/>
      <c r="Y159" s="97">
        <f t="shared" si="56"/>
        <v>0</v>
      </c>
      <c r="Z159" s="97">
        <f t="shared" si="56"/>
        <v>0</v>
      </c>
      <c r="AA159" s="99">
        <f t="shared" si="57"/>
        <v>0</v>
      </c>
      <c r="AB159" s="96"/>
    </row>
    <row r="160" spans="1:28" ht="15" hidden="1">
      <c r="A160" s="80" t="s">
        <v>477</v>
      </c>
      <c r="B160" s="81"/>
      <c r="C160" s="82" t="e">
        <f>VLOOKUP(B160,'DATOS ASIGNACIÓN'!B:I,4,0)</f>
        <v>#N/A</v>
      </c>
      <c r="D160" s="82">
        <f>COUNTIFS('LISTADOS TFM'!D:D,Pagos!B160,'LISTADOS TFM'!S:S,"SÍ")</f>
        <v>0</v>
      </c>
      <c r="E160" s="82">
        <f>COUNTIF('LISTADOS TFM'!J:L,Pagos!B160)</f>
        <v>0</v>
      </c>
      <c r="F160" s="82" t="str">
        <f t="shared" si="46"/>
        <v>OK</v>
      </c>
      <c r="G160" s="83">
        <f t="shared" si="58"/>
        <v>0</v>
      </c>
      <c r="H160" s="83">
        <f t="shared" si="59"/>
        <v>0</v>
      </c>
      <c r="I160" s="84"/>
      <c r="J160" s="82">
        <f t="shared" si="47"/>
        <v>0</v>
      </c>
      <c r="K160" s="85">
        <f t="shared" si="48"/>
        <v>0</v>
      </c>
      <c r="L160" s="86"/>
      <c r="M160" s="100">
        <f t="shared" si="49"/>
        <v>0</v>
      </c>
      <c r="N160" s="100">
        <f t="shared" si="50"/>
        <v>0</v>
      </c>
      <c r="O160" s="95">
        <f t="shared" si="51"/>
        <v>0</v>
      </c>
      <c r="P160" s="98"/>
      <c r="Q160" s="97">
        <f t="shared" si="52"/>
        <v>0</v>
      </c>
      <c r="R160" s="97">
        <f t="shared" si="52"/>
        <v>0</v>
      </c>
      <c r="S160" s="99">
        <f t="shared" si="53"/>
        <v>0</v>
      </c>
      <c r="T160" s="98"/>
      <c r="U160" s="97">
        <f t="shared" si="54"/>
        <v>0</v>
      </c>
      <c r="V160" s="97">
        <f t="shared" si="54"/>
        <v>0</v>
      </c>
      <c r="W160" s="99">
        <f t="shared" si="55"/>
        <v>0</v>
      </c>
      <c r="X160" s="98"/>
      <c r="Y160" s="97">
        <f t="shared" si="56"/>
        <v>0</v>
      </c>
      <c r="Z160" s="97">
        <f t="shared" si="56"/>
        <v>0</v>
      </c>
      <c r="AA160" s="99">
        <f t="shared" si="57"/>
        <v>0</v>
      </c>
      <c r="AB160" s="96"/>
    </row>
    <row r="161" spans="1:28" ht="15" hidden="1">
      <c r="A161" s="80" t="s">
        <v>477</v>
      </c>
      <c r="B161" s="81"/>
      <c r="C161" s="82" t="e">
        <f>VLOOKUP(B161,'DATOS ASIGNACIÓN'!B:I,4,0)</f>
        <v>#N/A</v>
      </c>
      <c r="D161" s="82">
        <f>COUNTIFS('LISTADOS TFM'!D:D,Pagos!B161,'LISTADOS TFM'!S:S,"SÍ")</f>
        <v>0</v>
      </c>
      <c r="E161" s="82">
        <f>COUNTIF('LISTADOS TFM'!J:L,Pagos!B161)</f>
        <v>0</v>
      </c>
      <c r="F161" s="82" t="str">
        <f t="shared" si="46"/>
        <v>OK</v>
      </c>
      <c r="G161" s="83">
        <f t="shared" si="58"/>
        <v>0</v>
      </c>
      <c r="H161" s="83">
        <f t="shared" si="59"/>
        <v>0</v>
      </c>
      <c r="I161" s="84"/>
      <c r="J161" s="82">
        <f t="shared" si="47"/>
        <v>0</v>
      </c>
      <c r="K161" s="85">
        <f t="shared" si="48"/>
        <v>0</v>
      </c>
      <c r="L161" s="86"/>
      <c r="M161" s="100">
        <f t="shared" si="49"/>
        <v>0</v>
      </c>
      <c r="N161" s="100">
        <f t="shared" si="50"/>
        <v>0</v>
      </c>
      <c r="O161" s="95">
        <f t="shared" si="51"/>
        <v>0</v>
      </c>
      <c r="P161" s="98"/>
      <c r="Q161" s="97">
        <f t="shared" si="52"/>
        <v>0</v>
      </c>
      <c r="R161" s="97">
        <f t="shared" si="52"/>
        <v>0</v>
      </c>
      <c r="S161" s="99">
        <f t="shared" si="53"/>
        <v>0</v>
      </c>
      <c r="T161" s="98"/>
      <c r="U161" s="97">
        <f t="shared" si="54"/>
        <v>0</v>
      </c>
      <c r="V161" s="97">
        <f t="shared" si="54"/>
        <v>0</v>
      </c>
      <c r="W161" s="99">
        <f t="shared" si="55"/>
        <v>0</v>
      </c>
      <c r="X161" s="98"/>
      <c r="Y161" s="97">
        <f t="shared" si="56"/>
        <v>0</v>
      </c>
      <c r="Z161" s="97">
        <f t="shared" si="56"/>
        <v>0</v>
      </c>
      <c r="AA161" s="99">
        <f t="shared" si="57"/>
        <v>0</v>
      </c>
      <c r="AB161" s="96"/>
    </row>
    <row r="162" spans="1:28" ht="15" hidden="1">
      <c r="A162" s="80" t="s">
        <v>477</v>
      </c>
      <c r="B162" s="81"/>
      <c r="C162" s="82" t="e">
        <f>VLOOKUP(B162,'DATOS ASIGNACIÓN'!B:I,4,0)</f>
        <v>#N/A</v>
      </c>
      <c r="D162" s="82">
        <f>COUNTIFS('LISTADOS TFM'!D:D,Pagos!B162,'LISTADOS TFM'!S:S,"SÍ")</f>
        <v>0</v>
      </c>
      <c r="E162" s="82">
        <f>COUNTIF('LISTADOS TFM'!J:L,Pagos!B162)</f>
        <v>0</v>
      </c>
      <c r="F162" s="82" t="str">
        <f t="shared" si="46"/>
        <v>OK</v>
      </c>
      <c r="G162" s="83">
        <f t="shared" si="58"/>
        <v>0</v>
      </c>
      <c r="H162" s="83">
        <f t="shared" si="59"/>
        <v>0</v>
      </c>
      <c r="I162" s="84"/>
      <c r="J162" s="82">
        <f t="shared" si="47"/>
        <v>0</v>
      </c>
      <c r="K162" s="85">
        <f t="shared" si="48"/>
        <v>0</v>
      </c>
      <c r="L162" s="86"/>
      <c r="M162" s="100">
        <f t="shared" si="49"/>
        <v>0</v>
      </c>
      <c r="N162" s="100">
        <f t="shared" si="50"/>
        <v>0</v>
      </c>
      <c r="O162" s="95">
        <f t="shared" si="51"/>
        <v>0</v>
      </c>
      <c r="P162" s="98"/>
      <c r="Q162" s="97">
        <f t="shared" si="52"/>
        <v>0</v>
      </c>
      <c r="R162" s="97">
        <f t="shared" si="52"/>
        <v>0</v>
      </c>
      <c r="S162" s="99">
        <f t="shared" si="53"/>
        <v>0</v>
      </c>
      <c r="T162" s="98"/>
      <c r="U162" s="97">
        <f t="shared" si="54"/>
        <v>0</v>
      </c>
      <c r="V162" s="97">
        <f t="shared" si="54"/>
        <v>0</v>
      </c>
      <c r="W162" s="99">
        <f t="shared" si="55"/>
        <v>0</v>
      </c>
      <c r="X162" s="98"/>
      <c r="Y162" s="97">
        <f t="shared" si="56"/>
        <v>0</v>
      </c>
      <c r="Z162" s="97">
        <f t="shared" si="56"/>
        <v>0</v>
      </c>
      <c r="AA162" s="99">
        <f t="shared" si="57"/>
        <v>0</v>
      </c>
      <c r="AB162" s="96"/>
    </row>
    <row r="163" spans="1:28" ht="15" hidden="1">
      <c r="A163" s="80" t="s">
        <v>477</v>
      </c>
      <c r="B163" s="81"/>
      <c r="C163" s="82" t="e">
        <f>VLOOKUP(B163,'DATOS ASIGNACIÓN'!B:I,4,0)</f>
        <v>#N/A</v>
      </c>
      <c r="D163" s="82">
        <f>COUNTIFS('LISTADOS TFM'!D:D,Pagos!B163,'LISTADOS TFM'!S:S,"SÍ")</f>
        <v>0</v>
      </c>
      <c r="E163" s="82">
        <f>COUNTIF('LISTADOS TFM'!J:L,Pagos!B163)</f>
        <v>0</v>
      </c>
      <c r="F163" s="82" t="str">
        <f t="shared" si="46"/>
        <v>OK</v>
      </c>
      <c r="G163" s="83">
        <f t="shared" si="58"/>
        <v>0</v>
      </c>
      <c r="H163" s="83">
        <f t="shared" si="59"/>
        <v>0</v>
      </c>
      <c r="I163" s="84"/>
      <c r="J163" s="82">
        <f t="shared" si="47"/>
        <v>0</v>
      </c>
      <c r="K163" s="85">
        <f t="shared" si="48"/>
        <v>0</v>
      </c>
      <c r="L163" s="86"/>
      <c r="M163" s="100">
        <f t="shared" si="49"/>
        <v>0</v>
      </c>
      <c r="N163" s="100">
        <f t="shared" si="50"/>
        <v>0</v>
      </c>
      <c r="O163" s="95">
        <f t="shared" si="51"/>
        <v>0</v>
      </c>
      <c r="P163" s="98"/>
      <c r="Q163" s="97">
        <f t="shared" si="52"/>
        <v>0</v>
      </c>
      <c r="R163" s="97">
        <f t="shared" si="52"/>
        <v>0</v>
      </c>
      <c r="S163" s="99">
        <f t="shared" si="53"/>
        <v>0</v>
      </c>
      <c r="T163" s="98"/>
      <c r="U163" s="97">
        <f t="shared" si="54"/>
        <v>0</v>
      </c>
      <c r="V163" s="97">
        <f t="shared" si="54"/>
        <v>0</v>
      </c>
      <c r="W163" s="99">
        <f t="shared" si="55"/>
        <v>0</v>
      </c>
      <c r="X163" s="98"/>
      <c r="Y163" s="97">
        <f t="shared" si="56"/>
        <v>0</v>
      </c>
      <c r="Z163" s="97">
        <f t="shared" si="56"/>
        <v>0</v>
      </c>
      <c r="AA163" s="99">
        <f t="shared" si="57"/>
        <v>0</v>
      </c>
      <c r="AB163" s="96"/>
    </row>
    <row r="164" spans="1:28" ht="15" hidden="1">
      <c r="A164" s="80" t="s">
        <v>477</v>
      </c>
      <c r="B164" s="81"/>
      <c r="C164" s="82" t="e">
        <f>VLOOKUP(B164,'DATOS ASIGNACIÓN'!B:I,4,0)</f>
        <v>#N/A</v>
      </c>
      <c r="D164" s="82">
        <f>COUNTIFS('LISTADOS TFM'!D:D,Pagos!B164,'LISTADOS TFM'!S:S,"SÍ")</f>
        <v>0</v>
      </c>
      <c r="E164" s="82">
        <f>COUNTIF('LISTADOS TFM'!J:L,Pagos!B164)</f>
        <v>0</v>
      </c>
      <c r="F164" s="82" t="str">
        <f t="shared" si="46"/>
        <v>OK</v>
      </c>
      <c r="G164" s="83">
        <f t="shared" si="58"/>
        <v>0</v>
      </c>
      <c r="H164" s="83">
        <f t="shared" si="59"/>
        <v>0</v>
      </c>
      <c r="I164" s="84"/>
      <c r="J164" s="82">
        <f t="shared" si="47"/>
        <v>0</v>
      </c>
      <c r="K164" s="85">
        <f t="shared" si="48"/>
        <v>0</v>
      </c>
      <c r="L164" s="86"/>
      <c r="M164" s="100">
        <f t="shared" si="49"/>
        <v>0</v>
      </c>
      <c r="N164" s="100">
        <f t="shared" si="50"/>
        <v>0</v>
      </c>
      <c r="O164" s="95">
        <f t="shared" si="51"/>
        <v>0</v>
      </c>
      <c r="P164" s="98"/>
      <c r="Q164" s="97">
        <f t="shared" si="52"/>
        <v>0</v>
      </c>
      <c r="R164" s="97">
        <f t="shared" si="52"/>
        <v>0</v>
      </c>
      <c r="S164" s="99">
        <f t="shared" si="53"/>
        <v>0</v>
      </c>
      <c r="T164" s="98"/>
      <c r="U164" s="97">
        <f t="shared" si="54"/>
        <v>0</v>
      </c>
      <c r="V164" s="97">
        <f t="shared" si="54"/>
        <v>0</v>
      </c>
      <c r="W164" s="99">
        <f t="shared" si="55"/>
        <v>0</v>
      </c>
      <c r="X164" s="98"/>
      <c r="Y164" s="97">
        <f t="shared" si="56"/>
        <v>0</v>
      </c>
      <c r="Z164" s="97">
        <f t="shared" si="56"/>
        <v>0</v>
      </c>
      <c r="AA164" s="99">
        <f t="shared" si="57"/>
        <v>0</v>
      </c>
      <c r="AB164" s="96"/>
    </row>
    <row r="165" spans="1:28" ht="15" hidden="1">
      <c r="A165" s="80" t="s">
        <v>477</v>
      </c>
      <c r="B165" s="81"/>
      <c r="C165" s="82" t="e">
        <f>VLOOKUP(B165,'DATOS ASIGNACIÓN'!B:I,4,0)</f>
        <v>#N/A</v>
      </c>
      <c r="D165" s="82">
        <f>COUNTIFS('LISTADOS TFM'!D:D,Pagos!B165,'LISTADOS TFM'!S:S,"SÍ")</f>
        <v>0</v>
      </c>
      <c r="E165" s="82">
        <f>COUNTIF('LISTADOS TFM'!J:L,Pagos!B165)</f>
        <v>0</v>
      </c>
      <c r="F165" s="82" t="str">
        <f t="shared" si="46"/>
        <v>OK</v>
      </c>
      <c r="G165" s="83">
        <f t="shared" si="58"/>
        <v>0</v>
      </c>
      <c r="H165" s="83">
        <f t="shared" si="59"/>
        <v>0</v>
      </c>
      <c r="I165" s="84"/>
      <c r="J165" s="82">
        <f t="shared" si="47"/>
        <v>0</v>
      </c>
      <c r="K165" s="85">
        <f t="shared" si="48"/>
        <v>0</v>
      </c>
      <c r="L165" s="86"/>
      <c r="M165" s="100">
        <f t="shared" si="49"/>
        <v>0</v>
      </c>
      <c r="N165" s="100">
        <f t="shared" si="50"/>
        <v>0</v>
      </c>
      <c r="O165" s="95">
        <f t="shared" si="51"/>
        <v>0</v>
      </c>
      <c r="P165" s="98"/>
      <c r="Q165" s="97">
        <f t="shared" si="52"/>
        <v>0</v>
      </c>
      <c r="R165" s="97">
        <f t="shared" si="52"/>
        <v>0</v>
      </c>
      <c r="S165" s="99">
        <f t="shared" si="53"/>
        <v>0</v>
      </c>
      <c r="T165" s="98"/>
      <c r="U165" s="97">
        <f t="shared" si="54"/>
        <v>0</v>
      </c>
      <c r="V165" s="97">
        <f t="shared" si="54"/>
        <v>0</v>
      </c>
      <c r="W165" s="99">
        <f t="shared" si="55"/>
        <v>0</v>
      </c>
      <c r="X165" s="98"/>
      <c r="Y165" s="97">
        <f t="shared" si="56"/>
        <v>0</v>
      </c>
      <c r="Z165" s="97">
        <f t="shared" si="56"/>
        <v>0</v>
      </c>
      <c r="AA165" s="99">
        <f t="shared" si="57"/>
        <v>0</v>
      </c>
      <c r="AB165" s="96"/>
    </row>
    <row r="166" spans="1:28" ht="15" hidden="1">
      <c r="A166" s="80" t="s">
        <v>477</v>
      </c>
      <c r="B166" s="81"/>
      <c r="C166" s="82" t="e">
        <f>VLOOKUP(B166,'DATOS ASIGNACIÓN'!B:I,4,0)</f>
        <v>#N/A</v>
      </c>
      <c r="D166" s="82">
        <f>COUNTIFS('LISTADOS TFM'!D:D,Pagos!B166,'LISTADOS TFM'!S:S,"SÍ")</f>
        <v>0</v>
      </c>
      <c r="E166" s="82">
        <f>COUNTIF('LISTADOS TFM'!J:L,Pagos!B166)</f>
        <v>0</v>
      </c>
      <c r="F166" s="82" t="str">
        <f t="shared" si="46"/>
        <v>OK</v>
      </c>
      <c r="G166" s="83">
        <f t="shared" si="58"/>
        <v>0</v>
      </c>
      <c r="H166" s="83">
        <f t="shared" si="59"/>
        <v>0</v>
      </c>
      <c r="I166" s="84"/>
      <c r="J166" s="82">
        <f t="shared" si="47"/>
        <v>0</v>
      </c>
      <c r="K166" s="85">
        <f t="shared" si="48"/>
        <v>0</v>
      </c>
      <c r="L166" s="86"/>
      <c r="M166" s="100">
        <f t="shared" si="49"/>
        <v>0</v>
      </c>
      <c r="N166" s="100">
        <f t="shared" si="50"/>
        <v>0</v>
      </c>
      <c r="O166" s="95">
        <f t="shared" si="51"/>
        <v>0</v>
      </c>
      <c r="P166" s="98"/>
      <c r="Q166" s="97">
        <f t="shared" si="52"/>
        <v>0</v>
      </c>
      <c r="R166" s="97">
        <f t="shared" si="52"/>
        <v>0</v>
      </c>
      <c r="S166" s="99">
        <f t="shared" si="53"/>
        <v>0</v>
      </c>
      <c r="T166" s="98"/>
      <c r="U166" s="97">
        <f t="shared" si="54"/>
        <v>0</v>
      </c>
      <c r="V166" s="97">
        <f t="shared" si="54"/>
        <v>0</v>
      </c>
      <c r="W166" s="99">
        <f t="shared" si="55"/>
        <v>0</v>
      </c>
      <c r="X166" s="98"/>
      <c r="Y166" s="97">
        <f t="shared" si="56"/>
        <v>0</v>
      </c>
      <c r="Z166" s="97">
        <f t="shared" si="56"/>
        <v>0</v>
      </c>
      <c r="AA166" s="99">
        <f t="shared" si="57"/>
        <v>0</v>
      </c>
      <c r="AB166" s="96"/>
    </row>
    <row r="167" spans="1:28" ht="15" hidden="1">
      <c r="A167" s="80" t="s">
        <v>477</v>
      </c>
      <c r="B167" s="81"/>
      <c r="C167" s="82" t="e">
        <f>VLOOKUP(B167,'DATOS ASIGNACIÓN'!B:I,4,0)</f>
        <v>#N/A</v>
      </c>
      <c r="D167" s="82">
        <f>COUNTIFS('LISTADOS TFM'!D:D,Pagos!B167,'LISTADOS TFM'!S:S,"SÍ")</f>
        <v>0</v>
      </c>
      <c r="E167" s="82">
        <f>COUNTIF('LISTADOS TFM'!J:L,Pagos!B167)</f>
        <v>0</v>
      </c>
      <c r="F167" s="82" t="str">
        <f t="shared" si="46"/>
        <v>OK</v>
      </c>
      <c r="G167" s="83">
        <f t="shared" si="58"/>
        <v>0</v>
      </c>
      <c r="H167" s="83">
        <f t="shared" si="59"/>
        <v>0</v>
      </c>
      <c r="I167" s="84"/>
      <c r="J167" s="82">
        <f t="shared" si="47"/>
        <v>0</v>
      </c>
      <c r="K167" s="85">
        <f t="shared" si="48"/>
        <v>0</v>
      </c>
      <c r="L167" s="86"/>
      <c r="M167" s="100">
        <f t="shared" si="49"/>
        <v>0</v>
      </c>
      <c r="N167" s="100">
        <f t="shared" si="50"/>
        <v>0</v>
      </c>
      <c r="O167" s="95">
        <f t="shared" si="51"/>
        <v>0</v>
      </c>
      <c r="P167" s="98"/>
      <c r="Q167" s="97">
        <f t="shared" si="52"/>
        <v>0</v>
      </c>
      <c r="R167" s="97">
        <f t="shared" si="52"/>
        <v>0</v>
      </c>
      <c r="S167" s="99">
        <f t="shared" si="53"/>
        <v>0</v>
      </c>
      <c r="T167" s="98"/>
      <c r="U167" s="97">
        <f t="shared" si="54"/>
        <v>0</v>
      </c>
      <c r="V167" s="97">
        <f t="shared" si="54"/>
        <v>0</v>
      </c>
      <c r="W167" s="99">
        <f t="shared" si="55"/>
        <v>0</v>
      </c>
      <c r="X167" s="98"/>
      <c r="Y167" s="97">
        <f t="shared" si="56"/>
        <v>0</v>
      </c>
      <c r="Z167" s="97">
        <f t="shared" si="56"/>
        <v>0</v>
      </c>
      <c r="AA167" s="99">
        <f t="shared" si="57"/>
        <v>0</v>
      </c>
      <c r="AB167" s="96"/>
    </row>
    <row r="168" spans="1:28" ht="15" hidden="1">
      <c r="A168" s="80" t="s">
        <v>477</v>
      </c>
      <c r="B168" s="81"/>
      <c r="C168" s="82" t="e">
        <f>VLOOKUP(B168,'DATOS ASIGNACIÓN'!B:I,4,0)</f>
        <v>#N/A</v>
      </c>
      <c r="D168" s="82">
        <f>COUNTIFS('LISTADOS TFM'!D:D,Pagos!B168,'LISTADOS TFM'!S:S,"SÍ")</f>
        <v>0</v>
      </c>
      <c r="E168" s="82">
        <f>COUNTIF('LISTADOS TFM'!J:L,Pagos!B168)</f>
        <v>0</v>
      </c>
      <c r="F168" s="82" t="str">
        <f t="shared" si="46"/>
        <v>OK</v>
      </c>
      <c r="G168" s="83">
        <f t="shared" si="58"/>
        <v>0</v>
      </c>
      <c r="H168" s="83">
        <f t="shared" si="59"/>
        <v>0</v>
      </c>
      <c r="I168" s="84"/>
      <c r="J168" s="82">
        <f t="shared" si="47"/>
        <v>0</v>
      </c>
      <c r="K168" s="85">
        <f t="shared" si="48"/>
        <v>0</v>
      </c>
      <c r="L168" s="86"/>
      <c r="M168" s="100">
        <f t="shared" si="49"/>
        <v>0</v>
      </c>
      <c r="N168" s="100">
        <f t="shared" si="50"/>
        <v>0</v>
      </c>
      <c r="O168" s="95">
        <f t="shared" si="51"/>
        <v>0</v>
      </c>
      <c r="P168" s="98"/>
      <c r="Q168" s="97">
        <f t="shared" si="52"/>
        <v>0</v>
      </c>
      <c r="R168" s="97">
        <f t="shared" si="52"/>
        <v>0</v>
      </c>
      <c r="S168" s="99">
        <f t="shared" si="53"/>
        <v>0</v>
      </c>
      <c r="T168" s="98"/>
      <c r="U168" s="97">
        <f t="shared" si="54"/>
        <v>0</v>
      </c>
      <c r="V168" s="97">
        <f t="shared" si="54"/>
        <v>0</v>
      </c>
      <c r="W168" s="99">
        <f t="shared" si="55"/>
        <v>0</v>
      </c>
      <c r="X168" s="98"/>
      <c r="Y168" s="97">
        <f t="shared" si="56"/>
        <v>0</v>
      </c>
      <c r="Z168" s="97">
        <f t="shared" si="56"/>
        <v>0</v>
      </c>
      <c r="AA168" s="99">
        <f t="shared" si="57"/>
        <v>0</v>
      </c>
      <c r="AB168" s="96"/>
    </row>
    <row r="169" spans="1:28" ht="15" hidden="1">
      <c r="A169" s="80" t="s">
        <v>477</v>
      </c>
      <c r="B169" s="81"/>
      <c r="C169" s="82" t="e">
        <f>VLOOKUP(B169,'DATOS ASIGNACIÓN'!B:I,4,0)</f>
        <v>#N/A</v>
      </c>
      <c r="D169" s="82">
        <f>COUNTIFS('LISTADOS TFM'!D:D,Pagos!B169,'LISTADOS TFM'!S:S,"SÍ")</f>
        <v>0</v>
      </c>
      <c r="E169" s="82">
        <f>COUNTIF('LISTADOS TFM'!J:L,Pagos!B169)</f>
        <v>0</v>
      </c>
      <c r="F169" s="82" t="str">
        <f t="shared" si="46"/>
        <v>OK</v>
      </c>
      <c r="G169" s="83">
        <f t="shared" si="58"/>
        <v>0</v>
      </c>
      <c r="H169" s="83">
        <f t="shared" si="59"/>
        <v>0</v>
      </c>
      <c r="I169" s="84"/>
      <c r="J169" s="82">
        <f t="shared" si="47"/>
        <v>0</v>
      </c>
      <c r="K169" s="85">
        <f t="shared" si="48"/>
        <v>0</v>
      </c>
      <c r="L169" s="86"/>
      <c r="M169" s="100">
        <f t="shared" si="49"/>
        <v>0</v>
      </c>
      <c r="N169" s="100">
        <f t="shared" si="50"/>
        <v>0</v>
      </c>
      <c r="O169" s="95">
        <f t="shared" si="51"/>
        <v>0</v>
      </c>
      <c r="P169" s="98"/>
      <c r="Q169" s="97">
        <f t="shared" si="52"/>
        <v>0</v>
      </c>
      <c r="R169" s="97">
        <f t="shared" si="52"/>
        <v>0</v>
      </c>
      <c r="S169" s="99">
        <f t="shared" si="53"/>
        <v>0</v>
      </c>
      <c r="T169" s="98"/>
      <c r="U169" s="97">
        <f t="shared" si="54"/>
        <v>0</v>
      </c>
      <c r="V169" s="97">
        <f t="shared" si="54"/>
        <v>0</v>
      </c>
      <c r="W169" s="99">
        <f t="shared" si="55"/>
        <v>0</v>
      </c>
      <c r="X169" s="98"/>
      <c r="Y169" s="97">
        <f t="shared" si="56"/>
        <v>0</v>
      </c>
      <c r="Z169" s="97">
        <f t="shared" si="56"/>
        <v>0</v>
      </c>
      <c r="AA169" s="99">
        <f t="shared" si="57"/>
        <v>0</v>
      </c>
      <c r="AB169" s="96"/>
    </row>
    <row r="170" spans="1:28" ht="15" hidden="1">
      <c r="A170" s="80" t="s">
        <v>477</v>
      </c>
      <c r="B170" s="81"/>
      <c r="C170" s="82" t="e">
        <f>VLOOKUP(B170,'DATOS ASIGNACIÓN'!B:I,4,0)</f>
        <v>#N/A</v>
      </c>
      <c r="D170" s="82">
        <f>COUNTIFS('LISTADOS TFM'!D:D,Pagos!B170,'LISTADOS TFM'!S:S,"SÍ")</f>
        <v>0</v>
      </c>
      <c r="E170" s="82">
        <f>COUNTIF('LISTADOS TFM'!J:L,Pagos!B170)</f>
        <v>0</v>
      </c>
      <c r="F170" s="82" t="str">
        <f t="shared" si="46"/>
        <v>OK</v>
      </c>
      <c r="G170" s="83">
        <f t="shared" si="58"/>
        <v>0</v>
      </c>
      <c r="H170" s="83">
        <f t="shared" si="59"/>
        <v>0</v>
      </c>
      <c r="I170" s="84"/>
      <c r="J170" s="82">
        <f t="shared" si="47"/>
        <v>0</v>
      </c>
      <c r="K170" s="85">
        <f t="shared" si="48"/>
        <v>0</v>
      </c>
      <c r="L170" s="86"/>
      <c r="M170" s="100">
        <f t="shared" si="49"/>
        <v>0</v>
      </c>
      <c r="N170" s="100">
        <f t="shared" si="50"/>
        <v>0</v>
      </c>
      <c r="O170" s="95">
        <f t="shared" si="51"/>
        <v>0</v>
      </c>
      <c r="P170" s="98"/>
      <c r="Q170" s="97">
        <f t="shared" si="52"/>
        <v>0</v>
      </c>
      <c r="R170" s="97">
        <f t="shared" si="52"/>
        <v>0</v>
      </c>
      <c r="S170" s="99">
        <f t="shared" si="53"/>
        <v>0</v>
      </c>
      <c r="T170" s="98"/>
      <c r="U170" s="97">
        <f t="shared" si="54"/>
        <v>0</v>
      </c>
      <c r="V170" s="97">
        <f t="shared" si="54"/>
        <v>0</v>
      </c>
      <c r="W170" s="99">
        <f t="shared" si="55"/>
        <v>0</v>
      </c>
      <c r="X170" s="98"/>
      <c r="Y170" s="97">
        <f t="shared" si="56"/>
        <v>0</v>
      </c>
      <c r="Z170" s="97">
        <f t="shared" si="56"/>
        <v>0</v>
      </c>
      <c r="AA170" s="99">
        <f t="shared" si="57"/>
        <v>0</v>
      </c>
      <c r="AB170" s="96"/>
    </row>
    <row r="171" spans="1:28" ht="15" hidden="1">
      <c r="A171" s="80" t="s">
        <v>477</v>
      </c>
      <c r="B171" s="81"/>
      <c r="C171" s="82" t="e">
        <f>VLOOKUP(B171,'DATOS ASIGNACIÓN'!B:I,4,0)</f>
        <v>#N/A</v>
      </c>
      <c r="D171" s="82">
        <f>COUNTIFS('LISTADOS TFM'!D:D,Pagos!B171,'LISTADOS TFM'!S:S,"SÍ")</f>
        <v>0</v>
      </c>
      <c r="E171" s="82">
        <f>COUNTIF('LISTADOS TFM'!J:L,Pagos!B171)</f>
        <v>0</v>
      </c>
      <c r="F171" s="82" t="str">
        <f t="shared" si="46"/>
        <v>OK</v>
      </c>
      <c r="G171" s="83">
        <f t="shared" si="58"/>
        <v>0</v>
      </c>
      <c r="H171" s="83">
        <f t="shared" si="59"/>
        <v>0</v>
      </c>
      <c r="I171" s="84"/>
      <c r="J171" s="82">
        <f t="shared" si="47"/>
        <v>0</v>
      </c>
      <c r="K171" s="85">
        <f t="shared" si="48"/>
        <v>0</v>
      </c>
      <c r="L171" s="86"/>
      <c r="M171" s="100">
        <f t="shared" si="49"/>
        <v>0</v>
      </c>
      <c r="N171" s="100">
        <f t="shared" si="50"/>
        <v>0</v>
      </c>
      <c r="O171" s="95">
        <f t="shared" si="51"/>
        <v>0</v>
      </c>
      <c r="P171" s="98"/>
      <c r="Q171" s="97">
        <f t="shared" si="52"/>
        <v>0</v>
      </c>
      <c r="R171" s="97">
        <f t="shared" si="52"/>
        <v>0</v>
      </c>
      <c r="S171" s="99">
        <f t="shared" si="53"/>
        <v>0</v>
      </c>
      <c r="T171" s="98"/>
      <c r="U171" s="97">
        <f t="shared" si="54"/>
        <v>0</v>
      </c>
      <c r="V171" s="97">
        <f t="shared" si="54"/>
        <v>0</v>
      </c>
      <c r="W171" s="99">
        <f t="shared" si="55"/>
        <v>0</v>
      </c>
      <c r="X171" s="98"/>
      <c r="Y171" s="97">
        <f t="shared" si="56"/>
        <v>0</v>
      </c>
      <c r="Z171" s="97">
        <f t="shared" si="56"/>
        <v>0</v>
      </c>
      <c r="AA171" s="99">
        <f t="shared" si="57"/>
        <v>0</v>
      </c>
      <c r="AB171" s="96"/>
    </row>
    <row r="172" spans="1:28" ht="15" hidden="1">
      <c r="A172" s="80" t="s">
        <v>477</v>
      </c>
      <c r="B172" s="81"/>
      <c r="C172" s="82" t="e">
        <f>VLOOKUP(B172,'DATOS ASIGNACIÓN'!B:I,4,0)</f>
        <v>#N/A</v>
      </c>
      <c r="D172" s="82">
        <f>COUNTIFS('LISTADOS TFM'!D:D,Pagos!B172,'LISTADOS TFM'!S:S,"SÍ")</f>
        <v>0</v>
      </c>
      <c r="E172" s="82">
        <f>COUNTIF('LISTADOS TFM'!J:L,Pagos!B172)</f>
        <v>0</v>
      </c>
      <c r="F172" s="82" t="str">
        <f t="shared" si="46"/>
        <v>OK</v>
      </c>
      <c r="G172" s="83">
        <f t="shared" si="58"/>
        <v>0</v>
      </c>
      <c r="H172" s="83">
        <f t="shared" si="59"/>
        <v>0</v>
      </c>
      <c r="I172" s="84"/>
      <c r="J172" s="82">
        <f t="shared" si="47"/>
        <v>0</v>
      </c>
      <c r="K172" s="85">
        <f t="shared" si="48"/>
        <v>0</v>
      </c>
      <c r="L172" s="86"/>
      <c r="M172" s="100">
        <f t="shared" si="49"/>
        <v>0</v>
      </c>
      <c r="N172" s="100">
        <f t="shared" si="50"/>
        <v>0</v>
      </c>
      <c r="O172" s="95">
        <f t="shared" si="51"/>
        <v>0</v>
      </c>
      <c r="P172" s="98"/>
      <c r="Q172" s="97">
        <f t="shared" si="52"/>
        <v>0</v>
      </c>
      <c r="R172" s="97">
        <f t="shared" si="52"/>
        <v>0</v>
      </c>
      <c r="S172" s="99">
        <f t="shared" si="53"/>
        <v>0</v>
      </c>
      <c r="T172" s="98"/>
      <c r="U172" s="97">
        <f t="shared" si="54"/>
        <v>0</v>
      </c>
      <c r="V172" s="97">
        <f t="shared" si="54"/>
        <v>0</v>
      </c>
      <c r="W172" s="99">
        <f t="shared" si="55"/>
        <v>0</v>
      </c>
      <c r="X172" s="98"/>
      <c r="Y172" s="97">
        <f t="shared" si="56"/>
        <v>0</v>
      </c>
      <c r="Z172" s="97">
        <f t="shared" si="56"/>
        <v>0</v>
      </c>
      <c r="AA172" s="99">
        <f t="shared" si="57"/>
        <v>0</v>
      </c>
      <c r="AB172" s="96"/>
    </row>
    <row r="173" spans="1:28" ht="15" hidden="1">
      <c r="A173" s="80" t="s">
        <v>477</v>
      </c>
      <c r="B173" s="81"/>
      <c r="C173" s="82" t="e">
        <f>VLOOKUP(B173,'DATOS ASIGNACIÓN'!B:I,4,0)</f>
        <v>#N/A</v>
      </c>
      <c r="D173" s="82">
        <f>COUNTIFS('LISTADOS TFM'!D:D,Pagos!B173,'LISTADOS TFM'!S:S,"SÍ")</f>
        <v>0</v>
      </c>
      <c r="E173" s="82">
        <f>COUNTIF('LISTADOS TFM'!J:L,Pagos!B173)</f>
        <v>0</v>
      </c>
      <c r="F173" s="82" t="str">
        <f t="shared" si="46"/>
        <v>OK</v>
      </c>
      <c r="G173" s="83">
        <f t="shared" si="58"/>
        <v>0</v>
      </c>
      <c r="H173" s="83">
        <f t="shared" si="59"/>
        <v>0</v>
      </c>
      <c r="I173" s="84"/>
      <c r="J173" s="82">
        <f t="shared" si="47"/>
        <v>0</v>
      </c>
      <c r="K173" s="85">
        <f t="shared" si="48"/>
        <v>0</v>
      </c>
      <c r="L173" s="86"/>
      <c r="M173" s="100">
        <f t="shared" si="49"/>
        <v>0</v>
      </c>
      <c r="N173" s="100">
        <f t="shared" si="50"/>
        <v>0</v>
      </c>
      <c r="O173" s="95">
        <f t="shared" si="51"/>
        <v>0</v>
      </c>
      <c r="P173" s="98"/>
      <c r="Q173" s="97">
        <f t="shared" si="52"/>
        <v>0</v>
      </c>
      <c r="R173" s="97">
        <f t="shared" si="52"/>
        <v>0</v>
      </c>
      <c r="S173" s="99">
        <f t="shared" si="53"/>
        <v>0</v>
      </c>
      <c r="T173" s="98"/>
      <c r="U173" s="97">
        <f t="shared" si="54"/>
        <v>0</v>
      </c>
      <c r="V173" s="97">
        <f t="shared" si="54"/>
        <v>0</v>
      </c>
      <c r="W173" s="99">
        <f t="shared" si="55"/>
        <v>0</v>
      </c>
      <c r="X173" s="98"/>
      <c r="Y173" s="97">
        <f t="shared" si="56"/>
        <v>0</v>
      </c>
      <c r="Z173" s="97">
        <f t="shared" si="56"/>
        <v>0</v>
      </c>
      <c r="AA173" s="99">
        <f t="shared" si="57"/>
        <v>0</v>
      </c>
      <c r="AB173" s="96"/>
    </row>
    <row r="174" spans="1:28" ht="15" hidden="1">
      <c r="A174" s="80" t="s">
        <v>477</v>
      </c>
      <c r="B174" s="81"/>
      <c r="C174" s="82" t="e">
        <f>VLOOKUP(B174,'DATOS ASIGNACIÓN'!B:I,4,0)</f>
        <v>#N/A</v>
      </c>
      <c r="D174" s="82">
        <f>COUNTIFS('LISTADOS TFM'!D:D,Pagos!B174,'LISTADOS TFM'!S:S,"SÍ")</f>
        <v>0</v>
      </c>
      <c r="E174" s="82">
        <f>COUNTIF('LISTADOS TFM'!J:L,Pagos!B174)</f>
        <v>0</v>
      </c>
      <c r="F174" s="82" t="str">
        <f t="shared" si="46"/>
        <v>OK</v>
      </c>
      <c r="G174" s="83">
        <f t="shared" si="58"/>
        <v>0</v>
      </c>
      <c r="H174" s="83">
        <f t="shared" si="59"/>
        <v>0</v>
      </c>
      <c r="I174" s="84"/>
      <c r="J174" s="82">
        <f t="shared" si="47"/>
        <v>0</v>
      </c>
      <c r="K174" s="85">
        <f t="shared" si="48"/>
        <v>0</v>
      </c>
      <c r="L174" s="86"/>
      <c r="M174" s="100">
        <f t="shared" si="49"/>
        <v>0</v>
      </c>
      <c r="N174" s="100">
        <f t="shared" si="50"/>
        <v>0</v>
      </c>
      <c r="O174" s="95">
        <f t="shared" si="51"/>
        <v>0</v>
      </c>
      <c r="P174" s="98"/>
      <c r="Q174" s="97">
        <f t="shared" si="52"/>
        <v>0</v>
      </c>
      <c r="R174" s="97">
        <f t="shared" si="52"/>
        <v>0</v>
      </c>
      <c r="S174" s="99">
        <f t="shared" si="53"/>
        <v>0</v>
      </c>
      <c r="T174" s="98"/>
      <c r="U174" s="97">
        <f t="shared" si="54"/>
        <v>0</v>
      </c>
      <c r="V174" s="97">
        <f t="shared" si="54"/>
        <v>0</v>
      </c>
      <c r="W174" s="99">
        <f t="shared" si="55"/>
        <v>0</v>
      </c>
      <c r="X174" s="98"/>
      <c r="Y174" s="97">
        <f t="shared" si="56"/>
        <v>0</v>
      </c>
      <c r="Z174" s="97">
        <f t="shared" si="56"/>
        <v>0</v>
      </c>
      <c r="AA174" s="99">
        <f t="shared" si="57"/>
        <v>0</v>
      </c>
      <c r="AB174" s="96"/>
    </row>
    <row r="175" spans="1:28" ht="15" hidden="1">
      <c r="A175" s="80" t="s">
        <v>477</v>
      </c>
      <c r="B175" s="81"/>
      <c r="C175" s="82" t="e">
        <f>VLOOKUP(B175,'DATOS ASIGNACIÓN'!B:I,4,0)</f>
        <v>#N/A</v>
      </c>
      <c r="D175" s="82">
        <f>COUNTIFS('LISTADOS TFM'!D:D,Pagos!B175,'LISTADOS TFM'!S:S,"SÍ")</f>
        <v>0</v>
      </c>
      <c r="E175" s="82">
        <f>COUNTIF('LISTADOS TFM'!J:L,Pagos!B175)</f>
        <v>0</v>
      </c>
      <c r="F175" s="82" t="str">
        <f t="shared" si="46"/>
        <v>OK</v>
      </c>
      <c r="G175" s="83">
        <f t="shared" si="58"/>
        <v>0</v>
      </c>
      <c r="H175" s="83">
        <f t="shared" si="59"/>
        <v>0</v>
      </c>
      <c r="I175" s="84"/>
      <c r="J175" s="82">
        <f t="shared" si="47"/>
        <v>0</v>
      </c>
      <c r="K175" s="85">
        <f t="shared" si="48"/>
        <v>0</v>
      </c>
      <c r="L175" s="86"/>
      <c r="M175" s="100">
        <f t="shared" si="49"/>
        <v>0</v>
      </c>
      <c r="N175" s="100">
        <f t="shared" si="50"/>
        <v>0</v>
      </c>
      <c r="O175" s="95">
        <f t="shared" si="51"/>
        <v>0</v>
      </c>
      <c r="P175" s="98"/>
      <c r="Q175" s="97">
        <f t="shared" si="52"/>
        <v>0</v>
      </c>
      <c r="R175" s="97">
        <f t="shared" si="52"/>
        <v>0</v>
      </c>
      <c r="S175" s="99">
        <f t="shared" si="53"/>
        <v>0</v>
      </c>
      <c r="T175" s="98"/>
      <c r="U175" s="97">
        <f t="shared" si="54"/>
        <v>0</v>
      </c>
      <c r="V175" s="97">
        <f t="shared" si="54"/>
        <v>0</v>
      </c>
      <c r="W175" s="99">
        <f t="shared" si="55"/>
        <v>0</v>
      </c>
      <c r="X175" s="98"/>
      <c r="Y175" s="97">
        <f t="shared" si="56"/>
        <v>0</v>
      </c>
      <c r="Z175" s="97">
        <f t="shared" si="56"/>
        <v>0</v>
      </c>
      <c r="AA175" s="99">
        <f t="shared" si="57"/>
        <v>0</v>
      </c>
      <c r="AB175" s="96"/>
    </row>
    <row r="176" spans="1:28" ht="15" hidden="1">
      <c r="A176" s="80" t="s">
        <v>477</v>
      </c>
      <c r="B176" s="81"/>
      <c r="C176" s="82" t="e">
        <f>VLOOKUP(B176,'DATOS ASIGNACIÓN'!B:I,4,0)</f>
        <v>#N/A</v>
      </c>
      <c r="D176" s="82">
        <f>COUNTIFS('LISTADOS TFM'!D:D,Pagos!B176,'LISTADOS TFM'!S:S,"SÍ")</f>
        <v>0</v>
      </c>
      <c r="E176" s="82">
        <f>COUNTIF('LISTADOS TFM'!J:L,Pagos!B176)</f>
        <v>0</v>
      </c>
      <c r="F176" s="82" t="str">
        <f t="shared" si="46"/>
        <v>OK</v>
      </c>
      <c r="G176" s="83">
        <f t="shared" si="58"/>
        <v>0</v>
      </c>
      <c r="H176" s="83">
        <f t="shared" si="59"/>
        <v>0</v>
      </c>
      <c r="I176" s="84"/>
      <c r="J176" s="82">
        <f t="shared" si="47"/>
        <v>0</v>
      </c>
      <c r="K176" s="85">
        <f t="shared" si="48"/>
        <v>0</v>
      </c>
      <c r="L176" s="86"/>
      <c r="M176" s="100">
        <f t="shared" si="49"/>
        <v>0</v>
      </c>
      <c r="N176" s="100">
        <f t="shared" si="50"/>
        <v>0</v>
      </c>
      <c r="O176" s="95">
        <f t="shared" si="51"/>
        <v>0</v>
      </c>
      <c r="P176" s="98"/>
      <c r="Q176" s="97">
        <f t="shared" si="52"/>
        <v>0</v>
      </c>
      <c r="R176" s="97">
        <f t="shared" si="52"/>
        <v>0</v>
      </c>
      <c r="S176" s="99">
        <f t="shared" si="53"/>
        <v>0</v>
      </c>
      <c r="T176" s="98"/>
      <c r="U176" s="97">
        <f t="shared" si="54"/>
        <v>0</v>
      </c>
      <c r="V176" s="97">
        <f t="shared" si="54"/>
        <v>0</v>
      </c>
      <c r="W176" s="99">
        <f t="shared" si="55"/>
        <v>0</v>
      </c>
      <c r="X176" s="98"/>
      <c r="Y176" s="97">
        <f t="shared" si="56"/>
        <v>0</v>
      </c>
      <c r="Z176" s="97">
        <f t="shared" si="56"/>
        <v>0</v>
      </c>
      <c r="AA176" s="99">
        <f t="shared" si="57"/>
        <v>0</v>
      </c>
      <c r="AB176" s="96"/>
    </row>
    <row r="177" spans="1:28" ht="15" hidden="1">
      <c r="A177" s="80" t="s">
        <v>477</v>
      </c>
      <c r="B177" s="81"/>
      <c r="C177" s="82" t="e">
        <f>VLOOKUP(B177,'DATOS ASIGNACIÓN'!B:I,4,0)</f>
        <v>#N/A</v>
      </c>
      <c r="D177" s="82">
        <f>COUNTIFS('LISTADOS TFM'!D:D,Pagos!B177,'LISTADOS TFM'!S:S,"SÍ")</f>
        <v>0</v>
      </c>
      <c r="E177" s="82">
        <f>COUNTIF('LISTADOS TFM'!J:L,Pagos!B177)</f>
        <v>0</v>
      </c>
      <c r="F177" s="82" t="str">
        <f t="shared" si="46"/>
        <v>OK</v>
      </c>
      <c r="G177" s="83">
        <f t="shared" si="58"/>
        <v>0</v>
      </c>
      <c r="H177" s="83">
        <f t="shared" si="59"/>
        <v>0</v>
      </c>
      <c r="I177" s="84"/>
      <c r="J177" s="82">
        <f t="shared" si="47"/>
        <v>0</v>
      </c>
      <c r="K177" s="85">
        <f t="shared" si="48"/>
        <v>0</v>
      </c>
      <c r="L177" s="86"/>
      <c r="M177" s="100">
        <f t="shared" si="49"/>
        <v>0</v>
      </c>
      <c r="N177" s="100">
        <f t="shared" si="50"/>
        <v>0</v>
      </c>
      <c r="O177" s="95">
        <f t="shared" si="51"/>
        <v>0</v>
      </c>
      <c r="P177" s="98"/>
      <c r="Q177" s="97">
        <f t="shared" si="52"/>
        <v>0</v>
      </c>
      <c r="R177" s="97">
        <f t="shared" si="52"/>
        <v>0</v>
      </c>
      <c r="S177" s="99">
        <f t="shared" si="53"/>
        <v>0</v>
      </c>
      <c r="T177" s="98"/>
      <c r="U177" s="97">
        <f t="shared" si="54"/>
        <v>0</v>
      </c>
      <c r="V177" s="97">
        <f t="shared" si="54"/>
        <v>0</v>
      </c>
      <c r="W177" s="99">
        <f t="shared" si="55"/>
        <v>0</v>
      </c>
      <c r="X177" s="98"/>
      <c r="Y177" s="97">
        <f t="shared" si="56"/>
        <v>0</v>
      </c>
      <c r="Z177" s="97">
        <f t="shared" si="56"/>
        <v>0</v>
      </c>
      <c r="AA177" s="99">
        <f t="shared" si="57"/>
        <v>0</v>
      </c>
      <c r="AB177" s="96"/>
    </row>
    <row r="178" spans="1:28" ht="15" hidden="1">
      <c r="A178" s="80" t="s">
        <v>477</v>
      </c>
      <c r="B178" s="81"/>
      <c r="C178" s="82" t="e">
        <f>VLOOKUP(B178,'DATOS ASIGNACIÓN'!B:I,4,0)</f>
        <v>#N/A</v>
      </c>
      <c r="D178" s="82">
        <f>COUNTIFS('LISTADOS TFM'!D:D,Pagos!B178,'LISTADOS TFM'!S:S,"SÍ")</f>
        <v>0</v>
      </c>
      <c r="E178" s="82">
        <f>COUNTIF('LISTADOS TFM'!J:L,Pagos!B178)</f>
        <v>0</v>
      </c>
      <c r="F178" s="82" t="str">
        <f t="shared" si="46"/>
        <v>OK</v>
      </c>
      <c r="G178" s="83">
        <f t="shared" si="58"/>
        <v>0</v>
      </c>
      <c r="H178" s="83">
        <f t="shared" si="59"/>
        <v>0</v>
      </c>
      <c r="I178" s="84"/>
      <c r="J178" s="82">
        <f t="shared" si="47"/>
        <v>0</v>
      </c>
      <c r="K178" s="85">
        <f t="shared" si="48"/>
        <v>0</v>
      </c>
      <c r="L178" s="86"/>
      <c r="M178" s="100">
        <f t="shared" si="49"/>
        <v>0</v>
      </c>
      <c r="N178" s="100">
        <f t="shared" si="50"/>
        <v>0</v>
      </c>
      <c r="O178" s="95">
        <f t="shared" si="51"/>
        <v>0</v>
      </c>
      <c r="P178" s="98"/>
      <c r="Q178" s="97">
        <f t="shared" si="52"/>
        <v>0</v>
      </c>
      <c r="R178" s="97">
        <f t="shared" si="52"/>
        <v>0</v>
      </c>
      <c r="S178" s="99">
        <f t="shared" si="53"/>
        <v>0</v>
      </c>
      <c r="T178" s="98"/>
      <c r="U178" s="97">
        <f t="shared" si="54"/>
        <v>0</v>
      </c>
      <c r="V178" s="97">
        <f t="shared" si="54"/>
        <v>0</v>
      </c>
      <c r="W178" s="99">
        <f t="shared" si="55"/>
        <v>0</v>
      </c>
      <c r="X178" s="98"/>
      <c r="Y178" s="97">
        <f t="shared" si="56"/>
        <v>0</v>
      </c>
      <c r="Z178" s="97">
        <f t="shared" si="56"/>
        <v>0</v>
      </c>
      <c r="AA178" s="99">
        <f t="shared" si="57"/>
        <v>0</v>
      </c>
      <c r="AB178" s="96"/>
    </row>
    <row r="179" spans="1:28" ht="15" hidden="1">
      <c r="A179" s="80" t="s">
        <v>477</v>
      </c>
      <c r="B179" s="81"/>
      <c r="C179" s="82" t="e">
        <f>VLOOKUP(B179,'DATOS ASIGNACIÓN'!B:I,4,0)</f>
        <v>#N/A</v>
      </c>
      <c r="D179" s="82">
        <f>COUNTIFS('LISTADOS TFM'!D:D,Pagos!B179,'LISTADOS TFM'!S:S,"SÍ")</f>
        <v>0</v>
      </c>
      <c r="E179" s="82">
        <f>COUNTIF('LISTADOS TFM'!J:L,Pagos!B179)</f>
        <v>0</v>
      </c>
      <c r="F179" s="82" t="str">
        <f t="shared" si="46"/>
        <v>OK</v>
      </c>
      <c r="G179" s="83">
        <f t="shared" si="58"/>
        <v>0</v>
      </c>
      <c r="H179" s="83">
        <f t="shared" si="59"/>
        <v>0</v>
      </c>
      <c r="I179" s="84"/>
      <c r="J179" s="82">
        <f t="shared" si="47"/>
        <v>0</v>
      </c>
      <c r="K179" s="85">
        <f t="shared" si="48"/>
        <v>0</v>
      </c>
      <c r="L179" s="86"/>
      <c r="M179" s="100">
        <f t="shared" si="49"/>
        <v>0</v>
      </c>
      <c r="N179" s="100">
        <f t="shared" si="50"/>
        <v>0</v>
      </c>
      <c r="O179" s="95">
        <f t="shared" si="51"/>
        <v>0</v>
      </c>
      <c r="P179" s="98"/>
      <c r="Q179" s="97">
        <f t="shared" si="52"/>
        <v>0</v>
      </c>
      <c r="R179" s="97">
        <f t="shared" si="52"/>
        <v>0</v>
      </c>
      <c r="S179" s="99">
        <f t="shared" si="53"/>
        <v>0</v>
      </c>
      <c r="T179" s="98"/>
      <c r="U179" s="97">
        <f t="shared" si="54"/>
        <v>0</v>
      </c>
      <c r="V179" s="97">
        <f t="shared" si="54"/>
        <v>0</v>
      </c>
      <c r="W179" s="99">
        <f t="shared" si="55"/>
        <v>0</v>
      </c>
      <c r="X179" s="98"/>
      <c r="Y179" s="97">
        <f t="shared" si="56"/>
        <v>0</v>
      </c>
      <c r="Z179" s="97">
        <f t="shared" si="56"/>
        <v>0</v>
      </c>
      <c r="AA179" s="99">
        <f t="shared" si="57"/>
        <v>0</v>
      </c>
      <c r="AB179" s="96"/>
    </row>
    <row r="180" spans="1:28" ht="15" hidden="1">
      <c r="A180" s="80" t="s">
        <v>477</v>
      </c>
      <c r="B180" s="81"/>
      <c r="C180" s="82" t="e">
        <f>VLOOKUP(B180,'DATOS ASIGNACIÓN'!B:I,4,0)</f>
        <v>#N/A</v>
      </c>
      <c r="D180" s="82">
        <f>COUNTIFS('LISTADOS TFM'!D:D,Pagos!B180,'LISTADOS TFM'!S:S,"SÍ")</f>
        <v>0</v>
      </c>
      <c r="E180" s="82">
        <f>COUNTIF('LISTADOS TFM'!J:L,Pagos!B180)</f>
        <v>0</v>
      </c>
      <c r="F180" s="82" t="str">
        <f t="shared" si="46"/>
        <v>OK</v>
      </c>
      <c r="G180" s="83">
        <f t="shared" si="58"/>
        <v>0</v>
      </c>
      <c r="H180" s="83">
        <f t="shared" si="59"/>
        <v>0</v>
      </c>
      <c r="I180" s="84"/>
      <c r="J180" s="82">
        <f t="shared" si="47"/>
        <v>0</v>
      </c>
      <c r="K180" s="85">
        <f t="shared" si="48"/>
        <v>0</v>
      </c>
      <c r="L180" s="86"/>
      <c r="M180" s="100">
        <f t="shared" si="49"/>
        <v>0</v>
      </c>
      <c r="N180" s="100">
        <f t="shared" si="50"/>
        <v>0</v>
      </c>
      <c r="O180" s="95">
        <f t="shared" si="51"/>
        <v>0</v>
      </c>
      <c r="P180" s="98"/>
      <c r="Q180" s="97">
        <f t="shared" si="52"/>
        <v>0</v>
      </c>
      <c r="R180" s="97">
        <f t="shared" si="52"/>
        <v>0</v>
      </c>
      <c r="S180" s="99">
        <f t="shared" si="53"/>
        <v>0</v>
      </c>
      <c r="T180" s="98"/>
      <c r="U180" s="97">
        <f t="shared" si="54"/>
        <v>0</v>
      </c>
      <c r="V180" s="97">
        <f t="shared" si="54"/>
        <v>0</v>
      </c>
      <c r="W180" s="99">
        <f t="shared" si="55"/>
        <v>0</v>
      </c>
      <c r="X180" s="98"/>
      <c r="Y180" s="97">
        <f t="shared" si="56"/>
        <v>0</v>
      </c>
      <c r="Z180" s="97">
        <f t="shared" si="56"/>
        <v>0</v>
      </c>
      <c r="AA180" s="99">
        <f t="shared" si="57"/>
        <v>0</v>
      </c>
      <c r="AB180" s="96"/>
    </row>
    <row r="181" spans="1:28" ht="15" hidden="1">
      <c r="A181" s="80" t="s">
        <v>477</v>
      </c>
      <c r="B181" s="81"/>
      <c r="C181" s="82" t="e">
        <f>VLOOKUP(B181,'DATOS ASIGNACIÓN'!B:I,4,0)</f>
        <v>#N/A</v>
      </c>
      <c r="D181" s="82">
        <f>COUNTIFS('LISTADOS TFM'!D:D,Pagos!B181,'LISTADOS TFM'!S:S,"SÍ")</f>
        <v>0</v>
      </c>
      <c r="E181" s="82">
        <f>COUNTIF('LISTADOS TFM'!J:L,Pagos!B181)</f>
        <v>0</v>
      </c>
      <c r="F181" s="82" t="str">
        <f t="shared" si="46"/>
        <v>OK</v>
      </c>
      <c r="G181" s="83">
        <f t="shared" si="58"/>
        <v>0</v>
      </c>
      <c r="H181" s="83">
        <f t="shared" si="59"/>
        <v>0</v>
      </c>
      <c r="I181" s="84"/>
      <c r="J181" s="82">
        <f t="shared" si="47"/>
        <v>0</v>
      </c>
      <c r="K181" s="85">
        <f t="shared" si="48"/>
        <v>0</v>
      </c>
      <c r="L181" s="86"/>
      <c r="M181" s="100">
        <f t="shared" si="49"/>
        <v>0</v>
      </c>
      <c r="N181" s="100">
        <f t="shared" si="50"/>
        <v>0</v>
      </c>
      <c r="O181" s="95">
        <f t="shared" si="51"/>
        <v>0</v>
      </c>
      <c r="P181" s="98"/>
      <c r="Q181" s="97">
        <f t="shared" si="52"/>
        <v>0</v>
      </c>
      <c r="R181" s="97">
        <f t="shared" si="52"/>
        <v>0</v>
      </c>
      <c r="S181" s="99">
        <f t="shared" si="53"/>
        <v>0</v>
      </c>
      <c r="T181" s="98"/>
      <c r="U181" s="97">
        <f t="shared" si="54"/>
        <v>0</v>
      </c>
      <c r="V181" s="97">
        <f t="shared" si="54"/>
        <v>0</v>
      </c>
      <c r="W181" s="99">
        <f t="shared" si="55"/>
        <v>0</v>
      </c>
      <c r="X181" s="98"/>
      <c r="Y181" s="97">
        <f t="shared" si="56"/>
        <v>0</v>
      </c>
      <c r="Z181" s="97">
        <f t="shared" si="56"/>
        <v>0</v>
      </c>
      <c r="AA181" s="99">
        <f t="shared" si="57"/>
        <v>0</v>
      </c>
      <c r="AB181" s="96"/>
    </row>
    <row r="182" spans="1:28" ht="15" hidden="1">
      <c r="A182" s="80" t="s">
        <v>477</v>
      </c>
      <c r="B182" s="81"/>
      <c r="C182" s="82" t="e">
        <f>VLOOKUP(B182,'DATOS ASIGNACIÓN'!B:I,4,0)</f>
        <v>#N/A</v>
      </c>
      <c r="D182" s="82">
        <f>COUNTIFS('LISTADOS TFM'!D:D,Pagos!B182,'LISTADOS TFM'!S:S,"SÍ")</f>
        <v>0</v>
      </c>
      <c r="E182" s="82">
        <f>COUNTIF('LISTADOS TFM'!J:L,Pagos!B182)</f>
        <v>0</v>
      </c>
      <c r="F182" s="82" t="str">
        <f t="shared" si="46"/>
        <v>OK</v>
      </c>
      <c r="G182" s="83">
        <f t="shared" si="58"/>
        <v>0</v>
      </c>
      <c r="H182" s="83">
        <f t="shared" si="59"/>
        <v>0</v>
      </c>
      <c r="I182" s="84"/>
      <c r="J182" s="82">
        <f t="shared" si="47"/>
        <v>0</v>
      </c>
      <c r="K182" s="85">
        <f t="shared" si="48"/>
        <v>0</v>
      </c>
      <c r="L182" s="86"/>
      <c r="M182" s="100">
        <f t="shared" si="49"/>
        <v>0</v>
      </c>
      <c r="N182" s="100">
        <f t="shared" si="50"/>
        <v>0</v>
      </c>
      <c r="O182" s="95">
        <f t="shared" si="51"/>
        <v>0</v>
      </c>
      <c r="P182" s="98"/>
      <c r="Q182" s="97">
        <f t="shared" si="52"/>
        <v>0</v>
      </c>
      <c r="R182" s="97">
        <f t="shared" si="52"/>
        <v>0</v>
      </c>
      <c r="S182" s="99">
        <f t="shared" si="53"/>
        <v>0</v>
      </c>
      <c r="T182" s="98"/>
      <c r="U182" s="97">
        <f t="shared" si="54"/>
        <v>0</v>
      </c>
      <c r="V182" s="97">
        <f t="shared" si="54"/>
        <v>0</v>
      </c>
      <c r="W182" s="99">
        <f t="shared" si="55"/>
        <v>0</v>
      </c>
      <c r="X182" s="98"/>
      <c r="Y182" s="97">
        <f t="shared" si="56"/>
        <v>0</v>
      </c>
      <c r="Z182" s="97">
        <f t="shared" si="56"/>
        <v>0</v>
      </c>
      <c r="AA182" s="99">
        <f t="shared" si="57"/>
        <v>0</v>
      </c>
      <c r="AB182" s="96"/>
    </row>
    <row r="183" spans="1:28" ht="15" hidden="1">
      <c r="A183" s="80" t="s">
        <v>477</v>
      </c>
      <c r="B183" s="81"/>
      <c r="C183" s="82" t="e">
        <f>VLOOKUP(B183,'DATOS ASIGNACIÓN'!B:I,4,0)</f>
        <v>#N/A</v>
      </c>
      <c r="D183" s="82">
        <f>COUNTIFS('LISTADOS TFM'!D:D,Pagos!B183,'LISTADOS TFM'!S:S,"SÍ")</f>
        <v>0</v>
      </c>
      <c r="E183" s="82">
        <f>COUNTIF('LISTADOS TFM'!J:L,Pagos!B183)</f>
        <v>0</v>
      </c>
      <c r="F183" s="82" t="str">
        <f t="shared" si="46"/>
        <v>OK</v>
      </c>
      <c r="G183" s="83">
        <f t="shared" si="58"/>
        <v>0</v>
      </c>
      <c r="H183" s="83">
        <f t="shared" si="59"/>
        <v>0</v>
      </c>
      <c r="I183" s="84"/>
      <c r="J183" s="82">
        <f t="shared" si="47"/>
        <v>0</v>
      </c>
      <c r="K183" s="85">
        <f t="shared" si="48"/>
        <v>0</v>
      </c>
      <c r="L183" s="86"/>
      <c r="M183" s="100">
        <f t="shared" si="49"/>
        <v>0</v>
      </c>
      <c r="N183" s="100">
        <f t="shared" si="50"/>
        <v>0</v>
      </c>
      <c r="O183" s="95">
        <f t="shared" si="51"/>
        <v>0</v>
      </c>
      <c r="P183" s="98"/>
      <c r="Q183" s="97">
        <f t="shared" si="52"/>
        <v>0</v>
      </c>
      <c r="R183" s="97">
        <f t="shared" si="52"/>
        <v>0</v>
      </c>
      <c r="S183" s="99">
        <f t="shared" si="53"/>
        <v>0</v>
      </c>
      <c r="T183" s="98"/>
      <c r="U183" s="97">
        <f t="shared" si="54"/>
        <v>0</v>
      </c>
      <c r="V183" s="97">
        <f t="shared" si="54"/>
        <v>0</v>
      </c>
      <c r="W183" s="99">
        <f t="shared" si="55"/>
        <v>0</v>
      </c>
      <c r="X183" s="98"/>
      <c r="Y183" s="97">
        <f t="shared" si="56"/>
        <v>0</v>
      </c>
      <c r="Z183" s="97">
        <f t="shared" si="56"/>
        <v>0</v>
      </c>
      <c r="AA183" s="99">
        <f t="shared" si="57"/>
        <v>0</v>
      </c>
      <c r="AB183" s="96"/>
    </row>
    <row r="184" spans="1:28" ht="15" hidden="1">
      <c r="A184" s="80" t="s">
        <v>477</v>
      </c>
      <c r="B184" s="81"/>
      <c r="C184" s="82" t="e">
        <f>VLOOKUP(B184,'DATOS ASIGNACIÓN'!B:I,4,0)</f>
        <v>#N/A</v>
      </c>
      <c r="D184" s="82">
        <f>COUNTIFS('LISTADOS TFM'!D:D,Pagos!B184,'LISTADOS TFM'!S:S,"SÍ")</f>
        <v>0</v>
      </c>
      <c r="E184" s="82">
        <f>COUNTIF('LISTADOS TFM'!J:L,Pagos!B184)</f>
        <v>0</v>
      </c>
      <c r="F184" s="82" t="str">
        <f t="shared" si="46"/>
        <v>OK</v>
      </c>
      <c r="G184" s="83">
        <f t="shared" si="58"/>
        <v>0</v>
      </c>
      <c r="H184" s="83">
        <f t="shared" si="59"/>
        <v>0</v>
      </c>
      <c r="I184" s="84"/>
      <c r="J184" s="82">
        <f t="shared" si="47"/>
        <v>0</v>
      </c>
      <c r="K184" s="85">
        <f t="shared" si="48"/>
        <v>0</v>
      </c>
      <c r="L184" s="86"/>
      <c r="M184" s="100">
        <f t="shared" si="49"/>
        <v>0</v>
      </c>
      <c r="N184" s="100">
        <f t="shared" si="50"/>
        <v>0</v>
      </c>
      <c r="O184" s="95">
        <f t="shared" si="51"/>
        <v>0</v>
      </c>
      <c r="P184" s="98"/>
      <c r="Q184" s="97">
        <f t="shared" si="52"/>
        <v>0</v>
      </c>
      <c r="R184" s="97">
        <f t="shared" si="52"/>
        <v>0</v>
      </c>
      <c r="S184" s="99">
        <f t="shared" si="53"/>
        <v>0</v>
      </c>
      <c r="T184" s="98"/>
      <c r="U184" s="97">
        <f t="shared" si="54"/>
        <v>0</v>
      </c>
      <c r="V184" s="97">
        <f t="shared" si="54"/>
        <v>0</v>
      </c>
      <c r="W184" s="99">
        <f t="shared" si="55"/>
        <v>0</v>
      </c>
      <c r="X184" s="98"/>
      <c r="Y184" s="97">
        <f t="shared" si="56"/>
        <v>0</v>
      </c>
      <c r="Z184" s="97">
        <f t="shared" si="56"/>
        <v>0</v>
      </c>
      <c r="AA184" s="99">
        <f t="shared" si="57"/>
        <v>0</v>
      </c>
      <c r="AB184" s="96"/>
    </row>
    <row r="185" spans="1:28" ht="15" hidden="1">
      <c r="A185" s="80" t="s">
        <v>477</v>
      </c>
      <c r="B185" s="81"/>
      <c r="C185" s="82" t="e">
        <f>VLOOKUP(B185,'DATOS ASIGNACIÓN'!B:I,4,0)</f>
        <v>#N/A</v>
      </c>
      <c r="D185" s="82">
        <f>COUNTIFS('LISTADOS TFM'!D:D,Pagos!B185,'LISTADOS TFM'!S:S,"SÍ")</f>
        <v>0</v>
      </c>
      <c r="E185" s="82">
        <f>COUNTIF('LISTADOS TFM'!J:L,Pagos!B185)</f>
        <v>0</v>
      </c>
      <c r="F185" s="82" t="str">
        <f t="shared" si="46"/>
        <v>OK</v>
      </c>
      <c r="G185" s="83">
        <f t="shared" ref="G185:G200" si="60">IF($H$18&lt;9,$E$16,IF($H$18=$D$17,$E$17,$E$18))*D185</f>
        <v>0</v>
      </c>
      <c r="H185" s="83">
        <f t="shared" ref="H185:H200" si="61">+E185*$H$16</f>
        <v>0</v>
      </c>
      <c r="I185" s="84"/>
      <c r="J185" s="82">
        <f t="shared" si="47"/>
        <v>0</v>
      </c>
      <c r="K185" s="85">
        <f t="shared" si="48"/>
        <v>0</v>
      </c>
      <c r="L185" s="86"/>
      <c r="M185" s="100">
        <f t="shared" si="49"/>
        <v>0</v>
      </c>
      <c r="N185" s="100">
        <f t="shared" si="50"/>
        <v>0</v>
      </c>
      <c r="O185" s="95">
        <f t="shared" si="51"/>
        <v>0</v>
      </c>
      <c r="P185" s="98"/>
      <c r="Q185" s="97">
        <f t="shared" si="52"/>
        <v>0</v>
      </c>
      <c r="R185" s="97">
        <f t="shared" si="52"/>
        <v>0</v>
      </c>
      <c r="S185" s="99">
        <f t="shared" si="53"/>
        <v>0</v>
      </c>
      <c r="T185" s="98"/>
      <c r="U185" s="97">
        <f t="shared" si="54"/>
        <v>0</v>
      </c>
      <c r="V185" s="97">
        <f t="shared" si="54"/>
        <v>0</v>
      </c>
      <c r="W185" s="99">
        <f t="shared" si="55"/>
        <v>0</v>
      </c>
      <c r="X185" s="98"/>
      <c r="Y185" s="97">
        <f t="shared" si="56"/>
        <v>0</v>
      </c>
      <c r="Z185" s="97">
        <f t="shared" si="56"/>
        <v>0</v>
      </c>
      <c r="AA185" s="99">
        <f t="shared" si="57"/>
        <v>0</v>
      </c>
      <c r="AB185" s="96"/>
    </row>
    <row r="186" spans="1:28" ht="15" hidden="1">
      <c r="A186" s="80" t="s">
        <v>477</v>
      </c>
      <c r="B186" s="81"/>
      <c r="C186" s="82" t="e">
        <f>VLOOKUP(B186,'DATOS ASIGNACIÓN'!B:I,4,0)</f>
        <v>#N/A</v>
      </c>
      <c r="D186" s="82">
        <f>COUNTIFS('LISTADOS TFM'!D:D,Pagos!B186,'LISTADOS TFM'!S:S,"SÍ")</f>
        <v>0</v>
      </c>
      <c r="E186" s="82">
        <f>COUNTIF('LISTADOS TFM'!J:L,Pagos!B186)</f>
        <v>0</v>
      </c>
      <c r="F186" s="82" t="str">
        <f t="shared" ref="F186:F200" si="62">IF(D186*3=E186,"OK",IF(D186*3&lt;E186,"EXTRA","VALORAR"))</f>
        <v>OK</v>
      </c>
      <c r="G186" s="83">
        <f t="shared" si="60"/>
        <v>0</v>
      </c>
      <c r="H186" s="83">
        <f t="shared" si="61"/>
        <v>0</v>
      </c>
      <c r="I186" s="84"/>
      <c r="J186" s="82">
        <f t="shared" ref="J186:J200" si="63">IF(I186="SÍ",H186*-1,0)</f>
        <v>0</v>
      </c>
      <c r="K186" s="85">
        <f t="shared" ref="K186:K200" si="64">+G186+H186</f>
        <v>0</v>
      </c>
      <c r="L186" s="86"/>
      <c r="M186" s="100">
        <f t="shared" ref="M186:M200" si="65">+G186</f>
        <v>0</v>
      </c>
      <c r="N186" s="100">
        <f t="shared" ref="N186:N200" si="66">+H186</f>
        <v>0</v>
      </c>
      <c r="O186" s="95">
        <f t="shared" ref="O186:O200" si="67">+M186+N186</f>
        <v>0</v>
      </c>
      <c r="P186" s="98"/>
      <c r="Q186" s="97">
        <f t="shared" si="52"/>
        <v>0</v>
      </c>
      <c r="R186" s="97">
        <f t="shared" si="52"/>
        <v>0</v>
      </c>
      <c r="S186" s="99">
        <f t="shared" ref="S186:S200" si="68">+Q186+R186</f>
        <v>0</v>
      </c>
      <c r="T186" s="98"/>
      <c r="U186" s="97">
        <f t="shared" si="54"/>
        <v>0</v>
      </c>
      <c r="V186" s="97">
        <f t="shared" si="54"/>
        <v>0</v>
      </c>
      <c r="W186" s="99">
        <f t="shared" ref="W186:W200" si="69">+U186+V186</f>
        <v>0</v>
      </c>
      <c r="X186" s="98"/>
      <c r="Y186" s="97">
        <f t="shared" si="56"/>
        <v>0</v>
      </c>
      <c r="Z186" s="97">
        <f t="shared" si="56"/>
        <v>0</v>
      </c>
      <c r="AA186" s="99">
        <f t="shared" si="57"/>
        <v>0</v>
      </c>
      <c r="AB186" s="96"/>
    </row>
    <row r="187" spans="1:28" ht="15" hidden="1">
      <c r="A187" s="80" t="s">
        <v>477</v>
      </c>
      <c r="B187" s="81"/>
      <c r="C187" s="82" t="e">
        <f>VLOOKUP(B187,'DATOS ASIGNACIÓN'!B:I,4,0)</f>
        <v>#N/A</v>
      </c>
      <c r="D187" s="82">
        <f>COUNTIFS('LISTADOS TFM'!D:D,Pagos!B187,'LISTADOS TFM'!S:S,"SÍ")</f>
        <v>0</v>
      </c>
      <c r="E187" s="82">
        <f>COUNTIF('LISTADOS TFM'!J:L,Pagos!B187)</f>
        <v>0</v>
      </c>
      <c r="F187" s="82" t="str">
        <f t="shared" si="62"/>
        <v>OK</v>
      </c>
      <c r="G187" s="83">
        <f t="shared" si="60"/>
        <v>0</v>
      </c>
      <c r="H187" s="83">
        <f t="shared" si="61"/>
        <v>0</v>
      </c>
      <c r="I187" s="84"/>
      <c r="J187" s="82">
        <f t="shared" si="63"/>
        <v>0</v>
      </c>
      <c r="K187" s="85">
        <f t="shared" si="64"/>
        <v>0</v>
      </c>
      <c r="L187" s="86"/>
      <c r="M187" s="100">
        <f t="shared" si="65"/>
        <v>0</v>
      </c>
      <c r="N187" s="100">
        <f t="shared" si="66"/>
        <v>0</v>
      </c>
      <c r="O187" s="95">
        <f t="shared" si="67"/>
        <v>0</v>
      </c>
      <c r="P187" s="98"/>
      <c r="Q187" s="97">
        <f t="shared" si="52"/>
        <v>0</v>
      </c>
      <c r="R187" s="97">
        <f t="shared" si="52"/>
        <v>0</v>
      </c>
      <c r="S187" s="99">
        <f t="shared" si="68"/>
        <v>0</v>
      </c>
      <c r="T187" s="98"/>
      <c r="U187" s="97">
        <f t="shared" si="54"/>
        <v>0</v>
      </c>
      <c r="V187" s="97">
        <f t="shared" si="54"/>
        <v>0</v>
      </c>
      <c r="W187" s="99">
        <f t="shared" si="69"/>
        <v>0</v>
      </c>
      <c r="X187" s="98"/>
      <c r="Y187" s="97">
        <f t="shared" si="56"/>
        <v>0</v>
      </c>
      <c r="Z187" s="97">
        <f t="shared" si="56"/>
        <v>0</v>
      </c>
      <c r="AA187" s="99">
        <f t="shared" si="57"/>
        <v>0</v>
      </c>
      <c r="AB187" s="96"/>
    </row>
    <row r="188" spans="1:28" ht="15" hidden="1">
      <c r="A188" s="80" t="s">
        <v>477</v>
      </c>
      <c r="B188" s="81"/>
      <c r="C188" s="82" t="e">
        <f>VLOOKUP(B188,'DATOS ASIGNACIÓN'!B:I,4,0)</f>
        <v>#N/A</v>
      </c>
      <c r="D188" s="82">
        <f>COUNTIFS('LISTADOS TFM'!D:D,Pagos!B188,'LISTADOS TFM'!S:S,"SÍ")</f>
        <v>0</v>
      </c>
      <c r="E188" s="82">
        <f>COUNTIF('LISTADOS TFM'!J:L,Pagos!B188)</f>
        <v>0</v>
      </c>
      <c r="F188" s="82" t="str">
        <f t="shared" si="62"/>
        <v>OK</v>
      </c>
      <c r="G188" s="83">
        <f t="shared" si="60"/>
        <v>0</v>
      </c>
      <c r="H188" s="83">
        <f t="shared" si="61"/>
        <v>0</v>
      </c>
      <c r="I188" s="84"/>
      <c r="J188" s="82">
        <f t="shared" si="63"/>
        <v>0</v>
      </c>
      <c r="K188" s="85">
        <f t="shared" si="64"/>
        <v>0</v>
      </c>
      <c r="L188" s="86"/>
      <c r="M188" s="100">
        <f t="shared" si="65"/>
        <v>0</v>
      </c>
      <c r="N188" s="100">
        <f t="shared" si="66"/>
        <v>0</v>
      </c>
      <c r="O188" s="95">
        <f t="shared" si="67"/>
        <v>0</v>
      </c>
      <c r="P188" s="98"/>
      <c r="Q188" s="97">
        <f t="shared" si="52"/>
        <v>0</v>
      </c>
      <c r="R188" s="97">
        <f t="shared" si="52"/>
        <v>0</v>
      </c>
      <c r="S188" s="99">
        <f t="shared" si="68"/>
        <v>0</v>
      </c>
      <c r="T188" s="98"/>
      <c r="U188" s="97">
        <f t="shared" si="54"/>
        <v>0</v>
      </c>
      <c r="V188" s="97">
        <f t="shared" si="54"/>
        <v>0</v>
      </c>
      <c r="W188" s="99">
        <f t="shared" si="69"/>
        <v>0</v>
      </c>
      <c r="X188" s="98"/>
      <c r="Y188" s="97">
        <f t="shared" ref="Y188:Z200" si="70">+G188-(M188+Q188+U188)</f>
        <v>0</v>
      </c>
      <c r="Z188" s="97">
        <f t="shared" si="70"/>
        <v>0</v>
      </c>
      <c r="AA188" s="99">
        <f t="shared" ref="AA188:AA200" si="71">+Y188+Z188</f>
        <v>0</v>
      </c>
      <c r="AB188" s="96"/>
    </row>
    <row r="189" spans="1:28" ht="15" hidden="1">
      <c r="A189" s="80" t="s">
        <v>477</v>
      </c>
      <c r="B189" s="81"/>
      <c r="C189" s="82" t="e">
        <f>VLOOKUP(B189,'DATOS ASIGNACIÓN'!B:I,4,0)</f>
        <v>#N/A</v>
      </c>
      <c r="D189" s="82">
        <f>COUNTIFS('LISTADOS TFM'!D:D,Pagos!B189,'LISTADOS TFM'!S:S,"SÍ")</f>
        <v>0</v>
      </c>
      <c r="E189" s="82">
        <f>COUNTIF('LISTADOS TFM'!J:L,Pagos!B189)</f>
        <v>0</v>
      </c>
      <c r="F189" s="82" t="str">
        <f t="shared" si="62"/>
        <v>OK</v>
      </c>
      <c r="G189" s="83">
        <f t="shared" si="60"/>
        <v>0</v>
      </c>
      <c r="H189" s="83">
        <f t="shared" si="61"/>
        <v>0</v>
      </c>
      <c r="I189" s="84"/>
      <c r="J189" s="82">
        <f t="shared" si="63"/>
        <v>0</v>
      </c>
      <c r="K189" s="85">
        <f t="shared" si="64"/>
        <v>0</v>
      </c>
      <c r="L189" s="86"/>
      <c r="M189" s="100">
        <f t="shared" si="65"/>
        <v>0</v>
      </c>
      <c r="N189" s="100">
        <f t="shared" si="66"/>
        <v>0</v>
      </c>
      <c r="O189" s="95">
        <f t="shared" si="67"/>
        <v>0</v>
      </c>
      <c r="P189" s="98"/>
      <c r="Q189" s="97">
        <f t="shared" si="52"/>
        <v>0</v>
      </c>
      <c r="R189" s="97">
        <f t="shared" si="52"/>
        <v>0</v>
      </c>
      <c r="S189" s="99">
        <f t="shared" si="68"/>
        <v>0</v>
      </c>
      <c r="T189" s="98"/>
      <c r="U189" s="97">
        <f t="shared" si="54"/>
        <v>0</v>
      </c>
      <c r="V189" s="97">
        <f t="shared" si="54"/>
        <v>0</v>
      </c>
      <c r="W189" s="99">
        <f t="shared" si="69"/>
        <v>0</v>
      </c>
      <c r="X189" s="98"/>
      <c r="Y189" s="97">
        <f t="shared" si="70"/>
        <v>0</v>
      </c>
      <c r="Z189" s="97">
        <f t="shared" si="70"/>
        <v>0</v>
      </c>
      <c r="AA189" s="99">
        <f t="shared" si="71"/>
        <v>0</v>
      </c>
      <c r="AB189" s="96"/>
    </row>
    <row r="190" spans="1:28" ht="15" hidden="1">
      <c r="A190" s="80" t="s">
        <v>477</v>
      </c>
      <c r="B190" s="81"/>
      <c r="C190" s="82" t="e">
        <f>VLOOKUP(B190,'DATOS ASIGNACIÓN'!B:I,4,0)</f>
        <v>#N/A</v>
      </c>
      <c r="D190" s="82">
        <f>COUNTIFS('LISTADOS TFM'!D:D,Pagos!B190,'LISTADOS TFM'!S:S,"SÍ")</f>
        <v>0</v>
      </c>
      <c r="E190" s="82">
        <f>COUNTIF('LISTADOS TFM'!J:L,Pagos!B190)</f>
        <v>0</v>
      </c>
      <c r="F190" s="82" t="str">
        <f t="shared" si="62"/>
        <v>OK</v>
      </c>
      <c r="G190" s="83">
        <f t="shared" si="60"/>
        <v>0</v>
      </c>
      <c r="H190" s="83">
        <f t="shared" si="61"/>
        <v>0</v>
      </c>
      <c r="I190" s="84"/>
      <c r="J190" s="82">
        <f t="shared" si="63"/>
        <v>0</v>
      </c>
      <c r="K190" s="85">
        <f t="shared" si="64"/>
        <v>0</v>
      </c>
      <c r="L190" s="86"/>
      <c r="M190" s="100">
        <f t="shared" si="65"/>
        <v>0</v>
      </c>
      <c r="N190" s="100">
        <f t="shared" si="66"/>
        <v>0</v>
      </c>
      <c r="O190" s="95">
        <f t="shared" si="67"/>
        <v>0</v>
      </c>
      <c r="P190" s="98"/>
      <c r="Q190" s="97">
        <f t="shared" si="52"/>
        <v>0</v>
      </c>
      <c r="R190" s="97">
        <f t="shared" si="52"/>
        <v>0</v>
      </c>
      <c r="S190" s="99">
        <f t="shared" si="68"/>
        <v>0</v>
      </c>
      <c r="T190" s="98"/>
      <c r="U190" s="97">
        <f t="shared" si="54"/>
        <v>0</v>
      </c>
      <c r="V190" s="97">
        <f t="shared" si="54"/>
        <v>0</v>
      </c>
      <c r="W190" s="99">
        <f t="shared" si="69"/>
        <v>0</v>
      </c>
      <c r="X190" s="98"/>
      <c r="Y190" s="97">
        <f t="shared" si="70"/>
        <v>0</v>
      </c>
      <c r="Z190" s="97">
        <f t="shared" si="70"/>
        <v>0</v>
      </c>
      <c r="AA190" s="99">
        <f t="shared" si="71"/>
        <v>0</v>
      </c>
      <c r="AB190" s="96"/>
    </row>
    <row r="191" spans="1:28" ht="15" hidden="1">
      <c r="A191" s="80" t="s">
        <v>477</v>
      </c>
      <c r="B191" s="81"/>
      <c r="C191" s="82" t="e">
        <f>VLOOKUP(B191,'DATOS ASIGNACIÓN'!B:I,4,0)</f>
        <v>#N/A</v>
      </c>
      <c r="D191" s="82">
        <f>COUNTIFS('LISTADOS TFM'!D:D,Pagos!B191,'LISTADOS TFM'!S:S,"SÍ")</f>
        <v>0</v>
      </c>
      <c r="E191" s="82">
        <f>COUNTIF('LISTADOS TFM'!J:L,Pagos!B191)</f>
        <v>0</v>
      </c>
      <c r="F191" s="82" t="str">
        <f t="shared" si="62"/>
        <v>OK</v>
      </c>
      <c r="G191" s="83">
        <f t="shared" si="60"/>
        <v>0</v>
      </c>
      <c r="H191" s="83">
        <f t="shared" si="61"/>
        <v>0</v>
      </c>
      <c r="I191" s="84"/>
      <c r="J191" s="82">
        <f t="shared" si="63"/>
        <v>0</v>
      </c>
      <c r="K191" s="85">
        <f t="shared" si="64"/>
        <v>0</v>
      </c>
      <c r="L191" s="86"/>
      <c r="M191" s="100">
        <f t="shared" si="65"/>
        <v>0</v>
      </c>
      <c r="N191" s="100">
        <f t="shared" si="66"/>
        <v>0</v>
      </c>
      <c r="O191" s="95">
        <f t="shared" si="67"/>
        <v>0</v>
      </c>
      <c r="P191" s="98"/>
      <c r="Q191" s="97">
        <f t="shared" si="52"/>
        <v>0</v>
      </c>
      <c r="R191" s="97">
        <f t="shared" si="52"/>
        <v>0</v>
      </c>
      <c r="S191" s="99">
        <f t="shared" si="68"/>
        <v>0</v>
      </c>
      <c r="T191" s="98"/>
      <c r="U191" s="97">
        <f t="shared" si="54"/>
        <v>0</v>
      </c>
      <c r="V191" s="97">
        <f t="shared" si="54"/>
        <v>0</v>
      </c>
      <c r="W191" s="99">
        <f t="shared" si="69"/>
        <v>0</v>
      </c>
      <c r="X191" s="98"/>
      <c r="Y191" s="97">
        <f t="shared" si="70"/>
        <v>0</v>
      </c>
      <c r="Z191" s="97">
        <f t="shared" si="70"/>
        <v>0</v>
      </c>
      <c r="AA191" s="99">
        <f t="shared" si="71"/>
        <v>0</v>
      </c>
      <c r="AB191" s="96"/>
    </row>
    <row r="192" spans="1:28" ht="15" hidden="1">
      <c r="A192" s="80" t="s">
        <v>477</v>
      </c>
      <c r="B192" s="81"/>
      <c r="C192" s="82" t="e">
        <f>VLOOKUP(B192,'DATOS ASIGNACIÓN'!B:I,4,0)</f>
        <v>#N/A</v>
      </c>
      <c r="D192" s="82">
        <f>COUNTIFS('LISTADOS TFM'!D:D,Pagos!B192,'LISTADOS TFM'!S:S,"SÍ")</f>
        <v>0</v>
      </c>
      <c r="E192" s="82">
        <f>COUNTIF('LISTADOS TFM'!J:L,Pagos!B192)</f>
        <v>0</v>
      </c>
      <c r="F192" s="82" t="str">
        <f t="shared" si="62"/>
        <v>OK</v>
      </c>
      <c r="G192" s="83">
        <f t="shared" si="60"/>
        <v>0</v>
      </c>
      <c r="H192" s="83">
        <f t="shared" si="61"/>
        <v>0</v>
      </c>
      <c r="I192" s="84"/>
      <c r="J192" s="82">
        <f t="shared" si="63"/>
        <v>0</v>
      </c>
      <c r="K192" s="85">
        <f t="shared" si="64"/>
        <v>0</v>
      </c>
      <c r="L192" s="86"/>
      <c r="M192" s="100">
        <f t="shared" si="65"/>
        <v>0</v>
      </c>
      <c r="N192" s="100">
        <f t="shared" si="66"/>
        <v>0</v>
      </c>
      <c r="O192" s="95">
        <f t="shared" si="67"/>
        <v>0</v>
      </c>
      <c r="P192" s="98"/>
      <c r="Q192" s="97">
        <f t="shared" si="52"/>
        <v>0</v>
      </c>
      <c r="R192" s="97">
        <f t="shared" si="52"/>
        <v>0</v>
      </c>
      <c r="S192" s="99">
        <f t="shared" si="68"/>
        <v>0</v>
      </c>
      <c r="T192" s="98"/>
      <c r="U192" s="97">
        <f t="shared" si="54"/>
        <v>0</v>
      </c>
      <c r="V192" s="97">
        <f t="shared" si="54"/>
        <v>0</v>
      </c>
      <c r="W192" s="99">
        <f t="shared" si="69"/>
        <v>0</v>
      </c>
      <c r="X192" s="98"/>
      <c r="Y192" s="97">
        <f t="shared" si="70"/>
        <v>0</v>
      </c>
      <c r="Z192" s="97">
        <f t="shared" si="70"/>
        <v>0</v>
      </c>
      <c r="AA192" s="99">
        <f t="shared" si="71"/>
        <v>0</v>
      </c>
      <c r="AB192" s="96"/>
    </row>
    <row r="193" spans="1:28" ht="15" hidden="1">
      <c r="A193" s="80" t="s">
        <v>477</v>
      </c>
      <c r="B193" s="81"/>
      <c r="C193" s="82" t="e">
        <f>VLOOKUP(B193,'DATOS ASIGNACIÓN'!B:I,4,0)</f>
        <v>#N/A</v>
      </c>
      <c r="D193" s="82">
        <f>COUNTIFS('LISTADOS TFM'!D:D,Pagos!B193,'LISTADOS TFM'!S:S,"SÍ")</f>
        <v>0</v>
      </c>
      <c r="E193" s="82">
        <f>COUNTIF('LISTADOS TFM'!J:L,Pagos!B193)</f>
        <v>0</v>
      </c>
      <c r="F193" s="82" t="str">
        <f t="shared" si="62"/>
        <v>OK</v>
      </c>
      <c r="G193" s="83">
        <f t="shared" si="60"/>
        <v>0</v>
      </c>
      <c r="H193" s="83">
        <f t="shared" si="61"/>
        <v>0</v>
      </c>
      <c r="I193" s="84"/>
      <c r="J193" s="82">
        <f t="shared" si="63"/>
        <v>0</v>
      </c>
      <c r="K193" s="85">
        <f t="shared" si="64"/>
        <v>0</v>
      </c>
      <c r="L193" s="86"/>
      <c r="M193" s="100">
        <f t="shared" si="65"/>
        <v>0</v>
      </c>
      <c r="N193" s="100">
        <f t="shared" si="66"/>
        <v>0</v>
      </c>
      <c r="O193" s="95">
        <f t="shared" si="67"/>
        <v>0</v>
      </c>
      <c r="P193" s="98"/>
      <c r="Q193" s="97">
        <f t="shared" si="52"/>
        <v>0</v>
      </c>
      <c r="R193" s="97">
        <f t="shared" si="52"/>
        <v>0</v>
      </c>
      <c r="S193" s="99">
        <f t="shared" si="68"/>
        <v>0</v>
      </c>
      <c r="T193" s="98"/>
      <c r="U193" s="97">
        <f t="shared" si="54"/>
        <v>0</v>
      </c>
      <c r="V193" s="97">
        <f t="shared" si="54"/>
        <v>0</v>
      </c>
      <c r="W193" s="99">
        <f t="shared" si="69"/>
        <v>0</v>
      </c>
      <c r="X193" s="98"/>
      <c r="Y193" s="97">
        <f t="shared" si="70"/>
        <v>0</v>
      </c>
      <c r="Z193" s="97">
        <f t="shared" si="70"/>
        <v>0</v>
      </c>
      <c r="AA193" s="99">
        <f t="shared" si="71"/>
        <v>0</v>
      </c>
      <c r="AB193" s="96"/>
    </row>
    <row r="194" spans="1:28" ht="15" hidden="1">
      <c r="A194" s="80" t="s">
        <v>477</v>
      </c>
      <c r="B194" s="81"/>
      <c r="C194" s="82" t="e">
        <f>VLOOKUP(B194,'DATOS ASIGNACIÓN'!B:I,4,0)</f>
        <v>#N/A</v>
      </c>
      <c r="D194" s="82">
        <f>COUNTIFS('LISTADOS TFM'!D:D,Pagos!B194,'LISTADOS TFM'!S:S,"SÍ")</f>
        <v>0</v>
      </c>
      <c r="E194" s="82">
        <f>COUNTIF('LISTADOS TFM'!J:L,Pagos!B194)</f>
        <v>0</v>
      </c>
      <c r="F194" s="82" t="str">
        <f t="shared" si="62"/>
        <v>OK</v>
      </c>
      <c r="G194" s="83">
        <f t="shared" si="60"/>
        <v>0</v>
      </c>
      <c r="H194" s="83">
        <f t="shared" si="61"/>
        <v>0</v>
      </c>
      <c r="I194" s="84"/>
      <c r="J194" s="82">
        <f t="shared" si="63"/>
        <v>0</v>
      </c>
      <c r="K194" s="85">
        <f t="shared" si="64"/>
        <v>0</v>
      </c>
      <c r="L194" s="86"/>
      <c r="M194" s="100">
        <f t="shared" si="65"/>
        <v>0</v>
      </c>
      <c r="N194" s="100">
        <f t="shared" si="66"/>
        <v>0</v>
      </c>
      <c r="O194" s="95">
        <f t="shared" si="67"/>
        <v>0</v>
      </c>
      <c r="P194" s="98"/>
      <c r="Q194" s="97">
        <f t="shared" si="52"/>
        <v>0</v>
      </c>
      <c r="R194" s="97">
        <f t="shared" si="52"/>
        <v>0</v>
      </c>
      <c r="S194" s="99">
        <f t="shared" si="68"/>
        <v>0</v>
      </c>
      <c r="T194" s="98"/>
      <c r="U194" s="97">
        <f t="shared" si="54"/>
        <v>0</v>
      </c>
      <c r="V194" s="97">
        <f t="shared" si="54"/>
        <v>0</v>
      </c>
      <c r="W194" s="99">
        <f t="shared" si="69"/>
        <v>0</v>
      </c>
      <c r="X194" s="98"/>
      <c r="Y194" s="97">
        <f t="shared" si="70"/>
        <v>0</v>
      </c>
      <c r="Z194" s="97">
        <f t="shared" si="70"/>
        <v>0</v>
      </c>
      <c r="AA194" s="99">
        <f t="shared" si="71"/>
        <v>0</v>
      </c>
      <c r="AB194" s="96"/>
    </row>
    <row r="195" spans="1:28" ht="15" hidden="1">
      <c r="A195" s="80" t="s">
        <v>477</v>
      </c>
      <c r="B195" s="81"/>
      <c r="C195" s="82" t="e">
        <f>VLOOKUP(B195,'DATOS ASIGNACIÓN'!B:I,4,0)</f>
        <v>#N/A</v>
      </c>
      <c r="D195" s="82">
        <f>COUNTIFS('LISTADOS TFM'!D:D,Pagos!B195,'LISTADOS TFM'!S:S,"SÍ")</f>
        <v>0</v>
      </c>
      <c r="E195" s="82">
        <f>COUNTIF('LISTADOS TFM'!J:L,Pagos!B195)</f>
        <v>0</v>
      </c>
      <c r="F195" s="82" t="str">
        <f t="shared" si="62"/>
        <v>OK</v>
      </c>
      <c r="G195" s="83">
        <f t="shared" si="60"/>
        <v>0</v>
      </c>
      <c r="H195" s="83">
        <f t="shared" si="61"/>
        <v>0</v>
      </c>
      <c r="I195" s="84"/>
      <c r="J195" s="82">
        <f t="shared" si="63"/>
        <v>0</v>
      </c>
      <c r="K195" s="85">
        <f t="shared" si="64"/>
        <v>0</v>
      </c>
      <c r="L195" s="86"/>
      <c r="M195" s="100">
        <f t="shared" si="65"/>
        <v>0</v>
      </c>
      <c r="N195" s="100">
        <f t="shared" si="66"/>
        <v>0</v>
      </c>
      <c r="O195" s="95">
        <f t="shared" si="67"/>
        <v>0</v>
      </c>
      <c r="P195" s="98"/>
      <c r="Q195" s="97">
        <f t="shared" si="52"/>
        <v>0</v>
      </c>
      <c r="R195" s="97">
        <f t="shared" si="52"/>
        <v>0</v>
      </c>
      <c r="S195" s="99">
        <f t="shared" si="68"/>
        <v>0</v>
      </c>
      <c r="T195" s="98"/>
      <c r="U195" s="97">
        <f t="shared" si="54"/>
        <v>0</v>
      </c>
      <c r="V195" s="97">
        <f t="shared" si="54"/>
        <v>0</v>
      </c>
      <c r="W195" s="99">
        <f t="shared" si="69"/>
        <v>0</v>
      </c>
      <c r="X195" s="98"/>
      <c r="Y195" s="97">
        <f t="shared" si="70"/>
        <v>0</v>
      </c>
      <c r="Z195" s="97">
        <f t="shared" si="70"/>
        <v>0</v>
      </c>
      <c r="AA195" s="99">
        <f t="shared" si="71"/>
        <v>0</v>
      </c>
      <c r="AB195" s="96"/>
    </row>
    <row r="196" spans="1:28" ht="15" hidden="1">
      <c r="A196" s="80" t="s">
        <v>477</v>
      </c>
      <c r="B196" s="81"/>
      <c r="C196" s="82" t="e">
        <f>VLOOKUP(B196,'DATOS ASIGNACIÓN'!B:I,4,0)</f>
        <v>#N/A</v>
      </c>
      <c r="D196" s="82">
        <f>COUNTIFS('LISTADOS TFM'!D:D,Pagos!B196,'LISTADOS TFM'!S:S,"SÍ")</f>
        <v>0</v>
      </c>
      <c r="E196" s="82">
        <f>COUNTIF('LISTADOS TFM'!J:L,Pagos!B196)</f>
        <v>0</v>
      </c>
      <c r="F196" s="82" t="str">
        <f t="shared" si="62"/>
        <v>OK</v>
      </c>
      <c r="G196" s="83">
        <f t="shared" si="60"/>
        <v>0</v>
      </c>
      <c r="H196" s="83">
        <f t="shared" si="61"/>
        <v>0</v>
      </c>
      <c r="I196" s="84"/>
      <c r="J196" s="82">
        <f t="shared" si="63"/>
        <v>0</v>
      </c>
      <c r="K196" s="85">
        <f t="shared" si="64"/>
        <v>0</v>
      </c>
      <c r="L196" s="86"/>
      <c r="M196" s="100">
        <f t="shared" si="65"/>
        <v>0</v>
      </c>
      <c r="N196" s="100">
        <f t="shared" si="66"/>
        <v>0</v>
      </c>
      <c r="O196" s="95">
        <f t="shared" si="67"/>
        <v>0</v>
      </c>
      <c r="P196" s="98"/>
      <c r="Q196" s="97">
        <f t="shared" si="52"/>
        <v>0</v>
      </c>
      <c r="R196" s="97">
        <f t="shared" si="52"/>
        <v>0</v>
      </c>
      <c r="S196" s="99">
        <f t="shared" si="68"/>
        <v>0</v>
      </c>
      <c r="T196" s="98"/>
      <c r="U196" s="97">
        <f t="shared" si="54"/>
        <v>0</v>
      </c>
      <c r="V196" s="97">
        <f t="shared" si="54"/>
        <v>0</v>
      </c>
      <c r="W196" s="99">
        <f t="shared" si="69"/>
        <v>0</v>
      </c>
      <c r="X196" s="98"/>
      <c r="Y196" s="97">
        <f t="shared" si="70"/>
        <v>0</v>
      </c>
      <c r="Z196" s="97">
        <f t="shared" si="70"/>
        <v>0</v>
      </c>
      <c r="AA196" s="99">
        <f t="shared" si="71"/>
        <v>0</v>
      </c>
      <c r="AB196" s="96"/>
    </row>
    <row r="197" spans="1:28" ht="15" hidden="1">
      <c r="A197" s="80" t="s">
        <v>477</v>
      </c>
      <c r="B197" s="81"/>
      <c r="C197" s="82" t="e">
        <f>VLOOKUP(B197,'DATOS ASIGNACIÓN'!B:I,4,0)</f>
        <v>#N/A</v>
      </c>
      <c r="D197" s="82">
        <f>COUNTIFS('LISTADOS TFM'!D:D,Pagos!B197,'LISTADOS TFM'!S:S,"SÍ")</f>
        <v>0</v>
      </c>
      <c r="E197" s="82">
        <f>COUNTIF('LISTADOS TFM'!J:L,Pagos!B197)</f>
        <v>0</v>
      </c>
      <c r="F197" s="82" t="str">
        <f t="shared" si="62"/>
        <v>OK</v>
      </c>
      <c r="G197" s="83">
        <f t="shared" si="60"/>
        <v>0</v>
      </c>
      <c r="H197" s="83">
        <f t="shared" si="61"/>
        <v>0</v>
      </c>
      <c r="I197" s="84"/>
      <c r="J197" s="82">
        <f t="shared" si="63"/>
        <v>0</v>
      </c>
      <c r="K197" s="85">
        <f t="shared" si="64"/>
        <v>0</v>
      </c>
      <c r="L197" s="86"/>
      <c r="M197" s="100">
        <f t="shared" si="65"/>
        <v>0</v>
      </c>
      <c r="N197" s="100">
        <f t="shared" si="66"/>
        <v>0</v>
      </c>
      <c r="O197" s="95">
        <f t="shared" si="67"/>
        <v>0</v>
      </c>
      <c r="P197" s="98"/>
      <c r="Q197" s="97">
        <f t="shared" si="52"/>
        <v>0</v>
      </c>
      <c r="R197" s="97">
        <f t="shared" si="52"/>
        <v>0</v>
      </c>
      <c r="S197" s="99">
        <f t="shared" si="68"/>
        <v>0</v>
      </c>
      <c r="T197" s="98"/>
      <c r="U197" s="97">
        <f t="shared" si="54"/>
        <v>0</v>
      </c>
      <c r="V197" s="97">
        <f t="shared" si="54"/>
        <v>0</v>
      </c>
      <c r="W197" s="99">
        <f t="shared" si="69"/>
        <v>0</v>
      </c>
      <c r="X197" s="98"/>
      <c r="Y197" s="97">
        <f t="shared" si="70"/>
        <v>0</v>
      </c>
      <c r="Z197" s="97">
        <f t="shared" si="70"/>
        <v>0</v>
      </c>
      <c r="AA197" s="99">
        <f t="shared" si="71"/>
        <v>0</v>
      </c>
      <c r="AB197" s="96"/>
    </row>
    <row r="198" spans="1:28" ht="15" hidden="1">
      <c r="A198" s="80" t="s">
        <v>477</v>
      </c>
      <c r="B198" s="81"/>
      <c r="C198" s="82" t="e">
        <f>VLOOKUP(B198,'DATOS ASIGNACIÓN'!B:I,4,0)</f>
        <v>#N/A</v>
      </c>
      <c r="D198" s="82">
        <f>COUNTIFS('LISTADOS TFM'!D:D,Pagos!B198,'LISTADOS TFM'!S:S,"SÍ")</f>
        <v>0</v>
      </c>
      <c r="E198" s="82">
        <f>COUNTIF('LISTADOS TFM'!J:L,Pagos!B198)</f>
        <v>0</v>
      </c>
      <c r="F198" s="82" t="str">
        <f t="shared" si="62"/>
        <v>OK</v>
      </c>
      <c r="G198" s="83">
        <f t="shared" si="60"/>
        <v>0</v>
      </c>
      <c r="H198" s="83">
        <f t="shared" si="61"/>
        <v>0</v>
      </c>
      <c r="I198" s="84"/>
      <c r="J198" s="82">
        <f t="shared" si="63"/>
        <v>0</v>
      </c>
      <c r="K198" s="85">
        <f t="shared" si="64"/>
        <v>0</v>
      </c>
      <c r="L198" s="86"/>
      <c r="M198" s="100">
        <f t="shared" si="65"/>
        <v>0</v>
      </c>
      <c r="N198" s="100">
        <f t="shared" si="66"/>
        <v>0</v>
      </c>
      <c r="O198" s="95">
        <f t="shared" si="67"/>
        <v>0</v>
      </c>
      <c r="P198" s="98"/>
      <c r="Q198" s="97">
        <f t="shared" si="52"/>
        <v>0</v>
      </c>
      <c r="R198" s="97">
        <f t="shared" si="52"/>
        <v>0</v>
      </c>
      <c r="S198" s="99">
        <f t="shared" si="68"/>
        <v>0</v>
      </c>
      <c r="T198" s="98"/>
      <c r="U198" s="97">
        <f t="shared" si="54"/>
        <v>0</v>
      </c>
      <c r="V198" s="97">
        <f t="shared" si="54"/>
        <v>0</v>
      </c>
      <c r="W198" s="99">
        <f t="shared" si="69"/>
        <v>0</v>
      </c>
      <c r="X198" s="98"/>
      <c r="Y198" s="97">
        <f t="shared" si="70"/>
        <v>0</v>
      </c>
      <c r="Z198" s="97">
        <f t="shared" si="70"/>
        <v>0</v>
      </c>
      <c r="AA198" s="99">
        <f t="shared" si="71"/>
        <v>0</v>
      </c>
      <c r="AB198" s="96"/>
    </row>
    <row r="199" spans="1:28" ht="15" hidden="1">
      <c r="A199" s="80" t="s">
        <v>477</v>
      </c>
      <c r="B199" s="81"/>
      <c r="C199" s="82" t="e">
        <f>VLOOKUP(B199,'DATOS ASIGNACIÓN'!B:I,4,0)</f>
        <v>#N/A</v>
      </c>
      <c r="D199" s="82">
        <f>COUNTIFS('LISTADOS TFM'!D:D,Pagos!B199,'LISTADOS TFM'!S:S,"SÍ")</f>
        <v>0</v>
      </c>
      <c r="E199" s="82">
        <f>COUNTIF('LISTADOS TFM'!J:L,Pagos!B199)</f>
        <v>0</v>
      </c>
      <c r="F199" s="82" t="str">
        <f t="shared" si="62"/>
        <v>OK</v>
      </c>
      <c r="G199" s="83">
        <f t="shared" si="60"/>
        <v>0</v>
      </c>
      <c r="H199" s="83">
        <f t="shared" si="61"/>
        <v>0</v>
      </c>
      <c r="I199" s="84"/>
      <c r="J199" s="82">
        <f t="shared" si="63"/>
        <v>0</v>
      </c>
      <c r="K199" s="85">
        <f t="shared" si="64"/>
        <v>0</v>
      </c>
      <c r="L199" s="86"/>
      <c r="M199" s="100">
        <f t="shared" si="65"/>
        <v>0</v>
      </c>
      <c r="N199" s="100">
        <f t="shared" si="66"/>
        <v>0</v>
      </c>
      <c r="O199" s="95">
        <f t="shared" si="67"/>
        <v>0</v>
      </c>
      <c r="P199" s="98"/>
      <c r="Q199" s="97">
        <f t="shared" si="52"/>
        <v>0</v>
      </c>
      <c r="R199" s="97">
        <f t="shared" si="52"/>
        <v>0</v>
      </c>
      <c r="S199" s="99">
        <f t="shared" si="68"/>
        <v>0</v>
      </c>
      <c r="T199" s="98"/>
      <c r="U199" s="97">
        <f t="shared" si="54"/>
        <v>0</v>
      </c>
      <c r="V199" s="97">
        <f t="shared" si="54"/>
        <v>0</v>
      </c>
      <c r="W199" s="99">
        <f t="shared" si="69"/>
        <v>0</v>
      </c>
      <c r="X199" s="98"/>
      <c r="Y199" s="97">
        <f t="shared" si="70"/>
        <v>0</v>
      </c>
      <c r="Z199" s="97">
        <f t="shared" si="70"/>
        <v>0</v>
      </c>
      <c r="AA199" s="99">
        <f t="shared" si="71"/>
        <v>0</v>
      </c>
      <c r="AB199" s="96"/>
    </row>
    <row r="200" spans="1:28" ht="15" hidden="1">
      <c r="A200" s="80" t="s">
        <v>477</v>
      </c>
      <c r="B200" s="81"/>
      <c r="C200" s="82" t="e">
        <f>VLOOKUP(B200,'DATOS ASIGNACIÓN'!B:I,4,0)</f>
        <v>#N/A</v>
      </c>
      <c r="D200" s="82">
        <f>COUNTIFS('LISTADOS TFM'!D:D,Pagos!B200,'LISTADOS TFM'!S:S,"SÍ")</f>
        <v>0</v>
      </c>
      <c r="E200" s="82">
        <f>COUNTIF('LISTADOS TFM'!J:L,Pagos!B200)</f>
        <v>0</v>
      </c>
      <c r="F200" s="82" t="str">
        <f t="shared" si="62"/>
        <v>OK</v>
      </c>
      <c r="G200" s="83">
        <f t="shared" si="60"/>
        <v>0</v>
      </c>
      <c r="H200" s="83">
        <f t="shared" si="61"/>
        <v>0</v>
      </c>
      <c r="I200" s="84"/>
      <c r="J200" s="82">
        <f t="shared" si="63"/>
        <v>0</v>
      </c>
      <c r="K200" s="85">
        <f t="shared" si="64"/>
        <v>0</v>
      </c>
      <c r="L200" s="86"/>
      <c r="M200" s="100">
        <f t="shared" si="65"/>
        <v>0</v>
      </c>
      <c r="N200" s="100">
        <f t="shared" si="66"/>
        <v>0</v>
      </c>
      <c r="O200" s="95">
        <f t="shared" si="67"/>
        <v>0</v>
      </c>
      <c r="P200" s="98"/>
      <c r="Q200" s="97">
        <f t="shared" si="52"/>
        <v>0</v>
      </c>
      <c r="R200" s="97">
        <f t="shared" si="52"/>
        <v>0</v>
      </c>
      <c r="S200" s="99">
        <f t="shared" si="68"/>
        <v>0</v>
      </c>
      <c r="T200" s="98"/>
      <c r="U200" s="97">
        <f t="shared" si="54"/>
        <v>0</v>
      </c>
      <c r="V200" s="97">
        <f t="shared" si="54"/>
        <v>0</v>
      </c>
      <c r="W200" s="99">
        <f t="shared" si="69"/>
        <v>0</v>
      </c>
      <c r="X200" s="98"/>
      <c r="Y200" s="97">
        <f t="shared" si="70"/>
        <v>0</v>
      </c>
      <c r="Z200" s="97">
        <f t="shared" si="70"/>
        <v>0</v>
      </c>
      <c r="AA200" s="99">
        <f t="shared" si="71"/>
        <v>0</v>
      </c>
      <c r="AB200" s="96"/>
    </row>
    <row r="201" spans="1:28" hidden="1">
      <c r="L201" s="86"/>
    </row>
    <row r="202" spans="1:28" hidden="1">
      <c r="L202" s="86"/>
    </row>
    <row r="203" spans="1:28" hidden="1">
      <c r="L203" s="86"/>
    </row>
    <row r="204" spans="1:28" hidden="1">
      <c r="L204" s="86"/>
    </row>
    <row r="205" spans="1:28" hidden="1">
      <c r="L205" s="86"/>
    </row>
    <row r="206" spans="1:28" hidden="1">
      <c r="L206" s="86"/>
    </row>
    <row r="207" spans="1:28" hidden="1">
      <c r="L207" s="86"/>
    </row>
    <row r="208" spans="1:28" hidden="1">
      <c r="L208" s="86"/>
    </row>
    <row r="209" spans="12:12" hidden="1">
      <c r="L209" s="86"/>
    </row>
    <row r="210" spans="12:12" hidden="1">
      <c r="L210" s="86"/>
    </row>
    <row r="211" spans="12:12" hidden="1">
      <c r="L211" s="86"/>
    </row>
    <row r="212" spans="12:12" hidden="1">
      <c r="L212" s="86"/>
    </row>
    <row r="213" spans="12:12" hidden="1">
      <c r="L213" s="86"/>
    </row>
    <row r="214" spans="12:12" hidden="1">
      <c r="L214" s="86"/>
    </row>
    <row r="215" spans="12:12" hidden="1">
      <c r="L215" s="86"/>
    </row>
    <row r="216" spans="12:12" hidden="1">
      <c r="L216" s="86"/>
    </row>
    <row r="217" spans="12:12" hidden="1">
      <c r="L217" s="86"/>
    </row>
    <row r="218" spans="12:12" hidden="1">
      <c r="L218" s="86"/>
    </row>
    <row r="219" spans="12:12" hidden="1">
      <c r="L219" s="86"/>
    </row>
    <row r="220" spans="12:12" hidden="1">
      <c r="L220" s="86"/>
    </row>
    <row r="221" spans="12:12" hidden="1">
      <c r="L221" s="86"/>
    </row>
    <row r="222" spans="12:12" hidden="1">
      <c r="L222" s="86"/>
    </row>
    <row r="223" spans="12:12" hidden="1">
      <c r="L223" s="86"/>
    </row>
    <row r="224" spans="12:12" hidden="1">
      <c r="L224" s="86"/>
    </row>
    <row r="225" spans="12:12" hidden="1">
      <c r="L225" s="86"/>
    </row>
    <row r="226" spans="12:12" hidden="1">
      <c r="L226" s="86"/>
    </row>
    <row r="227" spans="12:12" hidden="1">
      <c r="L227" s="86"/>
    </row>
    <row r="228" spans="12:12" hidden="1">
      <c r="L228" s="86"/>
    </row>
    <row r="229" spans="12:12" hidden="1">
      <c r="L229" s="86"/>
    </row>
    <row r="230" spans="12:12" hidden="1">
      <c r="L230" s="86"/>
    </row>
    <row r="231" spans="12:12" hidden="1">
      <c r="L231" s="86"/>
    </row>
    <row r="232" spans="12:12" hidden="1">
      <c r="L232" s="86"/>
    </row>
    <row r="233" spans="12:12" hidden="1">
      <c r="L233" s="86"/>
    </row>
    <row r="234" spans="12:12" hidden="1">
      <c r="L234" s="86"/>
    </row>
    <row r="235" spans="12:12" hidden="1">
      <c r="L235" s="86"/>
    </row>
    <row r="236" spans="12:12" hidden="1">
      <c r="L236" s="86"/>
    </row>
    <row r="237" spans="12:12" hidden="1">
      <c r="L237" s="86"/>
    </row>
    <row r="238" spans="12:12" hidden="1">
      <c r="L238" s="86"/>
    </row>
    <row r="239" spans="12:12" hidden="1">
      <c r="L239" s="86"/>
    </row>
    <row r="240" spans="12:12" hidden="1">
      <c r="L240" s="86"/>
    </row>
    <row r="241" spans="12:12" hidden="1">
      <c r="L241" s="86"/>
    </row>
    <row r="242" spans="12:12" hidden="1">
      <c r="L242" s="86"/>
    </row>
    <row r="243" spans="12:12" hidden="1">
      <c r="L243" s="86"/>
    </row>
    <row r="244" spans="12:12" hidden="1">
      <c r="L244" s="86"/>
    </row>
    <row r="245" spans="12:12" hidden="1">
      <c r="L245" s="86"/>
    </row>
    <row r="246" spans="12:12" hidden="1">
      <c r="L246" s="86"/>
    </row>
    <row r="247" spans="12:12" hidden="1">
      <c r="L247" s="86"/>
    </row>
    <row r="248" spans="12:12" hidden="1">
      <c r="L248" s="86"/>
    </row>
    <row r="249" spans="12:12" hidden="1">
      <c r="L249" s="86"/>
    </row>
    <row r="250" spans="12:12" hidden="1">
      <c r="L250" s="86"/>
    </row>
    <row r="251" spans="12:12" hidden="1">
      <c r="L251" s="86"/>
    </row>
    <row r="252" spans="12:12" hidden="1">
      <c r="L252" s="86"/>
    </row>
    <row r="253" spans="12:12" hidden="1">
      <c r="L253" s="86"/>
    </row>
    <row r="254" spans="12:12" hidden="1">
      <c r="L254" s="86"/>
    </row>
    <row r="255" spans="12:12" hidden="1">
      <c r="L255" s="86"/>
    </row>
    <row r="256" spans="12:12" hidden="1">
      <c r="L256" s="86"/>
    </row>
    <row r="257" spans="12:12" hidden="1">
      <c r="L257" s="86"/>
    </row>
    <row r="258" spans="12:12" hidden="1">
      <c r="L258" s="86"/>
    </row>
    <row r="259" spans="12:12" hidden="1">
      <c r="L259" s="86"/>
    </row>
    <row r="260" spans="12:12" hidden="1">
      <c r="L260" s="86"/>
    </row>
    <row r="261" spans="12:12" hidden="1">
      <c r="L261" s="86"/>
    </row>
    <row r="262" spans="12:12" hidden="1">
      <c r="L262" s="86"/>
    </row>
    <row r="263" spans="12:12" hidden="1">
      <c r="L263" s="86"/>
    </row>
    <row r="264" spans="12:12" hidden="1">
      <c r="L264" s="86"/>
    </row>
    <row r="265" spans="12:12" hidden="1">
      <c r="L265" s="86"/>
    </row>
    <row r="266" spans="12:12" hidden="1">
      <c r="L266" s="86"/>
    </row>
    <row r="267" spans="12:12" hidden="1">
      <c r="L267" s="86"/>
    </row>
    <row r="268" spans="12:12" hidden="1">
      <c r="L268" s="86"/>
    </row>
    <row r="269" spans="12:12" hidden="1">
      <c r="L269" s="86"/>
    </row>
    <row r="270" spans="12:12">
      <c r="L270" s="86"/>
    </row>
    <row r="271" spans="12:12">
      <c r="L271" s="86"/>
    </row>
    <row r="272" spans="12:12">
      <c r="L272" s="86"/>
    </row>
    <row r="273" spans="12:16">
      <c r="L273" s="86"/>
    </row>
    <row r="274" spans="12:16">
      <c r="L274" s="86"/>
    </row>
    <row r="275" spans="12:16">
      <c r="L275" s="86"/>
    </row>
    <row r="276" spans="12:16">
      <c r="L276" s="86"/>
    </row>
    <row r="277" spans="12:16">
      <c r="L277" s="86"/>
    </row>
    <row r="278" spans="12:16">
      <c r="L278" s="86"/>
    </row>
    <row r="279" spans="12:16">
      <c r="L279" s="86"/>
    </row>
    <row r="280" spans="12:16">
      <c r="L280" s="86"/>
    </row>
    <row r="281" spans="12:16">
      <c r="L281" s="86"/>
    </row>
    <row r="282" spans="12:16">
      <c r="L282" s="86"/>
      <c r="M282" s="86"/>
      <c r="N282" s="86"/>
      <c r="O282" s="86"/>
      <c r="P282" s="86"/>
    </row>
    <row r="283" spans="12:16">
      <c r="L283" s="86"/>
      <c r="M283" s="86"/>
      <c r="N283" s="86"/>
      <c r="O283" s="86"/>
      <c r="P283" s="86"/>
    </row>
    <row r="284" spans="12:16">
      <c r="L284" s="86"/>
      <c r="M284" s="86"/>
      <c r="N284" s="86"/>
      <c r="O284" s="86"/>
      <c r="P284" s="86"/>
    </row>
    <row r="285" spans="12:16">
      <c r="L285" s="86"/>
      <c r="M285" s="86"/>
      <c r="N285" s="86"/>
      <c r="O285" s="86"/>
      <c r="P285" s="86"/>
    </row>
    <row r="286" spans="12:16">
      <c r="L286" s="86"/>
      <c r="M286" s="86"/>
      <c r="N286" s="86"/>
      <c r="O286" s="86"/>
      <c r="P286" s="86"/>
    </row>
    <row r="287" spans="12:16">
      <c r="L287" s="86"/>
      <c r="M287" s="86"/>
      <c r="N287" s="86"/>
      <c r="O287" s="86"/>
      <c r="P287" s="86"/>
    </row>
    <row r="288" spans="12:16">
      <c r="L288" s="86"/>
      <c r="M288" s="86"/>
      <c r="N288" s="86"/>
      <c r="O288" s="86"/>
      <c r="P288" s="86"/>
    </row>
    <row r="289" spans="12:16">
      <c r="L289" s="86"/>
      <c r="M289" s="86"/>
      <c r="N289" s="86"/>
      <c r="O289" s="86"/>
      <c r="P289" s="86"/>
    </row>
    <row r="290" spans="12:16">
      <c r="L290" s="86"/>
      <c r="M290" s="86"/>
      <c r="N290" s="86"/>
      <c r="O290" s="86"/>
      <c r="P290" s="86"/>
    </row>
    <row r="291" spans="12:16">
      <c r="L291" s="86"/>
      <c r="M291" s="86"/>
      <c r="N291" s="86"/>
      <c r="O291" s="86"/>
      <c r="P291" s="86"/>
    </row>
    <row r="292" spans="12:16">
      <c r="L292" s="86"/>
      <c r="M292" s="86"/>
      <c r="N292" s="86"/>
      <c r="O292" s="86"/>
      <c r="P292" s="86"/>
    </row>
    <row r="293" spans="12:16">
      <c r="L293" s="86"/>
      <c r="M293" s="86"/>
      <c r="N293" s="86"/>
      <c r="O293" s="86"/>
      <c r="P293" s="86"/>
    </row>
    <row r="294" spans="12:16">
      <c r="L294" s="86"/>
      <c r="M294" s="86"/>
      <c r="N294" s="86"/>
      <c r="O294" s="86"/>
      <c r="P294" s="86"/>
    </row>
    <row r="295" spans="12:16">
      <c r="L295" s="86"/>
      <c r="M295" s="86"/>
      <c r="N295" s="86"/>
      <c r="O295" s="86"/>
      <c r="P295" s="86"/>
    </row>
    <row r="296" spans="12:16">
      <c r="L296" s="86"/>
      <c r="M296" s="86"/>
      <c r="N296" s="86"/>
      <c r="O296" s="86"/>
      <c r="P296" s="86"/>
    </row>
    <row r="297" spans="12:16">
      <c r="L297" s="86"/>
      <c r="M297" s="86"/>
      <c r="N297" s="86"/>
      <c r="O297" s="86"/>
      <c r="P297" s="86"/>
    </row>
    <row r="298" spans="12:16">
      <c r="L298" s="86"/>
      <c r="M298" s="86"/>
      <c r="N298" s="86"/>
      <c r="O298" s="86"/>
      <c r="P298" s="86"/>
    </row>
    <row r="299" spans="12:16">
      <c r="L299" s="86"/>
      <c r="M299" s="86"/>
      <c r="N299" s="86"/>
      <c r="O299" s="86"/>
      <c r="P299" s="86"/>
    </row>
    <row r="300" spans="12:16">
      <c r="L300" s="86"/>
      <c r="M300" s="86"/>
      <c r="N300" s="86"/>
      <c r="O300" s="86"/>
      <c r="P300" s="86"/>
    </row>
    <row r="301" spans="12:16">
      <c r="L301" s="86"/>
      <c r="M301" s="86"/>
      <c r="N301" s="86"/>
      <c r="O301" s="86"/>
      <c r="P301" s="86"/>
    </row>
    <row r="302" spans="12:16">
      <c r="L302" s="86"/>
      <c r="M302" s="86"/>
      <c r="N302" s="86"/>
      <c r="O302" s="86"/>
      <c r="P302" s="86"/>
    </row>
    <row r="303" spans="12:16">
      <c r="L303" s="86"/>
      <c r="M303" s="86"/>
      <c r="N303" s="86"/>
      <c r="O303" s="86"/>
      <c r="P303" s="86"/>
    </row>
    <row r="304" spans="12:16">
      <c r="L304" s="86"/>
      <c r="M304" s="86"/>
      <c r="N304" s="86"/>
      <c r="O304" s="86"/>
      <c r="P304" s="86"/>
    </row>
    <row r="305" spans="12:16">
      <c r="L305" s="86"/>
      <c r="M305" s="86"/>
      <c r="N305" s="86"/>
      <c r="O305" s="86"/>
      <c r="P305" s="86"/>
    </row>
    <row r="306" spans="12:16">
      <c r="L306" s="86"/>
      <c r="M306" s="86"/>
      <c r="N306" s="86"/>
      <c r="O306" s="86"/>
      <c r="P306" s="86"/>
    </row>
    <row r="307" spans="12:16">
      <c r="L307" s="86"/>
      <c r="M307" s="86"/>
      <c r="N307" s="86"/>
      <c r="O307" s="86"/>
      <c r="P307" s="86"/>
    </row>
    <row r="308" spans="12:16">
      <c r="L308" s="86"/>
      <c r="M308" s="86"/>
      <c r="N308" s="86"/>
      <c r="O308" s="86"/>
      <c r="P308" s="86"/>
    </row>
    <row r="309" spans="12:16">
      <c r="L309" s="86"/>
      <c r="M309" s="86"/>
      <c r="N309" s="86"/>
      <c r="O309" s="86"/>
      <c r="P309" s="86"/>
    </row>
    <row r="310" spans="12:16">
      <c r="L310" s="86"/>
      <c r="M310" s="86"/>
      <c r="N310" s="86"/>
      <c r="O310" s="86"/>
      <c r="P310" s="86"/>
    </row>
    <row r="311" spans="12:16">
      <c r="L311" s="86"/>
      <c r="M311" s="86"/>
      <c r="N311" s="86"/>
      <c r="O311" s="86"/>
      <c r="P311" s="86"/>
    </row>
    <row r="312" spans="12:16">
      <c r="L312" s="86"/>
      <c r="M312" s="86"/>
      <c r="N312" s="86"/>
      <c r="O312" s="86"/>
      <c r="P312" s="86"/>
    </row>
    <row r="313" spans="12:16">
      <c r="L313" s="86"/>
      <c r="M313" s="86"/>
      <c r="N313" s="86"/>
      <c r="O313" s="86"/>
      <c r="P313" s="86"/>
    </row>
    <row r="314" spans="12:16">
      <c r="L314" s="86"/>
      <c r="M314" s="86"/>
      <c r="N314" s="86"/>
      <c r="O314" s="86"/>
      <c r="P314" s="86"/>
    </row>
    <row r="315" spans="12:16">
      <c r="L315" s="86"/>
      <c r="M315" s="86"/>
      <c r="N315" s="86"/>
      <c r="O315" s="86"/>
      <c r="P315" s="86"/>
    </row>
    <row r="316" spans="12:16">
      <c r="L316" s="86"/>
      <c r="M316" s="86"/>
      <c r="N316" s="86"/>
      <c r="O316" s="86"/>
      <c r="P316" s="86"/>
    </row>
    <row r="317" spans="12:16">
      <c r="L317" s="86"/>
      <c r="M317" s="86"/>
      <c r="N317" s="86"/>
      <c r="O317" s="86"/>
      <c r="P317" s="86"/>
    </row>
    <row r="318" spans="12:16">
      <c r="L318" s="86"/>
      <c r="M318" s="86"/>
      <c r="N318" s="86"/>
      <c r="O318" s="86"/>
      <c r="P318" s="86"/>
    </row>
    <row r="319" spans="12:16">
      <c r="L319" s="86"/>
      <c r="M319" s="86"/>
      <c r="N319" s="86"/>
      <c r="O319" s="86"/>
      <c r="P319" s="86"/>
    </row>
    <row r="320" spans="12:16">
      <c r="L320" s="86"/>
      <c r="M320" s="86"/>
      <c r="N320" s="86"/>
      <c r="O320" s="86"/>
      <c r="P320" s="86"/>
    </row>
    <row r="321" spans="12:16">
      <c r="L321" s="86"/>
      <c r="M321" s="86"/>
      <c r="N321" s="86"/>
      <c r="O321" s="86"/>
      <c r="P321" s="86"/>
    </row>
    <row r="322" spans="12:16">
      <c r="L322" s="86"/>
      <c r="M322" s="86"/>
      <c r="N322" s="86"/>
      <c r="O322" s="86"/>
      <c r="P322" s="86"/>
    </row>
    <row r="323" spans="12:16">
      <c r="L323" s="86"/>
      <c r="M323" s="86"/>
      <c r="N323" s="86"/>
      <c r="O323" s="86"/>
      <c r="P323" s="86"/>
    </row>
    <row r="324" spans="12:16">
      <c r="L324" s="86"/>
      <c r="M324" s="86"/>
      <c r="N324" s="86"/>
      <c r="O324" s="86"/>
      <c r="P324" s="86"/>
    </row>
    <row r="325" spans="12:16">
      <c r="L325" s="86"/>
      <c r="M325" s="86"/>
      <c r="N325" s="86"/>
      <c r="O325" s="86"/>
      <c r="P325" s="86"/>
    </row>
    <row r="326" spans="12:16">
      <c r="L326" s="86"/>
      <c r="M326" s="86"/>
      <c r="N326" s="86"/>
      <c r="O326" s="86"/>
      <c r="P326" s="86"/>
    </row>
    <row r="327" spans="12:16">
      <c r="L327" s="86"/>
      <c r="M327" s="86"/>
      <c r="N327" s="86"/>
      <c r="O327" s="86"/>
      <c r="P327" s="86"/>
    </row>
    <row r="328" spans="12:16">
      <c r="L328" s="86"/>
      <c r="M328" s="86"/>
      <c r="N328" s="86"/>
      <c r="O328" s="86"/>
      <c r="P328" s="86"/>
    </row>
    <row r="329" spans="12:16">
      <c r="L329" s="86"/>
      <c r="M329" s="86"/>
      <c r="N329" s="86"/>
      <c r="O329" s="86"/>
      <c r="P329" s="86"/>
    </row>
    <row r="330" spans="12:16">
      <c r="L330" s="86"/>
      <c r="M330" s="86"/>
      <c r="N330" s="86"/>
      <c r="O330" s="86"/>
      <c r="P330" s="86"/>
    </row>
    <row r="331" spans="12:16">
      <c r="L331" s="86"/>
      <c r="M331" s="86"/>
      <c r="N331" s="86"/>
      <c r="O331" s="86"/>
      <c r="P331" s="86"/>
    </row>
    <row r="332" spans="12:16">
      <c r="L332" s="86"/>
      <c r="M332" s="86"/>
      <c r="N332" s="86"/>
      <c r="O332" s="86"/>
      <c r="P332" s="86"/>
    </row>
    <row r="333" spans="12:16">
      <c r="L333" s="86"/>
      <c r="M333" s="86"/>
      <c r="N333" s="86"/>
      <c r="O333" s="86"/>
      <c r="P333" s="86"/>
    </row>
    <row r="334" spans="12:16">
      <c r="L334" s="86"/>
      <c r="M334" s="86"/>
      <c r="N334" s="86"/>
      <c r="O334" s="86"/>
      <c r="P334" s="86"/>
    </row>
    <row r="335" spans="12:16">
      <c r="L335" s="86"/>
      <c r="M335" s="86"/>
      <c r="N335" s="86"/>
      <c r="O335" s="86"/>
      <c r="P335" s="86"/>
    </row>
    <row r="336" spans="12:16">
      <c r="L336" s="86"/>
      <c r="M336" s="86"/>
      <c r="N336" s="86"/>
      <c r="O336" s="86"/>
      <c r="P336" s="86"/>
    </row>
    <row r="337" spans="12:16">
      <c r="L337" s="86"/>
      <c r="M337" s="86"/>
      <c r="N337" s="86"/>
      <c r="O337" s="86"/>
      <c r="P337" s="86"/>
    </row>
    <row r="338" spans="12:16">
      <c r="L338" s="86"/>
      <c r="M338" s="86"/>
      <c r="N338" s="86"/>
      <c r="O338" s="86"/>
      <c r="P338" s="86"/>
    </row>
    <row r="339" spans="12:16">
      <c r="L339" s="86"/>
      <c r="M339" s="86"/>
      <c r="N339" s="86"/>
      <c r="O339" s="86"/>
      <c r="P339" s="86"/>
    </row>
    <row r="340" spans="12:16">
      <c r="L340" s="86"/>
      <c r="M340" s="86"/>
      <c r="N340" s="86"/>
      <c r="O340" s="86"/>
      <c r="P340" s="86"/>
    </row>
    <row r="341" spans="12:16">
      <c r="L341" s="86"/>
      <c r="M341" s="86"/>
      <c r="N341" s="86"/>
      <c r="O341" s="86"/>
      <c r="P341" s="86"/>
    </row>
    <row r="342" spans="12:16">
      <c r="L342" s="86"/>
      <c r="M342" s="86"/>
      <c r="N342" s="86"/>
      <c r="O342" s="86"/>
      <c r="P342" s="86"/>
    </row>
    <row r="343" spans="12:16">
      <c r="L343" s="86"/>
      <c r="M343" s="86"/>
      <c r="N343" s="86"/>
      <c r="O343" s="86"/>
      <c r="P343" s="86"/>
    </row>
    <row r="344" spans="12:16">
      <c r="L344" s="86"/>
      <c r="M344" s="86"/>
      <c r="N344" s="86"/>
      <c r="O344" s="86"/>
      <c r="P344" s="86"/>
    </row>
    <row r="345" spans="12:16">
      <c r="L345" s="86"/>
      <c r="M345" s="86"/>
      <c r="N345" s="86"/>
      <c r="O345" s="86"/>
      <c r="P345" s="86"/>
    </row>
    <row r="346" spans="12:16">
      <c r="L346" s="86"/>
      <c r="M346" s="86"/>
      <c r="N346" s="86"/>
      <c r="O346" s="86"/>
      <c r="P346" s="86"/>
    </row>
    <row r="347" spans="12:16">
      <c r="L347" s="86"/>
      <c r="M347" s="86"/>
      <c r="N347" s="86"/>
      <c r="O347" s="86"/>
      <c r="P347" s="86"/>
    </row>
    <row r="348" spans="12:16">
      <c r="L348" s="86"/>
      <c r="M348" s="86"/>
      <c r="N348" s="86"/>
      <c r="O348" s="86"/>
      <c r="P348" s="86"/>
    </row>
    <row r="349" spans="12:16">
      <c r="L349" s="86"/>
      <c r="M349" s="86"/>
      <c r="N349" s="86"/>
      <c r="O349" s="86"/>
      <c r="P349" s="86"/>
    </row>
    <row r="350" spans="12:16">
      <c r="L350" s="86"/>
      <c r="M350" s="86"/>
      <c r="N350" s="86"/>
      <c r="O350" s="86"/>
      <c r="P350" s="86"/>
    </row>
    <row r="351" spans="12:16">
      <c r="L351" s="86"/>
      <c r="M351" s="86"/>
      <c r="N351" s="86"/>
      <c r="O351" s="86"/>
      <c r="P351" s="86"/>
    </row>
    <row r="352" spans="12:16">
      <c r="L352" s="86"/>
      <c r="M352" s="86"/>
      <c r="N352" s="86"/>
      <c r="O352" s="86"/>
      <c r="P352" s="86"/>
    </row>
    <row r="353" spans="12:16">
      <c r="L353" s="86"/>
      <c r="M353" s="86"/>
      <c r="N353" s="86"/>
      <c r="O353" s="86"/>
      <c r="P353" s="86"/>
    </row>
    <row r="354" spans="12:16">
      <c r="L354" s="86"/>
      <c r="M354" s="86"/>
      <c r="N354" s="86"/>
      <c r="O354" s="86"/>
      <c r="P354" s="86"/>
    </row>
    <row r="355" spans="12:16">
      <c r="L355" s="86"/>
      <c r="M355" s="86"/>
      <c r="N355" s="86"/>
      <c r="O355" s="86"/>
      <c r="P355" s="86"/>
    </row>
    <row r="356" spans="12:16">
      <c r="L356" s="86"/>
      <c r="M356" s="86"/>
      <c r="N356" s="86"/>
      <c r="O356" s="86"/>
      <c r="P356" s="86"/>
    </row>
    <row r="357" spans="12:16">
      <c r="L357" s="86"/>
      <c r="M357" s="86"/>
      <c r="N357" s="86"/>
      <c r="O357" s="86"/>
      <c r="P357" s="86"/>
    </row>
    <row r="358" spans="12:16">
      <c r="L358" s="86"/>
      <c r="M358" s="86"/>
      <c r="N358" s="86"/>
      <c r="O358" s="86"/>
      <c r="P358" s="86"/>
    </row>
    <row r="359" spans="12:16">
      <c r="L359" s="86"/>
      <c r="M359" s="86"/>
      <c r="N359" s="86"/>
      <c r="O359" s="86"/>
      <c r="P359" s="86"/>
    </row>
    <row r="360" spans="12:16">
      <c r="L360" s="86"/>
      <c r="M360" s="86"/>
      <c r="N360" s="86"/>
      <c r="O360" s="86"/>
      <c r="P360" s="86"/>
    </row>
    <row r="361" spans="12:16">
      <c r="L361" s="86"/>
      <c r="M361" s="86"/>
      <c r="N361" s="86"/>
      <c r="O361" s="86"/>
      <c r="P361" s="86"/>
    </row>
    <row r="362" spans="12:16">
      <c r="L362" s="86"/>
      <c r="M362" s="86"/>
      <c r="N362" s="86"/>
      <c r="O362" s="86"/>
      <c r="P362" s="86"/>
    </row>
    <row r="363" spans="12:16">
      <c r="L363" s="86"/>
      <c r="M363" s="86"/>
      <c r="N363" s="86"/>
      <c r="O363" s="86"/>
      <c r="P363" s="86"/>
    </row>
    <row r="364" spans="12:16">
      <c r="L364" s="86"/>
      <c r="M364" s="86"/>
      <c r="N364" s="86"/>
      <c r="O364" s="86"/>
      <c r="P364" s="86"/>
    </row>
    <row r="365" spans="12:16">
      <c r="L365" s="86"/>
      <c r="M365" s="86"/>
      <c r="N365" s="86"/>
      <c r="O365" s="86"/>
      <c r="P365" s="86"/>
    </row>
    <row r="366" spans="12:16">
      <c r="L366" s="86"/>
      <c r="M366" s="86"/>
      <c r="N366" s="86"/>
      <c r="O366" s="86"/>
      <c r="P366" s="86"/>
    </row>
    <row r="367" spans="12:16">
      <c r="L367" s="86"/>
      <c r="M367" s="86"/>
      <c r="N367" s="86"/>
      <c r="O367" s="86"/>
      <c r="P367" s="86"/>
    </row>
    <row r="368" spans="12:16">
      <c r="L368" s="86"/>
      <c r="M368" s="86"/>
      <c r="N368" s="86"/>
      <c r="O368" s="86"/>
      <c r="P368" s="86"/>
    </row>
    <row r="369" spans="12:16">
      <c r="L369" s="86"/>
      <c r="M369" s="86"/>
      <c r="N369" s="86"/>
      <c r="O369" s="86"/>
      <c r="P369" s="86"/>
    </row>
    <row r="370" spans="12:16">
      <c r="L370" s="86"/>
      <c r="M370" s="86"/>
      <c r="N370" s="86"/>
      <c r="O370" s="86"/>
      <c r="P370" s="86"/>
    </row>
    <row r="371" spans="12:16">
      <c r="L371" s="86"/>
      <c r="M371" s="86"/>
      <c r="N371" s="86"/>
      <c r="O371" s="86"/>
      <c r="P371" s="86"/>
    </row>
    <row r="372" spans="12:16">
      <c r="L372" s="86"/>
      <c r="M372" s="86"/>
      <c r="N372" s="86"/>
      <c r="O372" s="86"/>
      <c r="P372" s="86"/>
    </row>
    <row r="373" spans="12:16">
      <c r="L373" s="86"/>
      <c r="M373" s="86"/>
      <c r="N373" s="86"/>
      <c r="O373" s="86"/>
      <c r="P373" s="86"/>
    </row>
    <row r="374" spans="12:16">
      <c r="L374" s="86"/>
      <c r="M374" s="86"/>
      <c r="N374" s="86"/>
      <c r="O374" s="86"/>
      <c r="P374" s="86"/>
    </row>
    <row r="375" spans="12:16">
      <c r="L375" s="86"/>
      <c r="M375" s="86"/>
      <c r="N375" s="86"/>
      <c r="O375" s="86"/>
      <c r="P375" s="86"/>
    </row>
    <row r="376" spans="12:16">
      <c r="L376" s="86"/>
      <c r="M376" s="86"/>
      <c r="N376" s="86"/>
      <c r="O376" s="86"/>
      <c r="P376" s="86"/>
    </row>
    <row r="377" spans="12:16">
      <c r="L377" s="86"/>
      <c r="M377" s="86"/>
      <c r="N377" s="86"/>
      <c r="O377" s="86"/>
      <c r="P377" s="86"/>
    </row>
    <row r="378" spans="12:16">
      <c r="L378" s="86"/>
      <c r="M378" s="86"/>
      <c r="N378" s="86"/>
      <c r="O378" s="86"/>
      <c r="P378" s="86"/>
    </row>
    <row r="379" spans="12:16">
      <c r="L379" s="86"/>
      <c r="M379" s="86"/>
      <c r="N379" s="86"/>
      <c r="O379" s="86"/>
      <c r="P379" s="86"/>
    </row>
    <row r="380" spans="12:16">
      <c r="L380" s="86"/>
      <c r="M380" s="86"/>
      <c r="N380" s="86"/>
      <c r="O380" s="86"/>
      <c r="P380" s="86"/>
    </row>
    <row r="381" spans="12:16">
      <c r="L381" s="86"/>
      <c r="M381" s="86"/>
      <c r="N381" s="86"/>
      <c r="O381" s="86"/>
      <c r="P381" s="86"/>
    </row>
    <row r="382" spans="12:16">
      <c r="L382" s="86"/>
      <c r="M382" s="86"/>
      <c r="N382" s="86"/>
      <c r="O382" s="86"/>
      <c r="P382" s="86"/>
    </row>
    <row r="383" spans="12:16">
      <c r="L383" s="86"/>
      <c r="M383" s="86"/>
      <c r="N383" s="86"/>
      <c r="O383" s="86"/>
      <c r="P383" s="86"/>
    </row>
    <row r="384" spans="12:16">
      <c r="L384" s="86"/>
      <c r="M384" s="86"/>
      <c r="N384" s="86"/>
      <c r="O384" s="86"/>
      <c r="P384" s="86"/>
    </row>
    <row r="385" spans="12:16">
      <c r="L385" s="86"/>
      <c r="M385" s="86"/>
      <c r="N385" s="86"/>
      <c r="O385" s="86"/>
      <c r="P385" s="86"/>
    </row>
    <row r="386" spans="12:16">
      <c r="L386" s="86"/>
      <c r="M386" s="86"/>
      <c r="N386" s="86"/>
      <c r="O386" s="86"/>
      <c r="P386" s="86"/>
    </row>
    <row r="387" spans="12:16">
      <c r="L387" s="86"/>
      <c r="M387" s="86"/>
      <c r="N387" s="86"/>
      <c r="O387" s="86"/>
      <c r="P387" s="86"/>
    </row>
    <row r="388" spans="12:16">
      <c r="L388" s="86"/>
      <c r="M388" s="86"/>
      <c r="N388" s="86"/>
      <c r="O388" s="86"/>
      <c r="P388" s="86"/>
    </row>
    <row r="389" spans="12:16">
      <c r="L389" s="86"/>
      <c r="M389" s="86"/>
      <c r="N389" s="86"/>
      <c r="O389" s="86"/>
      <c r="P389" s="86"/>
    </row>
    <row r="390" spans="12:16">
      <c r="L390" s="86"/>
      <c r="M390" s="86"/>
      <c r="N390" s="86"/>
      <c r="O390" s="86"/>
      <c r="P390" s="86"/>
    </row>
    <row r="391" spans="12:16">
      <c r="L391" s="86"/>
      <c r="M391" s="86"/>
      <c r="N391" s="86"/>
      <c r="O391" s="86"/>
      <c r="P391" s="86"/>
    </row>
    <row r="392" spans="12:16">
      <c r="L392" s="86"/>
      <c r="M392" s="86"/>
      <c r="N392" s="86"/>
      <c r="O392" s="86"/>
      <c r="P392" s="86"/>
    </row>
    <row r="393" spans="12:16">
      <c r="L393" s="86"/>
      <c r="M393" s="86"/>
      <c r="N393" s="86"/>
      <c r="O393" s="86"/>
      <c r="P393" s="86"/>
    </row>
    <row r="394" spans="12:16">
      <c r="L394" s="86"/>
      <c r="M394" s="86"/>
      <c r="N394" s="86"/>
      <c r="O394" s="86"/>
      <c r="P394" s="86"/>
    </row>
    <row r="395" spans="12:16">
      <c r="L395" s="86"/>
      <c r="M395" s="86"/>
      <c r="N395" s="86"/>
      <c r="O395" s="86"/>
      <c r="P395" s="86"/>
    </row>
    <row r="396" spans="12:16">
      <c r="L396" s="86"/>
      <c r="M396" s="86"/>
      <c r="N396" s="86"/>
      <c r="O396" s="86"/>
      <c r="P396" s="86"/>
    </row>
    <row r="397" spans="12:16">
      <c r="L397" s="86"/>
      <c r="M397" s="86"/>
      <c r="N397" s="86"/>
      <c r="O397" s="86"/>
      <c r="P397" s="86"/>
    </row>
    <row r="398" spans="12:16">
      <c r="L398" s="86"/>
      <c r="M398" s="86"/>
      <c r="N398" s="86"/>
      <c r="O398" s="86"/>
      <c r="P398" s="86"/>
    </row>
    <row r="399" spans="12:16">
      <c r="L399" s="86"/>
      <c r="M399" s="86"/>
      <c r="N399" s="86"/>
      <c r="O399" s="86"/>
      <c r="P399" s="86"/>
    </row>
    <row r="400" spans="12:16">
      <c r="L400" s="86"/>
      <c r="M400" s="86"/>
      <c r="N400" s="86"/>
      <c r="O400" s="86"/>
      <c r="P400" s="86"/>
    </row>
    <row r="401" spans="12:16">
      <c r="L401" s="86"/>
      <c r="M401" s="86"/>
      <c r="N401" s="86"/>
      <c r="O401" s="86"/>
      <c r="P401" s="86"/>
    </row>
    <row r="402" spans="12:16">
      <c r="L402" s="86"/>
      <c r="M402" s="86"/>
      <c r="N402" s="86"/>
      <c r="O402" s="86"/>
      <c r="P402" s="86"/>
    </row>
    <row r="403" spans="12:16">
      <c r="L403" s="86"/>
      <c r="M403" s="86"/>
      <c r="N403" s="86"/>
      <c r="O403" s="86"/>
      <c r="P403" s="86"/>
    </row>
    <row r="404" spans="12:16">
      <c r="L404" s="86"/>
      <c r="M404" s="86"/>
      <c r="N404" s="86"/>
      <c r="O404" s="86"/>
      <c r="P404" s="86"/>
    </row>
    <row r="405" spans="12:16">
      <c r="L405" s="86"/>
      <c r="M405" s="86"/>
      <c r="N405" s="86"/>
      <c r="O405" s="86"/>
      <c r="P405" s="86"/>
    </row>
    <row r="406" spans="12:16">
      <c r="L406" s="86"/>
      <c r="M406" s="86"/>
      <c r="N406" s="86"/>
      <c r="O406" s="86"/>
      <c r="P406" s="86"/>
    </row>
    <row r="407" spans="12:16">
      <c r="L407" s="86"/>
      <c r="M407" s="86"/>
      <c r="N407" s="86"/>
      <c r="O407" s="86"/>
      <c r="P407" s="86"/>
    </row>
    <row r="408" spans="12:16">
      <c r="L408" s="86"/>
      <c r="M408" s="86"/>
      <c r="N408" s="86"/>
      <c r="O408" s="86"/>
      <c r="P408" s="86"/>
    </row>
    <row r="409" spans="12:16">
      <c r="L409" s="86"/>
      <c r="M409" s="86"/>
      <c r="N409" s="86"/>
      <c r="O409" s="86"/>
      <c r="P409" s="86"/>
    </row>
    <row r="410" spans="12:16">
      <c r="L410" s="86"/>
      <c r="M410" s="86"/>
      <c r="N410" s="86"/>
      <c r="O410" s="86"/>
      <c r="P410" s="86"/>
    </row>
    <row r="411" spans="12:16">
      <c r="L411" s="86"/>
      <c r="M411" s="86"/>
      <c r="N411" s="86"/>
      <c r="O411" s="86"/>
      <c r="P411" s="86"/>
    </row>
    <row r="412" spans="12:16">
      <c r="L412" s="86"/>
      <c r="M412" s="86"/>
      <c r="N412" s="86"/>
      <c r="O412" s="86"/>
      <c r="P412" s="86"/>
    </row>
    <row r="413" spans="12:16">
      <c r="L413" s="86"/>
      <c r="M413" s="86"/>
      <c r="N413" s="86"/>
      <c r="O413" s="86"/>
      <c r="P413" s="86"/>
    </row>
    <row r="414" spans="12:16">
      <c r="L414" s="86"/>
      <c r="M414" s="86"/>
      <c r="N414" s="86"/>
      <c r="O414" s="86"/>
      <c r="P414" s="86"/>
    </row>
    <row r="415" spans="12:16">
      <c r="L415" s="86"/>
      <c r="M415" s="86"/>
      <c r="N415" s="86"/>
      <c r="O415" s="86"/>
      <c r="P415" s="86"/>
    </row>
    <row r="416" spans="12:16">
      <c r="L416" s="86"/>
      <c r="M416" s="86"/>
      <c r="N416" s="86"/>
      <c r="O416" s="86"/>
      <c r="P416" s="86"/>
    </row>
    <row r="417" spans="12:16">
      <c r="L417" s="86"/>
      <c r="M417" s="86"/>
      <c r="N417" s="86"/>
      <c r="O417" s="86"/>
      <c r="P417" s="86"/>
    </row>
    <row r="418" spans="12:16">
      <c r="L418" s="86"/>
      <c r="M418" s="86"/>
      <c r="N418" s="86"/>
      <c r="O418" s="86"/>
      <c r="P418" s="86"/>
    </row>
    <row r="419" spans="12:16">
      <c r="L419" s="86"/>
      <c r="M419" s="86"/>
      <c r="N419" s="86"/>
      <c r="O419" s="86"/>
      <c r="P419" s="86"/>
    </row>
    <row r="420" spans="12:16">
      <c r="L420" s="86"/>
      <c r="M420" s="86"/>
      <c r="N420" s="86"/>
      <c r="O420" s="86"/>
      <c r="P420" s="86"/>
    </row>
    <row r="421" spans="12:16">
      <c r="L421" s="86"/>
      <c r="M421" s="86"/>
      <c r="N421" s="86"/>
      <c r="O421" s="86"/>
      <c r="P421" s="86"/>
    </row>
    <row r="422" spans="12:16">
      <c r="L422" s="86"/>
      <c r="M422" s="86"/>
      <c r="N422" s="86"/>
      <c r="O422" s="86"/>
      <c r="P422" s="86"/>
    </row>
    <row r="423" spans="12:16">
      <c r="L423" s="86"/>
      <c r="M423" s="86"/>
      <c r="N423" s="86"/>
      <c r="O423" s="86"/>
      <c r="P423" s="86"/>
    </row>
    <row r="424" spans="12:16">
      <c r="L424" s="86"/>
      <c r="M424" s="86"/>
      <c r="N424" s="86"/>
      <c r="O424" s="86"/>
      <c r="P424" s="86"/>
    </row>
    <row r="425" spans="12:16">
      <c r="L425" s="86"/>
      <c r="M425" s="86"/>
      <c r="N425" s="86"/>
      <c r="O425" s="86"/>
      <c r="P425" s="86"/>
    </row>
    <row r="426" spans="12:16">
      <c r="L426" s="86"/>
      <c r="M426" s="86"/>
      <c r="N426" s="86"/>
      <c r="O426" s="86"/>
      <c r="P426" s="86"/>
    </row>
    <row r="427" spans="12:16">
      <c r="L427" s="86"/>
      <c r="M427" s="86"/>
      <c r="N427" s="86"/>
      <c r="O427" s="86"/>
      <c r="P427" s="86"/>
    </row>
    <row r="428" spans="12:16">
      <c r="L428" s="86"/>
      <c r="M428" s="86"/>
      <c r="N428" s="86"/>
      <c r="O428" s="86"/>
      <c r="P428" s="86"/>
    </row>
    <row r="429" spans="12:16">
      <c r="L429" s="86"/>
      <c r="M429" s="86"/>
      <c r="N429" s="86"/>
      <c r="O429" s="86"/>
      <c r="P429" s="86"/>
    </row>
    <row r="430" spans="12:16">
      <c r="L430" s="86"/>
      <c r="M430" s="86"/>
      <c r="N430" s="86"/>
      <c r="O430" s="86"/>
      <c r="P430" s="86"/>
    </row>
    <row r="431" spans="12:16">
      <c r="L431" s="86"/>
      <c r="M431" s="86"/>
      <c r="N431" s="86"/>
      <c r="O431" s="86"/>
      <c r="P431" s="86"/>
    </row>
    <row r="432" spans="12:16">
      <c r="L432" s="86"/>
      <c r="M432" s="86"/>
      <c r="N432" s="86"/>
      <c r="O432" s="86"/>
      <c r="P432" s="86"/>
    </row>
    <row r="433" spans="12:16">
      <c r="L433" s="86"/>
      <c r="M433" s="86"/>
      <c r="N433" s="86"/>
      <c r="O433" s="86"/>
      <c r="P433" s="86"/>
    </row>
    <row r="434" spans="12:16">
      <c r="L434" s="86"/>
      <c r="M434" s="86"/>
      <c r="N434" s="86"/>
      <c r="O434" s="86"/>
      <c r="P434" s="86"/>
    </row>
    <row r="435" spans="12:16">
      <c r="L435" s="86"/>
      <c r="M435" s="86"/>
      <c r="N435" s="86"/>
      <c r="O435" s="86"/>
      <c r="P435" s="86"/>
    </row>
    <row r="436" spans="12:16">
      <c r="L436" s="86"/>
      <c r="M436" s="86"/>
      <c r="N436" s="86"/>
      <c r="O436" s="86"/>
      <c r="P436" s="86"/>
    </row>
    <row r="437" spans="12:16">
      <c r="L437" s="86"/>
      <c r="M437" s="86"/>
      <c r="N437" s="86"/>
      <c r="O437" s="86"/>
      <c r="P437" s="86"/>
    </row>
    <row r="438" spans="12:16">
      <c r="L438" s="86"/>
      <c r="M438" s="86"/>
      <c r="N438" s="86"/>
      <c r="O438" s="86"/>
      <c r="P438" s="86"/>
    </row>
    <row r="439" spans="12:16">
      <c r="L439" s="86"/>
      <c r="M439" s="86"/>
      <c r="N439" s="86"/>
      <c r="O439" s="86"/>
      <c r="P439" s="86"/>
    </row>
    <row r="440" spans="12:16">
      <c r="L440" s="86"/>
      <c r="M440" s="86"/>
      <c r="N440" s="86"/>
      <c r="O440" s="86"/>
      <c r="P440" s="86"/>
    </row>
    <row r="441" spans="12:16">
      <c r="L441" s="86"/>
      <c r="M441" s="86"/>
      <c r="N441" s="86"/>
      <c r="O441" s="86"/>
      <c r="P441" s="86"/>
    </row>
    <row r="442" spans="12:16">
      <c r="L442" s="86"/>
      <c r="M442" s="86"/>
      <c r="N442" s="86"/>
      <c r="O442" s="86"/>
      <c r="P442" s="86"/>
    </row>
    <row r="443" spans="12:16">
      <c r="L443" s="86"/>
      <c r="M443" s="86"/>
      <c r="N443" s="86"/>
      <c r="O443" s="86"/>
      <c r="P443" s="86"/>
    </row>
    <row r="444" spans="12:16">
      <c r="L444" s="86"/>
      <c r="M444" s="86"/>
      <c r="N444" s="86"/>
      <c r="O444" s="86"/>
      <c r="P444" s="86"/>
    </row>
    <row r="445" spans="12:16">
      <c r="L445" s="86"/>
      <c r="M445" s="86"/>
      <c r="N445" s="86"/>
      <c r="O445" s="86"/>
      <c r="P445" s="86"/>
    </row>
    <row r="446" spans="12:16">
      <c r="L446" s="86"/>
      <c r="M446" s="86"/>
      <c r="N446" s="86"/>
      <c r="O446" s="86"/>
      <c r="P446" s="86"/>
    </row>
    <row r="447" spans="12:16">
      <c r="L447" s="86"/>
      <c r="M447" s="86"/>
      <c r="N447" s="86"/>
      <c r="O447" s="86"/>
      <c r="P447" s="86"/>
    </row>
    <row r="448" spans="12:16">
      <c r="L448" s="86"/>
      <c r="M448" s="86"/>
      <c r="N448" s="86"/>
      <c r="O448" s="86"/>
      <c r="P448" s="86"/>
    </row>
    <row r="449" spans="12:16">
      <c r="L449" s="86"/>
      <c r="M449" s="86"/>
      <c r="N449" s="86"/>
      <c r="O449" s="86"/>
      <c r="P449" s="86"/>
    </row>
    <row r="450" spans="12:16">
      <c r="L450" s="86"/>
      <c r="M450" s="86"/>
      <c r="N450" s="86"/>
      <c r="O450" s="86"/>
      <c r="P450" s="86"/>
    </row>
    <row r="451" spans="12:16">
      <c r="L451" s="86"/>
      <c r="M451" s="86"/>
      <c r="N451" s="86"/>
      <c r="O451" s="86"/>
      <c r="P451" s="86"/>
    </row>
    <row r="452" spans="12:16">
      <c r="L452" s="86"/>
      <c r="M452" s="86"/>
      <c r="N452" s="86"/>
      <c r="O452" s="86"/>
      <c r="P452" s="86"/>
    </row>
    <row r="453" spans="12:16">
      <c r="L453" s="86"/>
      <c r="M453" s="86"/>
      <c r="N453" s="86"/>
      <c r="O453" s="86"/>
      <c r="P453" s="86"/>
    </row>
    <row r="454" spans="12:16">
      <c r="L454" s="86"/>
      <c r="M454" s="86"/>
      <c r="N454" s="86"/>
      <c r="O454" s="86"/>
      <c r="P454" s="86"/>
    </row>
    <row r="455" spans="12:16">
      <c r="L455" s="86"/>
      <c r="M455" s="86"/>
      <c r="N455" s="86"/>
      <c r="O455" s="86"/>
      <c r="P455" s="86"/>
    </row>
    <row r="456" spans="12:16">
      <c r="L456" s="86"/>
      <c r="M456" s="86"/>
      <c r="N456" s="86"/>
      <c r="O456" s="86"/>
      <c r="P456" s="86"/>
    </row>
    <row r="457" spans="12:16">
      <c r="L457" s="86"/>
      <c r="M457" s="86"/>
      <c r="N457" s="86"/>
      <c r="O457" s="86"/>
      <c r="P457" s="86"/>
    </row>
    <row r="458" spans="12:16">
      <c r="L458" s="86"/>
      <c r="M458" s="86"/>
      <c r="N458" s="86"/>
      <c r="O458" s="86"/>
      <c r="P458" s="86"/>
    </row>
    <row r="459" spans="12:16">
      <c r="L459" s="86"/>
      <c r="M459" s="86"/>
      <c r="N459" s="86"/>
      <c r="O459" s="86"/>
      <c r="P459" s="86"/>
    </row>
    <row r="460" spans="12:16">
      <c r="L460" s="86"/>
      <c r="M460" s="86"/>
      <c r="N460" s="86"/>
      <c r="O460" s="86"/>
      <c r="P460" s="86"/>
    </row>
    <row r="461" spans="12:16">
      <c r="L461" s="86"/>
      <c r="M461" s="86"/>
      <c r="N461" s="86"/>
      <c r="O461" s="86"/>
      <c r="P461" s="86"/>
    </row>
    <row r="462" spans="12:16">
      <c r="L462" s="86"/>
      <c r="M462" s="86"/>
      <c r="N462" s="86"/>
      <c r="O462" s="86"/>
      <c r="P462" s="86"/>
    </row>
    <row r="463" spans="12:16">
      <c r="L463" s="86"/>
      <c r="M463" s="86"/>
      <c r="N463" s="86"/>
      <c r="O463" s="86"/>
      <c r="P463" s="86"/>
    </row>
    <row r="464" spans="12:16">
      <c r="L464" s="86"/>
      <c r="M464" s="86"/>
      <c r="N464" s="86"/>
      <c r="O464" s="86"/>
      <c r="P464" s="86"/>
    </row>
    <row r="465" spans="12:16">
      <c r="L465" s="86"/>
      <c r="M465" s="86"/>
      <c r="N465" s="86"/>
      <c r="O465" s="86"/>
      <c r="P465" s="86"/>
    </row>
    <row r="466" spans="12:16">
      <c r="L466" s="86"/>
      <c r="M466" s="86"/>
      <c r="N466" s="86"/>
      <c r="O466" s="86"/>
      <c r="P466" s="86"/>
    </row>
    <row r="467" spans="12:16">
      <c r="L467" s="86"/>
      <c r="M467" s="86"/>
      <c r="N467" s="86"/>
      <c r="O467" s="86"/>
      <c r="P467" s="86"/>
    </row>
    <row r="468" spans="12:16">
      <c r="L468" s="86"/>
      <c r="M468" s="86"/>
      <c r="N468" s="86"/>
      <c r="O468" s="86"/>
      <c r="P468" s="86"/>
    </row>
    <row r="469" spans="12:16">
      <c r="L469" s="86"/>
      <c r="M469" s="86"/>
      <c r="N469" s="86"/>
      <c r="O469" s="86"/>
      <c r="P469" s="86"/>
    </row>
    <row r="470" spans="12:16">
      <c r="L470" s="86"/>
      <c r="M470" s="86"/>
      <c r="N470" s="86"/>
      <c r="O470" s="86"/>
      <c r="P470" s="86"/>
    </row>
    <row r="471" spans="12:16">
      <c r="L471" s="86"/>
      <c r="M471" s="86"/>
      <c r="N471" s="86"/>
      <c r="O471" s="86"/>
      <c r="P471" s="86"/>
    </row>
    <row r="472" spans="12:16">
      <c r="L472" s="86"/>
      <c r="M472" s="86"/>
      <c r="N472" s="86"/>
      <c r="O472" s="86"/>
      <c r="P472" s="86"/>
    </row>
    <row r="473" spans="12:16">
      <c r="L473" s="86"/>
      <c r="M473" s="86"/>
      <c r="N473" s="86"/>
      <c r="O473" s="86"/>
      <c r="P473" s="86"/>
    </row>
    <row r="474" spans="12:16">
      <c r="L474" s="86"/>
      <c r="M474" s="86"/>
      <c r="N474" s="86"/>
      <c r="O474" s="86"/>
      <c r="P474" s="86"/>
    </row>
    <row r="475" spans="12:16">
      <c r="L475" s="86"/>
      <c r="M475" s="86"/>
      <c r="N475" s="86"/>
      <c r="O475" s="86"/>
      <c r="P475" s="86"/>
    </row>
    <row r="476" spans="12:16">
      <c r="L476" s="86"/>
      <c r="M476" s="86"/>
      <c r="N476" s="86"/>
      <c r="O476" s="86"/>
      <c r="P476" s="86"/>
    </row>
    <row r="477" spans="12:16">
      <c r="L477" s="86"/>
      <c r="M477" s="86"/>
      <c r="N477" s="86"/>
      <c r="O477" s="86"/>
      <c r="P477" s="86"/>
    </row>
    <row r="478" spans="12:16">
      <c r="L478" s="86"/>
      <c r="M478" s="86"/>
      <c r="N478" s="86"/>
      <c r="O478" s="86"/>
      <c r="P478" s="86"/>
    </row>
    <row r="479" spans="12:16">
      <c r="L479" s="86"/>
      <c r="M479" s="86"/>
      <c r="N479" s="86"/>
      <c r="O479" s="86"/>
      <c r="P479" s="86"/>
    </row>
    <row r="480" spans="12:16">
      <c r="L480" s="86"/>
      <c r="M480" s="86"/>
      <c r="N480" s="86"/>
      <c r="O480" s="86"/>
      <c r="P480" s="86"/>
    </row>
    <row r="481" spans="12:16">
      <c r="L481" s="86"/>
      <c r="M481" s="86"/>
      <c r="N481" s="86"/>
      <c r="O481" s="86"/>
      <c r="P481" s="86"/>
    </row>
    <row r="482" spans="12:16">
      <c r="L482" s="86"/>
      <c r="M482" s="86"/>
      <c r="N482" s="86"/>
      <c r="O482" s="86"/>
      <c r="P482" s="86"/>
    </row>
    <row r="483" spans="12:16">
      <c r="L483" s="86"/>
      <c r="M483" s="86"/>
      <c r="N483" s="86"/>
      <c r="O483" s="86"/>
      <c r="P483" s="86"/>
    </row>
    <row r="484" spans="12:16">
      <c r="L484" s="86"/>
      <c r="M484" s="86"/>
      <c r="N484" s="86"/>
      <c r="O484" s="86"/>
      <c r="P484" s="86"/>
    </row>
    <row r="485" spans="12:16">
      <c r="L485" s="86"/>
      <c r="M485" s="86"/>
      <c r="N485" s="86"/>
      <c r="O485" s="86"/>
      <c r="P485" s="86"/>
    </row>
    <row r="486" spans="12:16">
      <c r="L486" s="86"/>
      <c r="M486" s="86"/>
      <c r="N486" s="86"/>
      <c r="O486" s="86"/>
      <c r="P486" s="86"/>
    </row>
    <row r="487" spans="12:16">
      <c r="L487" s="86"/>
      <c r="M487" s="86"/>
      <c r="N487" s="86"/>
      <c r="O487" s="86"/>
      <c r="P487" s="86"/>
    </row>
    <row r="488" spans="12:16">
      <c r="L488" s="86"/>
      <c r="M488" s="86"/>
      <c r="N488" s="86"/>
      <c r="O488" s="86"/>
      <c r="P488" s="86"/>
    </row>
    <row r="489" spans="12:16">
      <c r="L489" s="86"/>
      <c r="M489" s="86"/>
      <c r="N489" s="86"/>
      <c r="O489" s="86"/>
      <c r="P489" s="86"/>
    </row>
    <row r="490" spans="12:16">
      <c r="L490" s="86"/>
      <c r="M490" s="86"/>
      <c r="N490" s="86"/>
      <c r="O490" s="86"/>
      <c r="P490" s="86"/>
    </row>
    <row r="491" spans="12:16">
      <c r="L491" s="86"/>
      <c r="M491" s="86"/>
      <c r="N491" s="86"/>
      <c r="O491" s="86"/>
      <c r="P491" s="86"/>
    </row>
    <row r="492" spans="12:16">
      <c r="L492" s="86"/>
      <c r="M492" s="86"/>
      <c r="N492" s="86"/>
      <c r="O492" s="86"/>
      <c r="P492" s="86"/>
    </row>
    <row r="493" spans="12:16">
      <c r="L493" s="86"/>
      <c r="M493" s="86"/>
      <c r="N493" s="86"/>
      <c r="O493" s="86"/>
      <c r="P493" s="86"/>
    </row>
    <row r="494" spans="12:16">
      <c r="L494" s="86"/>
      <c r="M494" s="86"/>
      <c r="N494" s="86"/>
      <c r="O494" s="86"/>
      <c r="P494" s="86"/>
    </row>
    <row r="495" spans="12:16">
      <c r="L495" s="86"/>
      <c r="M495" s="86"/>
      <c r="N495" s="86"/>
      <c r="O495" s="86"/>
      <c r="P495" s="86"/>
    </row>
    <row r="496" spans="12:16">
      <c r="L496" s="86"/>
      <c r="M496" s="86"/>
      <c r="N496" s="86"/>
      <c r="O496" s="86"/>
      <c r="P496" s="86"/>
    </row>
    <row r="497" spans="12:16">
      <c r="L497" s="86"/>
      <c r="M497" s="86"/>
      <c r="N497" s="86"/>
      <c r="O497" s="86"/>
      <c r="P497" s="86"/>
    </row>
    <row r="498" spans="12:16">
      <c r="L498" s="86"/>
      <c r="M498" s="86"/>
      <c r="N498" s="86"/>
      <c r="O498" s="86"/>
      <c r="P498" s="86"/>
    </row>
    <row r="499" spans="12:16">
      <c r="L499" s="86"/>
      <c r="M499" s="86"/>
      <c r="N499" s="86"/>
      <c r="O499" s="86"/>
      <c r="P499" s="86"/>
    </row>
    <row r="500" spans="12:16">
      <c r="L500" s="86"/>
      <c r="M500" s="86"/>
      <c r="N500" s="86"/>
      <c r="O500" s="86"/>
      <c r="P500" s="86"/>
    </row>
    <row r="501" spans="12:16">
      <c r="L501" s="86"/>
      <c r="M501" s="86"/>
      <c r="N501" s="86"/>
      <c r="O501" s="86"/>
      <c r="P501" s="86"/>
    </row>
    <row r="502" spans="12:16">
      <c r="L502" s="86"/>
      <c r="M502" s="86"/>
      <c r="N502" s="86"/>
      <c r="O502" s="86"/>
      <c r="P502" s="86"/>
    </row>
    <row r="503" spans="12:16">
      <c r="L503" s="86"/>
      <c r="M503" s="86"/>
      <c r="N503" s="86"/>
      <c r="O503" s="86"/>
      <c r="P503" s="86"/>
    </row>
    <row r="504" spans="12:16">
      <c r="L504" s="86"/>
      <c r="M504" s="86"/>
      <c r="N504" s="86"/>
      <c r="O504" s="86"/>
      <c r="P504" s="86"/>
    </row>
    <row r="505" spans="12:16">
      <c r="L505" s="86"/>
      <c r="M505" s="86"/>
      <c r="N505" s="86"/>
      <c r="O505" s="86"/>
      <c r="P505" s="86"/>
    </row>
    <row r="506" spans="12:16">
      <c r="L506" s="86"/>
      <c r="M506" s="86"/>
      <c r="N506" s="86"/>
      <c r="O506" s="86"/>
      <c r="P506" s="86"/>
    </row>
    <row r="507" spans="12:16">
      <c r="L507" s="86"/>
      <c r="M507" s="86"/>
      <c r="N507" s="86"/>
      <c r="O507" s="86"/>
      <c r="P507" s="86"/>
    </row>
    <row r="508" spans="12:16">
      <c r="L508" s="86"/>
      <c r="M508" s="86"/>
      <c r="N508" s="86"/>
      <c r="O508" s="86"/>
      <c r="P508" s="86"/>
    </row>
    <row r="509" spans="12:16">
      <c r="L509" s="86"/>
      <c r="M509" s="86"/>
      <c r="N509" s="86"/>
      <c r="O509" s="86"/>
      <c r="P509" s="86"/>
    </row>
    <row r="510" spans="12:16">
      <c r="L510" s="86"/>
      <c r="M510" s="86"/>
      <c r="N510" s="86"/>
      <c r="O510" s="86"/>
      <c r="P510" s="86"/>
    </row>
    <row r="511" spans="12:16">
      <c r="L511" s="86"/>
      <c r="M511" s="86"/>
      <c r="N511" s="86"/>
      <c r="O511" s="86"/>
      <c r="P511" s="86"/>
    </row>
    <row r="512" spans="12:16">
      <c r="L512" s="86"/>
      <c r="M512" s="86"/>
      <c r="N512" s="86"/>
      <c r="O512" s="86"/>
      <c r="P512" s="86"/>
    </row>
    <row r="513" spans="12:16">
      <c r="L513" s="86"/>
      <c r="M513" s="86"/>
      <c r="N513" s="86"/>
      <c r="O513" s="86"/>
      <c r="P513" s="86"/>
    </row>
    <row r="514" spans="12:16">
      <c r="L514" s="86"/>
      <c r="M514" s="86"/>
      <c r="N514" s="86"/>
      <c r="O514" s="86"/>
      <c r="P514" s="86"/>
    </row>
    <row r="515" spans="12:16">
      <c r="L515" s="86"/>
      <c r="M515" s="86"/>
      <c r="N515" s="86"/>
      <c r="O515" s="86"/>
      <c r="P515" s="86"/>
    </row>
  </sheetData>
  <sheetProtection algorithmName="SHA-512" hashValue="01SuMDtIcpG4kOLLzICwad1tH5LhNFYyCacs+QqVfDHNml+1si5cZ+X6r6mc12rSBAqrWRIJCEC09LG0NBKmXA==" saltValue="lPq+nTjrcRRtQoZTl/TeTg==" spinCount="100000" sheet="1" objects="1" scenarios="1"/>
  <protectedRanges>
    <protectedRange sqref="L21 L201:L515" name="Rango2"/>
    <protectedRange sqref="L22:L116 L121:L200" name="Rango2_1"/>
    <protectedRange sqref="M201:P515 O147:O200 Q147:S200 U147:W200 Y147:AA200" name="Rango2_2"/>
    <protectedRange sqref="P147:P200 T147:T200 X147:X200 AB147:AB200 M147:N200" name="Rango2_1_1"/>
    <protectedRange sqref="P147:P200" name="Rango4"/>
    <protectedRange sqref="T147:T200" name="Rango5"/>
    <protectedRange sqref="X147:X200" name="Rango6"/>
    <protectedRange sqref="AB147:AB200" name="Rango7"/>
    <protectedRange sqref="P117" name="Rango4_1"/>
    <protectedRange sqref="T117" name="Rango5_1"/>
    <protectedRange sqref="X117" name="Rango6_1"/>
    <protectedRange sqref="AB117" name="Rango7_1"/>
    <protectedRange sqref="X20 AD20 AJ20" name="Rango4_3"/>
    <protectedRange sqref="P21:R116 V21:X116 AB21:AD116 AH21:AJ116" name="Rango2_2_1_1_1"/>
    <protectedRange sqref="R21:R116" name="Rango4_1_1_2"/>
    <protectedRange sqref="X21:X116" name="Rango5_1_1_2"/>
    <protectedRange sqref="AD21:AD116" name="Rango6_1_1_2"/>
    <protectedRange sqref="AJ21:AJ116" name="Rango7_1_1_2"/>
    <protectedRange sqref="S21:T116" name="Rango2_1_1_1_3_1"/>
    <protectedRange sqref="M21:N116" name="Rango2_1_1_1_2_2"/>
    <protectedRange sqref="Y21:Z116" name="Rango2_1_1_1_4_1"/>
    <protectedRange sqref="AE21:AF116" name="Rango2_1_1_1_5_1"/>
    <protectedRange sqref="O21:O116" name="Rango2_1_1_1_1_1_1"/>
    <protectedRange sqref="U21:U116" name="Rango2_1_1_1_1_1_1_1"/>
    <protectedRange sqref="AA21:AA116" name="Rango2_1_1_1_1_1_1_2"/>
    <protectedRange sqref="AG21:AG116" name="Rango2_1_1_1_1_1_1_3"/>
  </protectedRanges>
  <autoFilter ref="A20:AJ20" xr:uid="{6E46FF9A-A7D4-4E79-B0E4-D5C863C424CE}"/>
  <mergeCells count="1">
    <mergeCell ref="B16:B18"/>
  </mergeCells>
  <conditionalFormatting sqref="F21:F119 F121:F515">
    <cfRule type="expression" dxfId="1" priority="2">
      <formula>$E21&lt;$D21*3</formula>
    </cfRule>
  </conditionalFormatting>
  <conditionalFormatting sqref="I21:I119 I121:I515">
    <cfRule type="expression" dxfId="0" priority="1">
      <formula>F21="VALORAR"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0C21CB909FBC54596FC6D3AD172CC3E" ma:contentTypeVersion="15" ma:contentTypeDescription="Crear nuevo documento." ma:contentTypeScope="" ma:versionID="67afcd9ca3dcfb8897bef9af56b67e15">
  <xsd:schema xmlns:xsd="http://www.w3.org/2001/XMLSchema" xmlns:xs="http://www.w3.org/2001/XMLSchema" xmlns:p="http://schemas.microsoft.com/office/2006/metadata/properties" xmlns:ns2="17bdaf06-e97e-4c95-a053-70575cfc447b" xmlns:ns3="ef848eef-985f-4e5f-af94-9b10d2c40a72" targetNamespace="http://schemas.microsoft.com/office/2006/metadata/properties" ma:root="true" ma:fieldsID="713a7576f135703c6a8afd7f50267d48" ns2:_="" ns3:_="">
    <xsd:import namespace="17bdaf06-e97e-4c95-a053-70575cfc447b"/>
    <xsd:import namespace="ef848eef-985f-4e5f-af94-9b10d2c40a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bdaf06-e97e-4c95-a053-70575cfc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0e055066-1d0b-4836-b0e5-54071a0012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48eef-985f-4e5f-af94-9b10d2c40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9faf4b1b-a42b-4b70-9b8d-f98be3073ae9}" ma:internalName="TaxCatchAll" ma:showField="CatchAllData" ma:web="ef848eef-985f-4e5f-af94-9b10d2c40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7bdaf06-e97e-4c95-a053-70575cfc447b">
      <Terms xmlns="http://schemas.microsoft.com/office/infopath/2007/PartnerControls"/>
    </lcf76f155ced4ddcb4097134ff3c332f>
    <TaxCatchAll xmlns="ef848eef-985f-4e5f-af94-9b10d2c40a72" xsi:nil="true"/>
  </documentManagement>
</p:properties>
</file>

<file path=customXml/itemProps1.xml><?xml version="1.0" encoding="utf-8"?>
<ds:datastoreItem xmlns:ds="http://schemas.openxmlformats.org/officeDocument/2006/customXml" ds:itemID="{4C421939-4515-43BE-A6E4-F4B98C276635}"/>
</file>

<file path=customXml/itemProps2.xml><?xml version="1.0" encoding="utf-8"?>
<ds:datastoreItem xmlns:ds="http://schemas.openxmlformats.org/officeDocument/2006/customXml" ds:itemID="{1BC684A4-35BE-4BC4-93C6-E5CC81254D15}"/>
</file>

<file path=customXml/itemProps3.xml><?xml version="1.0" encoding="utf-8"?>
<ds:datastoreItem xmlns:ds="http://schemas.openxmlformats.org/officeDocument/2006/customXml" ds:itemID="{1BCE0AD8-090A-405E-85E6-58E2140C5D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Roser Empar Martí Badía</dc:creator>
  <cp:keywords/>
  <dc:description/>
  <cp:lastModifiedBy/>
  <cp:revision/>
  <dcterms:created xsi:type="dcterms:W3CDTF">2024-01-31T09:29:10Z</dcterms:created>
  <dcterms:modified xsi:type="dcterms:W3CDTF">2026-03-09T20:51:55Z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0x010100F0C21CB909FBC54596FC6D3AD172CC3E</vt:lpwstr>
  </property>
  <property fmtid="{D5CDD505-2E9C-101B-9397-08002B2CF9AE}" pid="3" name="MediaServiceImageTags">
    <vt:lpwstr/>
  </property>
</Properties>
</file>